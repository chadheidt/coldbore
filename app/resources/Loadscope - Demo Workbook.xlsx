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6">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s>
  <fonts count="64">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FFFF00"/>
    </font>
  </fonts>
  <fills count="41">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s>
  <borders count="30">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2">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3" fillId="38" borderId="0" applyAlignment="1" pivotButton="0" quotePrefix="0" xfId="0">
      <alignment horizontal="center" vertical="center"/>
    </xf>
    <xf numFmtId="0" fontId="0" fillId="0" borderId="28" pivotButton="0" quotePrefix="0" xfId="0"/>
    <xf numFmtId="0" fontId="0" fillId="0" borderId="29"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3.75"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6" customHeight="1" s="141">
      <c r="A7" s="317" t="n"/>
      <c r="B7" s="317" t="n"/>
      <c r="C7" s="317" t="n"/>
      <c r="D7" s="317" t="n"/>
      <c r="E7" s="317" t="n"/>
      <c r="F7" s="317" t="n"/>
      <c r="G7" s="317" t="n"/>
      <c r="H7" s="309" t="n"/>
      <c r="I7" s="309" t="n"/>
      <c r="J7" s="309"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331" t="inlineStr">
        <is>
          <t>2026-04-12</t>
        </is>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IFERROR(INDEX(Charts!$L$18:$L$25,MATCH(B21,Charts!$A$18:$A$25,0)),NA())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IFERROR(INDEX(Charts!$L$18:$L$25,MATCH(B22,Charts!$A$18:$A$25,0)),NA())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IFERROR(INDEX(Charts!$L$18:$L$25,MATCH(B23,Charts!$A$18:$A$25,0)),NA())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IFERROR(INDEX(Charts!$L$18:$L$25,MATCH(B24,Charts!$A$18:$A$25,0)),NA())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IFERROR(INDEX(Charts!$L$18:$L$25,MATCH(B25,Charts!$A$18:$A$25,0)),NA())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1" showErrorMessage="1" allowBlank="1" type="list">
      <formula1>"0.1 Mil,0.05 Mil,1/4 MOA,1/8 MOA"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f>IFERROR(INDEX(A18:A25,MATCH(MIN(L18:L25),L18:L25,0)),"")</f>
        <v/>
      </c>
      <c r="C3" s="505" t="n"/>
      <c r="D3" s="485" t="inlineStr">
        <is>
          <t>Composite:</t>
        </is>
      </c>
      <c r="E3" s="550">
        <f>MIN(L18:L25)</f>
        <v/>
      </c>
      <c r="F3" s="485" t="inlineStr">
        <is>
          <t>SD:</t>
        </is>
      </c>
      <c r="G3" s="551">
        <f t="array" ref="G3:G3">IFERROR(INDEX(E18:E25,MATCH(MIN(L18:L25),L18:L25,0)),"")</f>
        <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263">
        <f>IF($B$100="window","Vel Spread:","")</f>
        <v/>
      </c>
      <c r="E4" s="256">
        <f>IF($B$100="window",IFERROR(INDEX(D18:D25,MATCH(MIN(L18:L25),L18:L25,0)),""),"")</f>
        <v/>
      </c>
      <c r="F4" s="485" t="inlineStr">
        <is>
          <t>Group:</t>
        </is>
      </c>
      <c r="G4" s="553">
        <f t="array" ref="G4:G4">IFERROR(INDEX(F18:F25,MATCH(MIN(L18:L25),L18:L25,0)),"")</f>
        <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f t="array" ref="E5:E5">IFERROR(INDEX('Load Log'!H16:H25,MATCH(INDEX(A18:A25,MATCH(MIN(L18:L25),L18:L25,0)),'Load Log'!B16:B25,0)),"")</f>
        <v/>
      </c>
      <c r="F5" s="485" t="inlineStr">
        <is>
          <t>Best in:</t>
        </is>
      </c>
      <c r="G5" s="258" t="inlineStr">
        <is>
          <t xml:space="preserve">MR ✓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0" t="n"/>
      <c r="C6" s="580" t="n"/>
      <c r="D6" s="580" t="n"/>
      <c r="E6" s="580" t="n"/>
      <c r="F6" s="580" t="n"/>
      <c r="G6" s="580" t="n"/>
      <c r="H6" s="580" t="n"/>
      <c r="I6" s="580" t="n"/>
      <c r="J6" s="580" t="n"/>
      <c r="K6" s="580" t="n"/>
      <c r="L6" s="581"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0" t="n"/>
      <c r="C12" s="580" t="n"/>
      <c r="D12" s="580" t="n"/>
      <c r="E12" s="580" t="n"/>
      <c r="F12" s="580" t="n"/>
      <c r="G12" s="580" t="n"/>
      <c r="H12" s="580" t="n"/>
      <c r="I12" s="580" t="n"/>
      <c r="J12" s="580" t="n"/>
      <c r="K12" s="580" t="n"/>
      <c r="L12" s="581"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f>IFERROR(IF($B$100="window",'Load Log'!B16,""),"")</f>
        <v/>
      </c>
      <c r="C18" s="558">
        <f>IFERROR(IF($B$100="window",'Load Log'!B18,""),"")</f>
        <v/>
      </c>
      <c r="D18" s="559">
        <f>IF($B$100="window",IF(OR(A18="",B18="",C18=""),"",MAX('Load Log'!H16:H18)-MIN('Load Log'!H16:H18)),IF('Load Log'!H16="","",'Load Log'!H16))</f>
        <v/>
      </c>
      <c r="E18" s="558">
        <f>IF($B$100="window",IF(OR(A18="",B18="",C18=""),"",'Load Log'!J17),IF('Load Log'!J16="","",'Load Log'!J16))</f>
        <v/>
      </c>
      <c r="F18" s="560">
        <f>IF($B$100="window",IF(OR(A18="",B18="",C18=""),"",IFERROR(IF('Load Log'!N17="",'Load Log'!K17,'Load Log'!N17)/('Load Log'!$L$10/100)/1.047,"")),IFERROR(IF('Load Log'!N16="",'Load Log'!K16,'Load Log'!N16)/('Load Log'!$L$10/100)/1.047,""))</f>
        <v/>
      </c>
      <c r="G18" s="560">
        <f>IF($B$100="window",IF(OR(A18="",B18="",C18=""),"",IF('Load Log'!M17="",IF('Load Log'!L17="",F18,'Load Log'!L17/('Load Log'!$L$10/100)/1.047),'Load Log'!M17/('Load Log'!$L$10/100)/1.047)),IF('Load Log'!M16="",IF('Load Log'!L16="",F18,'Load Log'!L16/('Load Log'!$L$10/100)/1.047),'Load Log'!M16/('Load Log'!$L$10/100)/1.047))</f>
        <v/>
      </c>
      <c r="H18" s="561">
        <f>IF(D18="","",IFERROR((D18-AGGREGATE(5,6,$D$18:$D$25))/(AGGREGATE(4,6,$D$18:$D$25)-AGGREGATE(5,6,$D$18:$D$25)),0))</f>
        <v/>
      </c>
      <c r="I18" s="561">
        <f>IF(E18="","",IFERROR((E18-AGGREGATE(5,6,$E$18:$E$25))/(AGGREGATE(4,6,$E$18:$E$25)-AGGREGATE(5,6,$E$18:$E$25)),0))</f>
        <v/>
      </c>
      <c r="J18" s="561">
        <f>IF(F18="","",IFERROR((F18-AGGREGATE(5,6,$F$18:$F$25))/(AGGREGATE(4,6,$F$18:$F$25)-AGGREGATE(5,6,$F$18:$F$25)),0))</f>
        <v/>
      </c>
      <c r="K18" s="561">
        <f>IF(G18="","",IFERROR((G18-AGGREGATE(5,6,$G$18:$G$25))/(AGGREGATE(4,6,$G$18:$G$25)-AGGREGATE(5,6,$G$18:$G$25)),0))</f>
        <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f>IFERROR(IF($B$100="window",'Load Log'!B17,""),"")</f>
        <v/>
      </c>
      <c r="C19" s="562">
        <f>IFERROR(IF($B$100="window",'Load Log'!B19,""),"")</f>
        <v/>
      </c>
      <c r="D19" s="563">
        <f>IF($B$100="window",IF(OR(A19="",B19="",C19=""),"",MAX('Load Log'!H17:H19)-MIN('Load Log'!H17:H19)),IF('Load Log'!H17="","",'Load Log'!H17))</f>
        <v/>
      </c>
      <c r="E19" s="562">
        <f>IF($B$100="window",IF(OR(A19="",B19="",C19=""),"",'Load Log'!J18),IF('Load Log'!J17="","",'Load Log'!J17))</f>
        <v/>
      </c>
      <c r="F19" s="564">
        <f>IF($B$100="window",IF(OR(A19="",B19="",C19=""),"",IFERROR(IF('Load Log'!N18="",'Load Log'!K18,'Load Log'!N18)/('Load Log'!$L$10/100)/1.047,"")),IFERROR(IF('Load Log'!N17="",'Load Log'!K17,'Load Log'!N17)/('Load Log'!$L$10/100)/1.047,""))</f>
        <v/>
      </c>
      <c r="G19" s="560">
        <f>IF($B$100="window",IF(OR(A19="",B19="",C19=""),"",IF('Load Log'!M18="",IF('Load Log'!L18="",F19,'Load Log'!L18/('Load Log'!$L$10/100)/1.047),'Load Log'!M18/('Load Log'!$L$10/100)/1.047)),IF('Load Log'!M17="",IF('Load Log'!L17="",F19,'Load Log'!L17/('Load Log'!$L$10/100)/1.047),'Load Log'!M17/('Load Log'!$L$10/100)/1.047))</f>
        <v/>
      </c>
      <c r="H19" s="561">
        <f>IF(D19="","",IFERROR((D19-AGGREGATE(5,6,$D$18:$D$25))/(AGGREGATE(4,6,$D$18:$D$25)-AGGREGATE(5,6,$D$18:$D$25)),0))</f>
        <v/>
      </c>
      <c r="I19" s="561">
        <f>IF(E19="","",IFERROR((E19-AGGREGATE(5,6,$E$18:$E$25))/(AGGREGATE(4,6,$E$18:$E$25)-AGGREGATE(5,6,$E$18:$E$25)),0))</f>
        <v/>
      </c>
      <c r="J19" s="561">
        <f>IF(F19="","",IFERROR((F19-AGGREGATE(5,6,$F$18:$F$25))/(AGGREGATE(4,6,$F$18:$F$25)-AGGREGATE(5,6,$F$18:$F$25)),0))</f>
        <v/>
      </c>
      <c r="K19" s="561">
        <f>IF(G19="","",IFERROR((G19-AGGREGATE(5,6,$G$18:$G$25))/(AGGREGATE(4,6,$G$18:$G$25)-AGGREGATE(5,6,$G$18:$G$25)),0))</f>
        <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f>IFERROR(IF($B$100="window",'Load Log'!B18,""),"")</f>
        <v/>
      </c>
      <c r="C20" s="558">
        <f>IFERROR(IF($B$100="window",'Load Log'!B20,""),"")</f>
        <v/>
      </c>
      <c r="D20" s="559">
        <f>IF($B$100="window",IF(OR(A20="",B20="",C20=""),"",MAX('Load Log'!H18:H20)-MIN('Load Log'!H18:H20)),IF('Load Log'!H18="","",'Load Log'!H18))</f>
        <v/>
      </c>
      <c r="E20" s="558">
        <f>IF($B$100="window",IF(OR(A20="",B20="",C20=""),"",'Load Log'!J19),IF('Load Log'!J18="","",'Load Log'!J18))</f>
        <v/>
      </c>
      <c r="F20" s="560">
        <f>IF($B$100="window",IF(OR(A20="",B20="",C20=""),"",IFERROR(IF('Load Log'!N19="",'Load Log'!K19,'Load Log'!N19)/('Load Log'!$L$10/100)/1.047,"")),IFERROR(IF('Load Log'!N18="",'Load Log'!K18,'Load Log'!N18)/('Load Log'!$L$10/100)/1.047,""))</f>
        <v/>
      </c>
      <c r="G20" s="560">
        <f>IF($B$100="window",IF(OR(A20="",B20="",C20=""),"",IF('Load Log'!M19="",IF('Load Log'!L19="",F20,'Load Log'!L19/('Load Log'!$L$10/100)/1.047),'Load Log'!M19/('Load Log'!$L$10/100)/1.047)),IF('Load Log'!M18="",IF('Load Log'!L18="",F20,'Load Log'!L18/('Load Log'!$L$10/100)/1.047),'Load Log'!M18/('Load Log'!$L$10/100)/1.047))</f>
        <v/>
      </c>
      <c r="H20" s="561">
        <f>IF(D20="","",IFERROR((D20-AGGREGATE(5,6,$D$18:$D$25))/(AGGREGATE(4,6,$D$18:$D$25)-AGGREGATE(5,6,$D$18:$D$25)),0))</f>
        <v/>
      </c>
      <c r="I20" s="561">
        <f>IF(E20="","",IFERROR((E20-AGGREGATE(5,6,$E$18:$E$25))/(AGGREGATE(4,6,$E$18:$E$25)-AGGREGATE(5,6,$E$18:$E$25)),0))</f>
        <v/>
      </c>
      <c r="J20" s="561">
        <f>IF(F20="","",IFERROR((F20-AGGREGATE(5,6,$F$18:$F$25))/(AGGREGATE(4,6,$F$18:$F$25)-AGGREGATE(5,6,$F$18:$F$25)),0))</f>
        <v/>
      </c>
      <c r="K20" s="561">
        <f>IF(G20="","",IFERROR((G20-AGGREGATE(5,6,$G$18:$G$25))/(AGGREGATE(4,6,$G$18:$G$25)-AGGREGATE(5,6,$G$18:$G$25)),0))</f>
        <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f>IFERROR(IF($B$100="window",'Load Log'!B19,""),"")</f>
        <v/>
      </c>
      <c r="C21" s="562">
        <f>IFERROR(IF($B$100="window",'Load Log'!B21,""),"")</f>
        <v/>
      </c>
      <c r="D21" s="563">
        <f>IF($B$100="window",IF(OR(A21="",B21="",C21=""),"",MAX('Load Log'!H19:H21)-MIN('Load Log'!H19:H21)),IF('Load Log'!H19="","",'Load Log'!H19))</f>
        <v/>
      </c>
      <c r="E21" s="562">
        <f>IF($B$100="window",IF(OR(A21="",B21="",C21=""),"",'Load Log'!J20),IF('Load Log'!J19="","",'Load Log'!J19))</f>
        <v/>
      </c>
      <c r="F21" s="564">
        <f>IF($B$100="window",IF(OR(A21="",B21="",C21=""),"",IFERROR(IF('Load Log'!N20="",'Load Log'!K20,'Load Log'!N20)/('Load Log'!$L$10/100)/1.047,"")),IFERROR(IF('Load Log'!N19="",'Load Log'!K19,'Load Log'!N19)/('Load Log'!$L$10/100)/1.047,""))</f>
        <v/>
      </c>
      <c r="G21" s="560">
        <f>IF($B$100="window",IF(OR(A21="",B21="",C21=""),"",IF('Load Log'!M20="",IF('Load Log'!L20="",F21,'Load Log'!L20/('Load Log'!$L$10/100)/1.047),'Load Log'!M20/('Load Log'!$L$10/100)/1.047)),IF('Load Log'!M19="",IF('Load Log'!L19="",F21,'Load Log'!L19/('Load Log'!$L$10/100)/1.047),'Load Log'!M19/('Load Log'!$L$10/100)/1.047))</f>
        <v/>
      </c>
      <c r="H21" s="561">
        <f>IF(D21="","",IFERROR((D21-AGGREGATE(5,6,$D$18:$D$25))/(AGGREGATE(4,6,$D$18:$D$25)-AGGREGATE(5,6,$D$18:$D$25)),0))</f>
        <v/>
      </c>
      <c r="I21" s="561">
        <f>IF(E21="","",IFERROR((E21-AGGREGATE(5,6,$E$18:$E$25))/(AGGREGATE(4,6,$E$18:$E$25)-AGGREGATE(5,6,$E$18:$E$25)),0))</f>
        <v/>
      </c>
      <c r="J21" s="561">
        <f>IF(F21="","",IFERROR((F21-AGGREGATE(5,6,$F$18:$F$25))/(AGGREGATE(4,6,$F$18:$F$25)-AGGREGATE(5,6,$F$18:$F$25)),0))</f>
        <v/>
      </c>
      <c r="K21" s="561">
        <f>IF(G21="","",IFERROR((G21-AGGREGATE(5,6,$G$18:$G$25))/(AGGREGATE(4,6,$G$18:$G$25)-AGGREGATE(5,6,$G$18:$G$25)),0))</f>
        <v/>
      </c>
      <c r="L21" s="561" t="n">
        <v>0.001</v>
      </c>
      <c r="M21" s="463">
        <f>IF(D21="",NA(),H21)</f>
        <v/>
      </c>
      <c r="N21" s="464">
        <f>IF(D21="",NA(),I21)</f>
        <v/>
      </c>
      <c r="O21" s="464">
        <f>IF(D21="",NA(),J21)</f>
        <v/>
      </c>
      <c r="P21" s="464">
        <f>IF(D21="",NA(),K21)</f>
        <v/>
      </c>
      <c r="Q21" s="464">
        <f>IF(D21="",NA(),L21)</f>
        <v/>
      </c>
      <c r="R21" s="140" t="inlineStr">
        <is>
          <t>Vel ✓ SD ✓ MR ✓ Vert ✓</t>
        </is>
      </c>
      <c r="S21" s="309" t="n"/>
      <c r="T21" s="140" t="n">
        <v>42.4</v>
      </c>
      <c r="U21" s="140" t="n">
        <v>2780</v>
      </c>
    </row>
    <row r="22" ht="15" customHeight="1" s="141">
      <c r="A22" s="558">
        <f>IFERROR(IF($B$100="window",'Load Log'!B21,IF('Load Log'!B20="","",'Load Log'!B20)),"")</f>
        <v/>
      </c>
      <c r="B22" s="558">
        <f>IFERROR(IF($B$100="window",'Load Log'!B20,""),"")</f>
        <v/>
      </c>
      <c r="C22" s="558">
        <f>IFERROR(IF($B$100="window",'Load Log'!B22,""),"")</f>
        <v/>
      </c>
      <c r="D22" s="559">
        <f>IF($B$100="window",IF(OR(A22="",B22="",C22=""),"",MAX('Load Log'!H20:H22)-MIN('Load Log'!H20:H22)),IF('Load Log'!H20="","",'Load Log'!H20))</f>
        <v/>
      </c>
      <c r="E22" s="558">
        <f>IF($B$100="window",IF(OR(A22="",B22="",C22=""),"",'Load Log'!J21),IF('Load Log'!J20="","",'Load Log'!J20))</f>
        <v/>
      </c>
      <c r="F22" s="560">
        <f>IF($B$100="window",IF(OR(A22="",B22="",C22=""),"",IFERROR(IF('Load Log'!N21="",'Load Log'!K21,'Load Log'!N21)/('Load Log'!$L$10/100)/1.047,"")),IFERROR(IF('Load Log'!N20="",'Load Log'!K20,'Load Log'!N20)/('Load Log'!$L$10/100)/1.047,""))</f>
        <v/>
      </c>
      <c r="G22" s="560">
        <f>IF($B$100="window",IF(OR(A22="",B22="",C22=""),"",IF('Load Log'!M21="",IF('Load Log'!L21="",F22,'Load Log'!L21/('Load Log'!$L$10/100)/1.047),'Load Log'!M21/('Load Log'!$L$10/100)/1.047)),IF('Load Log'!M20="",IF('Load Log'!L20="",F22,'Load Log'!L20/('Load Log'!$L$10/100)/1.047),'Load Log'!M20/('Load Log'!$L$10/100)/1.047))</f>
        <v/>
      </c>
      <c r="H22" s="561">
        <f>IF(D22="","",IFERROR((D22-AGGREGATE(5,6,$D$18:$D$25))/(AGGREGATE(4,6,$D$18:$D$25)-AGGREGATE(5,6,$D$18:$D$25)),0))</f>
        <v/>
      </c>
      <c r="I22" s="561">
        <f>IF(E22="","",IFERROR((E22-AGGREGATE(5,6,$E$18:$E$25))/(AGGREGATE(4,6,$E$18:$E$25)-AGGREGATE(5,6,$E$18:$E$25)),0))</f>
        <v/>
      </c>
      <c r="J22" s="561">
        <f>IF(F22="","",IFERROR((F22-AGGREGATE(5,6,$F$18:$F$25))/(AGGREGATE(4,6,$F$18:$F$25)-AGGREGATE(5,6,$F$18:$F$25)),0))</f>
        <v/>
      </c>
      <c r="K22" s="561">
        <f>IF(G22="","",IFERROR((G22-AGGREGATE(5,6,$G$18:$G$25))/(AGGREGATE(4,6,$G$18:$G$25)-AGGREGATE(5,6,$G$18:$G$25)),0))</f>
        <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0"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3.75"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6" customHeight="1" s="141">
      <c r="A7" s="317" t="n"/>
      <c r="B7" s="317" t="n"/>
      <c r="C7" s="317" t="n"/>
      <c r="D7" s="317" t="n"/>
      <c r="E7" s="317" t="n"/>
      <c r="F7" s="317" t="n"/>
      <c r="G7" s="317" t="n"/>
      <c r="H7" s="317" t="n"/>
      <c r="I7" s="317" t="n"/>
      <c r="J7" s="317"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331" t="n"/>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f>IF(OR('BallisticX Import'!G17="",'BallisticX Import'!G17=0),"",'BallisticX Import'!G17)</f>
        <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f>IF(OR('BallisticX Import'!G18="",'BallisticX Import'!G18=0),"",'BallisticX Import'!G18)</f>
        <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f>IF(OR('BallisticX Import'!G19="",'BallisticX Import'!G19=0),"",'BallisticX Import'!G19)</f>
        <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f>IF(OR('BallisticX Import'!G20="",'BallisticX Import'!G20=0),"",'BallisticX Import'!G20)</f>
        <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f>IF(OR('BallisticX Import'!G21="",'BallisticX Import'!G21=0),"",'BallisticX Import'!G21)</f>
        <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IF(OR('BallisticX Import'!G22="",'BallisticX Import'!G22=0),"",'BallisticX Import'!G22)</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IF(OR('BallisticX Import'!G23="",'BallisticX Import'!G23=0),"",'BallisticX Import'!G23)</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IF(OR('BallisticX Import'!G24="",'BallisticX Import'!G24=0),"",'BallisticX Import'!G24)</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IF(OR('BallisticX Import'!G25="",'BallisticX Import'!G25=0),"",'BallisticX Import'!G25)</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IF(OR('BallisticX Import'!G26="",'BallisticX Import'!G26=0),"",'BallisticX Import'!G26)</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7.5" customHeight="1" s="141">
      <c r="A26" s="201" t="inlineStr">
        <is>
          <t>→  Save Suggested Load to Library  ←</t>
        </is>
      </c>
      <c r="B26" s="580" t="n"/>
      <c r="C26" s="580" t="n"/>
      <c r="D26" s="580" t="n"/>
      <c r="E26" s="580" t="n"/>
      <c r="F26" s="580" t="n"/>
      <c r="G26" s="580" t="n"/>
      <c r="H26" s="580" t="n"/>
      <c r="I26" s="580" t="n"/>
      <c r="J26" s="580" t="n"/>
      <c r="K26" s="580" t="n"/>
      <c r="L26" s="580" t="n"/>
      <c r="M26" s="580" t="n"/>
      <c r="N26" s="580" t="n"/>
      <c r="O26" s="580" t="n"/>
      <c r="P26" s="581"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1.75" customHeight="1" s="141">
      <c r="A28" s="201" t="inlineStr">
        <is>
          <t>→  Reset weights (hover for rationale)  ←</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f>IFERROR(IF($B$100="window",B16,""),"")</f>
        <v/>
      </c>
      <c r="C30" s="451">
        <f>IFERROR(IF($B$100="window",B18,""),"")</f>
        <v/>
      </c>
      <c r="D30" s="444" t="n">
        <v>0.55</v>
      </c>
      <c r="E30" s="443" t="n">
        <v>2.2</v>
      </c>
      <c r="F30" s="445" t="n">
        <v>0.27</v>
      </c>
      <c r="G30" s="445" t="n">
        <v>0.17</v>
      </c>
      <c r="H30" s="451">
        <f>IF(D30="","",IFERROR((D30-MIN($D$30:$D$37))/(MAX($D$30:$D$37)-MIN($D$30:$D$37)),0))</f>
        <v/>
      </c>
      <c r="I30" s="451">
        <f>IF(D30="","",IFERROR((E30-MIN($E$30:$E$37))/(MAX($E$30:$E$37)-MIN($E$30:$E$37)),0))</f>
        <v/>
      </c>
      <c r="J30" s="451">
        <f>IF(D30="","",IFERROR((F30-MIN($F$30:$F$37))/(MAX($F$30:$F$37)-MIN($F$30:$F$37)),0))</f>
        <v/>
      </c>
      <c r="K30" s="451">
        <f>IF(D30="","",IFERROR((G30-MIN($G$30:$G$37))/(MAX($G$30:$G$37)-MIN($G$30:$G$37)),0))</f>
        <v/>
      </c>
      <c r="L30" s="451" t="n">
        <v>0.652</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f>IFERROR(IF($B$100="window",B17,""),"")</f>
        <v/>
      </c>
      <c r="C31" s="453">
        <f>IFERROR(IF($B$100="window",B19,""),"")</f>
        <v/>
      </c>
      <c r="D31" s="454" t="n">
        <v>0.41</v>
      </c>
      <c r="E31" s="455" t="n">
        <v>2.4</v>
      </c>
      <c r="F31" s="456" t="n">
        <v>0.21</v>
      </c>
      <c r="G31" s="456" t="n">
        <v>0.13</v>
      </c>
      <c r="H31" s="453">
        <f>IF(D31="","",IFERROR((D31-MIN($D$30:$D$37))/(MAX($D$30:$D$37)-MIN($D$30:$D$37)),0))</f>
        <v/>
      </c>
      <c r="I31" s="453">
        <f>IF(D31="","",IFERROR((E31-MIN($E$30:$E$37))/(MAX($E$30:$E$37)-MIN($E$30:$E$37)),0))</f>
        <v/>
      </c>
      <c r="J31" s="453">
        <f>IF(D31="","",IFERROR((F31-MIN($F$30:$F$37))/(MAX($F$30:$F$37)-MIN($F$30:$F$37)),0))</f>
        <v/>
      </c>
      <c r="K31" s="453">
        <f>IF(D31="","",IFERROR((G31-MIN($G$30:$G$37))/(MAX($G$30:$G$37)-MIN($G$30:$G$37)),0))</f>
        <v/>
      </c>
      <c r="L31" s="453" t="n">
        <v>0.338</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f>IFERROR(IF($B$100="window",B18,""),"")</f>
        <v/>
      </c>
      <c r="C32" s="451">
        <f>IFERROR(IF($B$100="window",B20,""),"")</f>
        <v/>
      </c>
      <c r="D32" s="444" t="n">
        <v>0.32</v>
      </c>
      <c r="E32" s="443" t="n">
        <v>0.8</v>
      </c>
      <c r="F32" s="445" t="n">
        <v>0.16</v>
      </c>
      <c r="G32" s="445" t="n">
        <v>0.1</v>
      </c>
      <c r="H32" s="451">
        <f>IF(D32="","",IFERROR((D32-MIN($D$30:$D$37))/(MAX($D$30:$D$37)-MIN($D$30:$D$37)),0))</f>
        <v/>
      </c>
      <c r="I32" s="451">
        <f>IF(D32="","",IFERROR((E32-MIN($E$30:$E$37))/(MAX($E$30:$E$37)-MIN($E$30:$E$37)),0))</f>
        <v/>
      </c>
      <c r="J32" s="451">
        <f>IF(D32="","",IFERROR((F32-MIN($F$30:$F$37))/(MAX($F$30:$F$37)-MIN($F$30:$F$37)),0))</f>
        <v/>
      </c>
      <c r="K32" s="451">
        <f>IF(D32="","",IFERROR((G32-MIN($G$30:$G$37))/(MAX($G$30:$G$37)-MIN($G$30:$G$37)),0))</f>
        <v/>
      </c>
      <c r="L32" s="451" t="n">
        <v>0.001</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f>IFERROR(IF($B$100="window",B19,""),"")</f>
        <v/>
      </c>
      <c r="C33" s="453">
        <f>IFERROR(IF($B$100="window",B21,""),"")</f>
        <v/>
      </c>
      <c r="D33" s="454" t="n">
        <v>0.48</v>
      </c>
      <c r="E33" s="455" t="n">
        <v>3.4</v>
      </c>
      <c r="F33" s="456" t="n">
        <v>0.24</v>
      </c>
      <c r="G33" s="456" t="n">
        <v>0.15</v>
      </c>
      <c r="H33" s="453">
        <f>IF(D33="","",IFERROR((D33-MIN($D$30:$D$37))/(MAX($D$30:$D$37)-MIN($D$30:$D$37)),0))</f>
        <v/>
      </c>
      <c r="I33" s="453">
        <f>IF(D33="","",IFERROR((E33-MIN($E$30:$E$37))/(MAX($E$30:$E$37)-MIN($E$30:$E$37)),0))</f>
        <v/>
      </c>
      <c r="J33" s="453">
        <f>IF(D33="","",IFERROR((F33-MIN($F$30:$F$37))/(MAX($F$30:$F$37)-MIN($F$30:$F$37)),0))</f>
        <v/>
      </c>
      <c r="K33" s="453">
        <f>IF(D33="","",IFERROR((G33-MIN($G$30:$G$37))/(MAX($G$30:$G$37)-MIN($G$30:$G$37)),0))</f>
        <v/>
      </c>
      <c r="L33" s="453" t="n">
        <v>0.5590000000000001</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f>IFERROR(IF($B$100="window",B20,""),"")</f>
        <v/>
      </c>
      <c r="C34" s="451">
        <f>IFERROR(IF($B$100="window",B22,""),"")</f>
        <v/>
      </c>
      <c r="D34" s="444" t="n">
        <v>0.62</v>
      </c>
      <c r="E34" s="443" t="n">
        <v>5.1</v>
      </c>
      <c r="F34" s="445" t="n">
        <v>0.31</v>
      </c>
      <c r="G34" s="445" t="n">
        <v>0.19</v>
      </c>
      <c r="H34" s="451">
        <f>IF(D34="","",IFERROR((D34-MIN($D$30:$D$37))/(MAX($D$30:$D$37)-MIN($D$30:$D$37)),0))</f>
        <v/>
      </c>
      <c r="I34" s="451">
        <f>IF(D34="","",IFERROR((E34-MIN($E$30:$E$37))/(MAX($E$30:$E$37)-MIN($E$30:$E$37)),0))</f>
        <v/>
      </c>
      <c r="J34" s="451">
        <f>IF(D34="","",IFERROR((F34-MIN($F$30:$F$37))/(MAX($F$30:$F$37)-MIN($F$30:$F$37)),0))</f>
        <v/>
      </c>
      <c r="K34" s="451">
        <f>IF(D34="","",IFERROR((G34-MIN($G$30:$G$37))/(MAX($G$30:$G$37)-MIN($G$30:$G$37)),0))</f>
        <v/>
      </c>
      <c r="L34" s="451" t="n">
        <v>1</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IF(D35="","",IFERROR((D35-MIN($D$30:$D$37))/(MAX($D$30:$D$37)-MIN($D$30:$D$37)),0))</f>
        <v/>
      </c>
      <c r="I35" s="453">
        <f>IF(D35="","",IFERROR((E35-MIN($E$30:$E$37))/(MAX($E$30:$E$37)-MIN($E$30:$E$37)),0))</f>
        <v/>
      </c>
      <c r="J35" s="453">
        <f>IF(D35="","",IFERROR((F35-MIN($F$30:$F$37))/(MAX($F$30:$F$37)-MIN($F$30:$F$37)),0))</f>
        <v/>
      </c>
      <c r="K35" s="453">
        <f>IF(D35="","",IFERROR((G35-MIN($G$30:$G$37))/(MAX($G$30:$G$37)-MIN($G$30:$G$37)),0))</f>
        <v/>
      </c>
      <c r="L35" s="453">
        <f>NA()</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IF(D36="","",IFERROR((D36-MIN($D$30:$D$37))/(MAX($D$30:$D$37)-MIN($D$30:$D$37)),0))</f>
        <v/>
      </c>
      <c r="I36" s="451">
        <f>IF(D36="","",IFERROR((E36-MIN($E$30:$E$37))/(MAX($E$30:$E$37)-MIN($E$30:$E$37)),0))</f>
        <v/>
      </c>
      <c r="J36" s="451">
        <f>IF(D36="","",IFERROR((F36-MIN($F$30:$F$37))/(MAX($F$30:$F$37)-MIN($F$30:$F$37)),0))</f>
        <v/>
      </c>
      <c r="K36" s="451">
        <f>IF(D36="","",IFERROR((G36-MIN($G$30:$G$37))/(MAX($G$30:$G$37)-MIN($G$30:$G$37)),0))</f>
        <v/>
      </c>
      <c r="L36" s="451">
        <f>NA()</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IF(D37="","",IFERROR((D37-MIN($D$30:$D$37))/(MAX($D$30:$D$37)-MIN($D$30:$D$37)),0))</f>
        <v/>
      </c>
      <c r="I37" s="453">
        <f>IF(D37="","",IFERROR((E37-MIN($E$30:$E$37))/(MAX($E$30:$E$37)-MIN($E$30:$E$37)),0))</f>
        <v/>
      </c>
      <c r="J37" s="453">
        <f>IF(D37="","",IFERROR((F37-MIN($F$30:$F$37))/(MAX($F$30:$F$37)-MIN($F$30:$F$37)),0))</f>
        <v/>
      </c>
      <c r="K37" s="453">
        <f>IF(D37="","",IFERROR((G37-MIN($G$30:$G$37))/(MAX($G$30:$G$37)-MIN($G$30:$G$37)),0))</f>
        <v/>
      </c>
      <c r="L37" s="453">
        <f>NA()</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0" t="n"/>
      <c r="C2" s="580" t="n"/>
      <c r="D2" s="580" t="n"/>
      <c r="E2" s="580" t="n"/>
      <c r="F2" s="580" t="n"/>
      <c r="G2" s="580" t="n"/>
      <c r="H2" s="580" t="n"/>
      <c r="I2" s="580" t="n"/>
      <c r="J2" s="580" t="n"/>
      <c r="K2" s="581"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0" t="n"/>
      <c r="C4" s="580" t="n"/>
      <c r="D4" s="580" t="n"/>
      <c r="E4" s="580" t="n"/>
      <c r="F4" s="580" t="n"/>
      <c r="G4" s="580" t="n"/>
      <c r="H4" s="580" t="n"/>
      <c r="I4" s="580" t="n"/>
      <c r="J4" s="580" t="n"/>
      <c r="K4" s="581"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2026-05-13T21:48:41Z</dcterms:modified>
  <cp:revision>33</cp:revision>
</cp:coreProperties>
</file>