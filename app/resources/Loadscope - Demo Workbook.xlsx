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Load Card" sheetId="9" state="visible" r:id="rId9"/>
    <sheet xmlns:r="http://schemas.openxmlformats.org/officeDocument/2006/relationships" name="GarminSessions" sheetId="10" state="hidden" r:id="rId10"/>
    <sheet xmlns:r="http://schemas.openxmlformats.org/officeDocument/2006/relationships" name="BallisticXGroups" sheetId="11" state="hidden" r:id="rId11"/>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72">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
      <b val="1"/>
      <color rgb="FFFFFFFF"/>
      <sz val="16"/>
    </font>
    <font>
      <b val="1"/>
      <color rgb="FF1F4E78"/>
      <sz val="11"/>
    </font>
    <font>
      <i val="1"/>
      <color rgb="FF555555"/>
      <sz val="10"/>
    </font>
    <font>
      <b val="1"/>
      <color rgb="FFFFFFFF"/>
      <sz val="10"/>
    </font>
    <font>
      <color rgb="FF000000"/>
      <sz val="10"/>
    </font>
    <font>
      <i val="1"/>
      <color rgb="FF888888"/>
      <sz val="9"/>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2">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
      <left style="thin">
        <color rgb="FF888888"/>
      </left>
      <right style="thin">
        <color rgb="FF888888"/>
      </right>
      <top style="thin">
        <color rgb="FF888888"/>
      </top>
      <bottom style="thin">
        <color rgb="FF88888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0">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2" fontId="63" fillId="41" borderId="30" applyAlignment="1" pivotButton="0" quotePrefix="0" xfId="0">
      <alignment horizontal="center" vertical="center"/>
    </xf>
    <xf numFmtId="181" fontId="14" fillId="6" borderId="1" applyAlignment="1" applyProtection="1" pivotButton="0" quotePrefix="0" xfId="0">
      <alignment horizontal="center" vertical="center"/>
      <protection locked="0" hidden="0"/>
    </xf>
    <xf numFmtId="0" fontId="14" fillId="6" borderId="1" applyAlignment="1" applyProtection="1" pivotButton="0" quotePrefix="0" xfId="0">
      <alignment horizontal="left" vertical="top" wrapText="1"/>
      <protection locked="0" hidden="0"/>
    </xf>
    <xf numFmtId="181" fontId="14" fillId="3" borderId="1" applyAlignment="1" applyProtection="1" pivotButton="0" quotePrefix="0" xfId="0">
      <alignment horizontal="center" vertical="center"/>
      <protection locked="0" hidden="0"/>
    </xf>
    <xf numFmtId="0" fontId="14" fillId="3" borderId="1" applyAlignment="1" applyProtection="1" pivotButton="0" quotePrefix="0" xfId="0">
      <alignment horizontal="left" vertical="top" wrapText="1"/>
      <protection locked="0" hidden="0"/>
    </xf>
    <xf numFmtId="0" fontId="66" fillId="21" borderId="0" applyAlignment="1" pivotButton="0" quotePrefix="0" xfId="0">
      <alignment horizontal="center" vertical="center"/>
    </xf>
    <xf numFmtId="0" fontId="67" fillId="41" borderId="0" applyAlignment="1" pivotButton="0" quotePrefix="0" xfId="0">
      <alignment horizontal="center" vertical="center"/>
    </xf>
    <xf numFmtId="0" fontId="68" fillId="0" borderId="0" applyAlignment="1" pivotButton="0" quotePrefix="0" xfId="0">
      <alignment horizontal="center" vertical="center"/>
    </xf>
    <xf numFmtId="0" fontId="69" fillId="26" borderId="31" applyAlignment="1" pivotButton="0" quotePrefix="0" xfId="0">
      <alignment horizontal="center" vertical="center" wrapText="1"/>
    </xf>
    <xf numFmtId="0" fontId="70" fillId="0" borderId="31" applyAlignment="1" pivotButton="0" quotePrefix="0" xfId="0">
      <alignment horizontal="center" vertical="center"/>
    </xf>
    <xf numFmtId="0" fontId="71"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586" t="inlineStr">
        <is>
          <t>→  Save Suggested Load to Library  ←</t>
        </is>
      </c>
      <c r="B6" s="587" t="n"/>
      <c r="C6" s="587" t="n"/>
      <c r="D6" s="587" t="n"/>
      <c r="E6" s="587" t="n"/>
      <c r="F6" s="587" t="n"/>
      <c r="G6" s="587" t="n"/>
      <c r="H6" s="587" t="n"/>
      <c r="I6" s="587" t="n"/>
      <c r="J6" s="587" t="n"/>
      <c r="K6" s="587" t="n"/>
      <c r="L6" s="588"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586" t="inlineStr">
        <is>
          <t>→  Reset weights to Loadscope defaults  ←</t>
        </is>
      </c>
      <c r="B12" s="587" t="n"/>
      <c r="C12" s="587" t="n"/>
      <c r="D12" s="587" t="n"/>
      <c r="E12" s="587" t="n"/>
      <c r="F12" s="587" t="n"/>
      <c r="G12" s="587" t="n"/>
      <c r="H12" s="587" t="n"/>
      <c r="I12" s="587" t="n"/>
      <c r="J12" s="587" t="n"/>
      <c r="K12" s="587" t="n"/>
      <c r="L12" s="588"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t="inlineStr">
        <is>
          <t>Charge</t>
        </is>
      </c>
      <c r="B17" s="261" t="n"/>
      <c r="C17" s="261" t="n"/>
      <c r="D17" s="557" t="inlineStr">
        <is>
          <t>Avg Vel (fps)</t>
        </is>
      </c>
      <c r="E17" s="478" t="inlineStr">
        <is>
          <t>SD (fps)</t>
        </is>
      </c>
      <c r="F17" s="478" t="inlineStr">
        <is>
          <t>Mean Radius (MOA)</t>
        </is>
      </c>
      <c r="G17" s="478" t="inlineStr">
        <is>
          <t>SD-Vert (MOA)</t>
        </is>
      </c>
      <c r="H17" s="478" t="inlineStr">
        <is>
          <t>Norm Vel</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c r="C18" s="558" t="n"/>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c r="C19" s="562" t="n"/>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c r="C20" s="558" t="n"/>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c r="C21" s="562" t="n"/>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c r="C22" s="558" t="n"/>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586" t="inlineStr">
        <is>
          <t>→  Save Suggested Load to Library  ←</t>
        </is>
      </c>
      <c r="B26" s="587" t="n"/>
      <c r="C26" s="587" t="n"/>
      <c r="D26" s="587" t="n"/>
      <c r="E26" s="587" t="n"/>
      <c r="F26" s="587" t="n"/>
      <c r="G26" s="587" t="n"/>
      <c r="H26" s="587" t="n"/>
      <c r="I26" s="587" t="n"/>
      <c r="J26" s="587" t="n"/>
      <c r="K26" s="587" t="n"/>
      <c r="L26" s="587" t="n"/>
      <c r="M26" s="587" t="n"/>
      <c r="N26" s="587" t="n"/>
      <c r="O26" s="587" t="n"/>
      <c r="P26" s="588"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9" t="inlineStr">
        <is>
          <t>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t="inlineStr">
        <is>
          <t>Jump</t>
        </is>
      </c>
      <c r="B29" s="450" t="n"/>
      <c r="C29" s="450" t="n"/>
      <c r="D29" s="450" t="inlineStr">
        <is>
          <t>Avg Vel (fps)</t>
        </is>
      </c>
      <c r="E29" s="450" t="inlineStr">
        <is>
          <t>SD (fps)</t>
        </is>
      </c>
      <c r="F29" s="450" t="inlineStr">
        <is>
          <t>Mean Radius (MOA)</t>
        </is>
      </c>
      <c r="G29" s="450" t="inlineStr">
        <is>
          <t>SD-Vert (MOA)</t>
        </is>
      </c>
      <c r="H29" s="450" t="inlineStr">
        <is>
          <t>Norm Vel</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c r="C30" s="451" t="n"/>
      <c r="D30" s="444" t="n">
        <v>2781</v>
      </c>
      <c r="E30" s="443" t="n">
        <v>2.2</v>
      </c>
      <c r="F30" s="445" t="n">
        <v>0.27</v>
      </c>
      <c r="G30" s="445" t="n">
        <v>0.17</v>
      </c>
      <c r="H30" s="451" t="n">
        <v>0.767</v>
      </c>
      <c r="I30" s="451" t="n">
        <v>0.326</v>
      </c>
      <c r="J30" s="451" t="n">
        <v>0.733</v>
      </c>
      <c r="K30" s="451" t="n">
        <v>0.778</v>
      </c>
      <c r="L30" s="451" t="n">
        <v>0.652</v>
      </c>
      <c r="M30" s="444" t="n">
        <v>4</v>
      </c>
      <c r="N30" s="452" t="inlineStr"/>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c r="C31" s="453" t="n"/>
      <c r="D31" s="454" t="n">
        <v>2780</v>
      </c>
      <c r="E31" s="455" t="n">
        <v>2.4</v>
      </c>
      <c r="F31" s="456" t="n">
        <v>0.21</v>
      </c>
      <c r="G31" s="456" t="n">
        <v>0.13</v>
      </c>
      <c r="H31" s="453" t="n">
        <v>0.3</v>
      </c>
      <c r="I31" s="453" t="n">
        <v>0.372</v>
      </c>
      <c r="J31" s="453" t="n">
        <v>0.333</v>
      </c>
      <c r="K31" s="453" t="n">
        <v>0.333</v>
      </c>
      <c r="L31" s="453" t="n">
        <v>0.338</v>
      </c>
      <c r="M31" s="454" t="n">
        <v>2</v>
      </c>
      <c r="N31" s="457" t="inlineStr"/>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c r="C32" s="451" t="n"/>
      <c r="D32" s="444" t="n">
        <v>2780.6</v>
      </c>
      <c r="E32" s="443" t="n">
        <v>0.8</v>
      </c>
      <c r="F32" s="445" t="n">
        <v>0.16</v>
      </c>
      <c r="G32" s="445" t="n">
        <v>0.1</v>
      </c>
      <c r="H32" s="451" t="n">
        <v>0.001</v>
      </c>
      <c r="I32" s="451" t="n">
        <v>0.001</v>
      </c>
      <c r="J32" s="451" t="n">
        <v>0.001</v>
      </c>
      <c r="K32" s="451" t="n">
        <v>0.001</v>
      </c>
      <c r="L32" s="451" t="n">
        <v>0.001</v>
      </c>
      <c r="M32" s="444" t="n">
        <v>1</v>
      </c>
      <c r="N32" s="452" t="inlineStr">
        <is>
          <t>All metrics ✓</t>
        </is>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c r="C33" s="453" t="n"/>
      <c r="D33" s="454" t="n">
        <v>2780</v>
      </c>
      <c r="E33" s="455" t="n">
        <v>3.4</v>
      </c>
      <c r="F33" s="456" t="n">
        <v>0.24</v>
      </c>
      <c r="G33" s="456" t="n">
        <v>0.15</v>
      </c>
      <c r="H33" s="453" t="n">
        <v>0.533</v>
      </c>
      <c r="I33" s="453" t="n">
        <v>0.605</v>
      </c>
      <c r="J33" s="453" t="n">
        <v>0.533</v>
      </c>
      <c r="K33" s="453" t="n">
        <v>0.556</v>
      </c>
      <c r="L33" s="453" t="n">
        <v>0.5590000000000001</v>
      </c>
      <c r="M33" s="454" t="n">
        <v>3</v>
      </c>
      <c r="N33" s="457" t="inlineStr"/>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c r="C34" s="451" t="n"/>
      <c r="D34" s="444" t="n">
        <v>2780</v>
      </c>
      <c r="E34" s="443" t="n">
        <v>5.1</v>
      </c>
      <c r="F34" s="445" t="n">
        <v>0.31</v>
      </c>
      <c r="G34" s="445" t="n">
        <v>0.19</v>
      </c>
      <c r="H34" s="451" t="n">
        <v>1</v>
      </c>
      <c r="I34" s="451" t="n">
        <v>1</v>
      </c>
      <c r="J34" s="451" t="n">
        <v>1</v>
      </c>
      <c r="K34" s="451" t="n">
        <v>1</v>
      </c>
      <c r="L34" s="451" t="n">
        <v>1</v>
      </c>
      <c r="M34" s="444" t="n">
        <v>5</v>
      </c>
      <c r="N34" s="452" t="inlineStr"/>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NA()</f>
        <v/>
      </c>
      <c r="N35" s="457">
        <f>NA()</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NA()</f>
        <v/>
      </c>
      <c r="N36" s="452">
        <f>NA()</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NA()</f>
        <v/>
      </c>
      <c r="N37" s="457">
        <f>NA()</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8" customWidth="1" style="141" min="5" max="5"/>
    <col width="11" customWidth="1" style="140" min="6" max="6"/>
    <col width="16" customWidth="1" style="140" min="7" max="7"/>
    <col width="11" customWidth="1" style="140" min="8" max="8"/>
    <col width="12" customWidth="1" style="140" min="9" max="10"/>
    <col width="12" customWidth="1" style="141" min="10" max="10"/>
    <col width="22" customWidth="1" style="140" min="11" max="11"/>
    <col width="11" customWidth="1" style="140" min="12" max="13"/>
    <col width="12" customWidth="1" style="141" min="13" max="13"/>
    <col width="12" customWidth="1" style="140" min="14" max="14"/>
    <col width="9" customWidth="1" style="140" min="15" max="16"/>
    <col width="10" customWidth="1" style="141" min="16" max="16"/>
    <col width="28"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32" customHeight="1" s="141">
      <c r="A5" s="359" t="n">
        <v>1</v>
      </c>
      <c r="B5" s="590" t="n">
        <v>46143</v>
      </c>
      <c r="C5" s="359" t="inlineStr">
        <is>
          <t>6.5 CM 140 ELD-M / H4350 42.4 / 0.035 jump</t>
        </is>
      </c>
      <c r="D5" s="359" t="inlineStr">
        <is>
          <t>Tikka T3X CTR 6.5 CM</t>
        </is>
      </c>
      <c r="E5" s="358" t="inlineStr">
        <is>
          <t>Hornady ELD-M</t>
        </is>
      </c>
      <c r="F5" s="371" t="n">
        <v>140</v>
      </c>
      <c r="G5" s="358" t="inlineStr">
        <is>
          <t>Hodgdon H4350</t>
        </is>
      </c>
      <c r="H5" s="372" t="n">
        <v>42.4</v>
      </c>
      <c r="I5" s="358" t="inlineStr">
        <is>
          <t>CCI BR-2</t>
        </is>
      </c>
      <c r="J5" s="358" t="inlineStr">
        <is>
          <t>Hornady</t>
        </is>
      </c>
      <c r="K5" s="373" t="n">
        <v>2.224</v>
      </c>
      <c r="L5" s="373" t="n">
        <v>0.035</v>
      </c>
      <c r="M5" s="374" t="n">
        <v>2780</v>
      </c>
      <c r="N5" s="375" t="n">
        <v>2.5</v>
      </c>
      <c r="O5" s="376" t="n">
        <v>0.38</v>
      </c>
      <c r="P5" s="376" t="n">
        <v>0.18</v>
      </c>
      <c r="Q5" s="591" t="inlineStr">
        <is>
          <t>Confirmed at 100 yd, 65°F, 1500 ft DA. 10-shot string.</t>
        </is>
      </c>
      <c r="R5" s="317" t="n"/>
      <c r="S5" s="317" t="n"/>
      <c r="T5" s="317" t="n"/>
      <c r="U5" s="317" t="n"/>
      <c r="V5" s="317" t="n"/>
      <c r="W5" s="317" t="n"/>
      <c r="X5" s="317" t="n"/>
      <c r="Y5" s="317" t="n"/>
      <c r="Z5" s="317" t="n"/>
    </row>
    <row r="6" ht="32" customHeight="1" s="141">
      <c r="A6" s="336" t="n">
        <v>2</v>
      </c>
      <c r="B6" s="592" t="n">
        <v>45971</v>
      </c>
      <c r="C6" s="336" t="inlineStr">
        <is>
          <t>6.5 CM 140 Berger Hybrid / H4350 42.1 / 0.020 jump</t>
        </is>
      </c>
      <c r="D6" s="336" t="inlineStr">
        <is>
          <t>Tikka T3X CTR 6.5 CM</t>
        </is>
      </c>
      <c r="E6" s="336" t="inlineStr">
        <is>
          <t>Berger Hybrid Target</t>
        </is>
      </c>
      <c r="F6" s="377" t="n">
        <v>140</v>
      </c>
      <c r="G6" s="336" t="inlineStr">
        <is>
          <t>Hodgdon H4350</t>
        </is>
      </c>
      <c r="H6" s="378" t="n">
        <v>42.1</v>
      </c>
      <c r="I6" s="336" t="inlineStr">
        <is>
          <t>Fed 210M</t>
        </is>
      </c>
      <c r="J6" s="336" t="inlineStr">
        <is>
          <t>Lapua</t>
        </is>
      </c>
      <c r="K6" s="379" t="n">
        <v>2.218</v>
      </c>
      <c r="L6" s="379" t="n">
        <v>0.02</v>
      </c>
      <c r="M6" s="377" t="n">
        <v>2745</v>
      </c>
      <c r="N6" s="378" t="n">
        <v>5.1</v>
      </c>
      <c r="O6" s="380" t="n">
        <v>0.52</v>
      </c>
      <c r="P6" s="380" t="n">
        <v>0.24</v>
      </c>
      <c r="Q6" s="593" t="inlineStr">
        <is>
          <t>Prior season — switched to ELD-M for lower SD.</t>
        </is>
      </c>
      <c r="R6" s="317" t="n"/>
      <c r="S6" s="317" t="n"/>
      <c r="T6" s="317" t="n"/>
      <c r="U6" s="317" t="n"/>
      <c r="V6" s="317" t="n"/>
      <c r="W6" s="317" t="n"/>
      <c r="X6" s="317" t="n"/>
      <c r="Y6" s="317" t="n"/>
      <c r="Z6" s="317" t="n"/>
    </row>
    <row r="7" ht="32" customHeight="1" s="141">
      <c r="A7" s="359" t="n">
        <v>3</v>
      </c>
      <c r="B7" s="590" t="n">
        <v>46099</v>
      </c>
      <c r="C7" s="359" t="inlineStr">
        <is>
          <t>6 ARC 108 ELD-M / CFE 223 26.5 / 0.040 jump</t>
        </is>
      </c>
      <c r="D7" s="359" t="inlineStr">
        <is>
          <t>Bergara B14 HMR 6 ARC</t>
        </is>
      </c>
      <c r="E7" s="358" t="inlineStr">
        <is>
          <t>Hornady ELD-M</t>
        </is>
      </c>
      <c r="F7" s="371" t="n">
        <v>108</v>
      </c>
      <c r="G7" s="358" t="inlineStr">
        <is>
          <t>Hodgdon CFE 223</t>
        </is>
      </c>
      <c r="H7" s="372" t="n">
        <v>26.5</v>
      </c>
      <c r="I7" s="358" t="inlineStr">
        <is>
          <t>CCI 450</t>
        </is>
      </c>
      <c r="J7" s="358" t="inlineStr">
        <is>
          <t>Hornady</t>
        </is>
      </c>
      <c r="K7" s="373" t="n">
        <v>1.91</v>
      </c>
      <c r="L7" s="373" t="n">
        <v>0.04</v>
      </c>
      <c r="M7" s="374" t="n">
        <v>2680</v>
      </c>
      <c r="N7" s="375" t="n">
        <v>6.8</v>
      </c>
      <c r="O7" s="376" t="n">
        <v>0.55</v>
      </c>
      <c r="P7" s="376" t="n">
        <v>0.28</v>
      </c>
      <c r="Q7" s="591" t="inlineStr">
        <is>
          <t>Truck gun build. Good cold-bore consistency.</t>
        </is>
      </c>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586" t="inlineStr">
        <is>
          <t>→  Print Pocket Range Card  ←</t>
        </is>
      </c>
      <c r="B2" s="587" t="n"/>
      <c r="C2" s="587" t="n"/>
      <c r="D2" s="587" t="n"/>
      <c r="E2" s="587" t="n"/>
      <c r="F2" s="587" t="n"/>
      <c r="G2" s="587" t="n"/>
      <c r="H2" s="587" t="n"/>
      <c r="I2" s="587" t="n"/>
      <c r="J2" s="587" t="n"/>
      <c r="K2" s="588"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7" t="n"/>
      <c r="C4" s="587" t="n"/>
      <c r="D4" s="587" t="n"/>
      <c r="E4" s="587" t="n"/>
      <c r="F4" s="587" t="n"/>
      <c r="G4" s="587" t="n"/>
      <c r="H4" s="587" t="n"/>
      <c r="I4" s="587" t="n"/>
      <c r="J4" s="587" t="n"/>
      <c r="K4" s="588" t="n"/>
    </row>
    <row r="5" ht="24" customHeight="1" s="141">
      <c r="A5" s="381" t="inlineStr">
        <is>
          <t>Rifle:</t>
        </is>
      </c>
      <c r="B5" s="270" t="inlineStr">
        <is>
          <t>Tikka T3X CTR 6.5 CM</t>
        </is>
      </c>
      <c r="C5" s="382" t="n"/>
      <c r="D5" s="381" t="inlineStr">
        <is>
          <t>Bullet:</t>
        </is>
      </c>
      <c r="E5" s="270" t="inlineStr">
        <is>
          <t>Hornady 140gr ELD-M</t>
        </is>
      </c>
      <c r="F5" s="382" t="n"/>
      <c r="G5" s="381" t="inlineStr">
        <is>
          <t>Charge:</t>
        </is>
      </c>
      <c r="H5" s="270" t="n">
        <v>42.4</v>
      </c>
      <c r="I5" s="382" t="n"/>
      <c r="J5" s="381" t="inlineStr">
        <is>
          <t>Vel:</t>
        </is>
      </c>
      <c r="K5" s="270" t="n">
        <v>2780</v>
      </c>
    </row>
    <row r="6" ht="21.75" customHeight="1" s="141">
      <c r="A6" s="383" t="inlineStr">
        <is>
          <t>Scope:</t>
        </is>
      </c>
      <c r="B6" s="363" t="inlineStr">
        <is>
          <t>Leupold Mark 5HD 5-25x56</t>
        </is>
      </c>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0" customWidth="1" style="141" min="1" max="1"/>
    <col width="8" customWidth="1" style="141" min="2" max="2"/>
    <col width="8" customWidth="1" style="141" min="3" max="3"/>
    <col width="8" customWidth="1" style="141" min="4" max="4"/>
    <col width="8" customWidth="1" style="141" min="5" max="5"/>
    <col width="8" customWidth="1" style="141" min="6" max="6"/>
    <col width="8" customWidth="1" style="141" min="7" max="7"/>
    <col width="8" customWidth="1" style="141" min="8" max="8"/>
    <col width="8" customWidth="1" style="141" min="9" max="9"/>
    <col width="8" customWidth="1" style="141" min="10" max="10"/>
  </cols>
  <sheetData>
    <row r="1" ht="26" customHeight="1" s="141">
      <c r="A1" s="594" t="inlineStr">
        <is>
          <t>POCKET RANGE CARD</t>
        </is>
      </c>
    </row>
    <row r="2" ht="22" customHeight="1" s="141">
      <c r="A2" s="595" t="inlineStr">
        <is>
          <t>Tikka T3X CTR 6.5 CM  •  Hornady 140gr ELD-M  •  42.4gr  •  2780 fps</t>
        </is>
      </c>
    </row>
    <row r="3" ht="18" customHeight="1" s="141">
      <c r="A3" s="596" t="inlineStr">
        <is>
          <t>Scope: Leupold Mark 5HD 5-25x56   |   Click: 0.1 Mil   |   Zero: 100 yd   |   Sight Ht: 1.75"   |   Twist: 1:8 RH</t>
        </is>
      </c>
    </row>
    <row r="5" ht="30" customHeight="1" s="141">
      <c r="A5" s="597" t="inlineStr">
        <is>
          <t>Range
(yd)</t>
        </is>
      </c>
      <c r="B5" s="597" t="inlineStr">
        <is>
          <t>Mils
Elev</t>
        </is>
      </c>
      <c r="C5" s="597" t="inlineStr">
        <is>
          <t>Mil
Clicks</t>
        </is>
      </c>
      <c r="D5" s="597" t="inlineStr">
        <is>
          <t>MOA
Elev</t>
        </is>
      </c>
      <c r="E5" s="597" t="inlineStr">
        <is>
          <t>MOA
Clicks</t>
        </is>
      </c>
      <c r="F5" s="597" t="inlineStr">
        <is>
          <t>Wind
Mils/10</t>
        </is>
      </c>
      <c r="G5" s="597" t="inlineStr">
        <is>
          <t>Wind
Mil Clk</t>
        </is>
      </c>
      <c r="H5" s="597" t="inlineStr">
        <is>
          <t>Wind
MOA/10</t>
        </is>
      </c>
      <c r="I5" s="597" t="inlineStr">
        <is>
          <t>Wind
MOA Clk</t>
        </is>
      </c>
      <c r="J5" s="597" t="inlineStr">
        <is>
          <t>TOF
(sec)</t>
        </is>
      </c>
    </row>
    <row r="6" ht="18" customHeight="1" s="141">
      <c r="A6" s="598" t="n">
        <v>100</v>
      </c>
      <c r="B6" s="598" t="n">
        <v>0</v>
      </c>
      <c r="C6" s="598" t="n">
        <v>0</v>
      </c>
      <c r="D6" s="598" t="n">
        <v>0</v>
      </c>
      <c r="E6" s="598" t="n">
        <v>0</v>
      </c>
      <c r="F6" s="598" t="n">
        <v>0</v>
      </c>
      <c r="G6" s="598" t="n">
        <v>0</v>
      </c>
      <c r="H6" s="598" t="n">
        <v>0</v>
      </c>
      <c r="I6" s="598" t="n">
        <v>0</v>
      </c>
      <c r="J6" s="598" t="n">
        <v>0.11</v>
      </c>
    </row>
    <row r="7" ht="18" customHeight="1" s="141">
      <c r="A7" s="598" t="n">
        <v>200</v>
      </c>
      <c r="B7" s="598" t="n">
        <v>0.1</v>
      </c>
      <c r="C7" s="598" t="n">
        <v>1</v>
      </c>
      <c r="D7" s="598" t="n">
        <v>0.5</v>
      </c>
      <c r="E7" s="598" t="n">
        <v>2</v>
      </c>
      <c r="F7" s="598" t="n">
        <v>0.3</v>
      </c>
      <c r="G7" s="598" t="n">
        <v>3</v>
      </c>
      <c r="H7" s="598" t="n">
        <v>1</v>
      </c>
      <c r="I7" s="598" t="n">
        <v>4</v>
      </c>
      <c r="J7" s="598" t="n">
        <v>0.23</v>
      </c>
    </row>
    <row r="8" ht="18" customHeight="1" s="141">
      <c r="A8" s="598" t="n">
        <v>300</v>
      </c>
      <c r="B8" s="598" t="n">
        <v>0.6</v>
      </c>
      <c r="C8" s="598" t="n">
        <v>6</v>
      </c>
      <c r="D8" s="598" t="n">
        <v>2</v>
      </c>
      <c r="E8" s="598" t="n">
        <v>8</v>
      </c>
      <c r="F8" s="598" t="n">
        <v>0.5</v>
      </c>
      <c r="G8" s="598" t="n">
        <v>5</v>
      </c>
      <c r="H8" s="598" t="n">
        <v>1.7</v>
      </c>
      <c r="I8" s="598" t="n">
        <v>7</v>
      </c>
      <c r="J8" s="598" t="n">
        <v>0.36</v>
      </c>
    </row>
    <row r="9" ht="18" customHeight="1" s="141">
      <c r="A9" s="598" t="n">
        <v>400</v>
      </c>
      <c r="B9" s="598" t="n">
        <v>1.2</v>
      </c>
      <c r="C9" s="598" t="n">
        <v>12</v>
      </c>
      <c r="D9" s="598" t="n">
        <v>4.1</v>
      </c>
      <c r="E9" s="598" t="n">
        <v>16</v>
      </c>
      <c r="F9" s="598" t="n">
        <v>0.7</v>
      </c>
      <c r="G9" s="598" t="n">
        <v>7</v>
      </c>
      <c r="H9" s="598" t="n">
        <v>2.4</v>
      </c>
      <c r="I9" s="598" t="n">
        <v>10</v>
      </c>
      <c r="J9" s="598" t="n">
        <v>0.5</v>
      </c>
    </row>
    <row r="10" ht="18" customHeight="1" s="141">
      <c r="A10" s="598" t="n">
        <v>500</v>
      </c>
      <c r="B10" s="598" t="n">
        <v>2</v>
      </c>
      <c r="C10" s="598" t="n">
        <v>20</v>
      </c>
      <c r="D10" s="598" t="n">
        <v>6.9</v>
      </c>
      <c r="E10" s="598" t="n">
        <v>28</v>
      </c>
      <c r="F10" s="598" t="n">
        <v>0.9</v>
      </c>
      <c r="G10" s="598" t="n">
        <v>9</v>
      </c>
      <c r="H10" s="598" t="n">
        <v>3.1</v>
      </c>
      <c r="I10" s="598" t="n">
        <v>12</v>
      </c>
      <c r="J10" s="598" t="n">
        <v>0.66</v>
      </c>
    </row>
    <row r="11" ht="18" customHeight="1" s="141">
      <c r="A11" s="598" t="n">
        <v>600</v>
      </c>
      <c r="B11" s="598" t="n">
        <v>2.8</v>
      </c>
      <c r="C11" s="598" t="n">
        <v>28</v>
      </c>
      <c r="D11" s="598" t="n">
        <v>9.6</v>
      </c>
      <c r="E11" s="598" t="n">
        <v>38</v>
      </c>
      <c r="F11" s="598" t="n">
        <v>1.2</v>
      </c>
      <c r="G11" s="598" t="n">
        <v>12</v>
      </c>
      <c r="H11" s="598" t="n">
        <v>4.1</v>
      </c>
      <c r="I11" s="598" t="n">
        <v>16</v>
      </c>
      <c r="J11" s="598" t="n">
        <v>0.83</v>
      </c>
    </row>
    <row r="12" ht="18" customHeight="1" s="141">
      <c r="A12" s="598" t="n">
        <v>700</v>
      </c>
      <c r="B12" s="598" t="n">
        <v>3.7</v>
      </c>
      <c r="C12" s="598" t="n">
        <v>37</v>
      </c>
      <c r="D12" s="598" t="n">
        <v>12.7</v>
      </c>
      <c r="E12" s="598" t="n">
        <v>51</v>
      </c>
      <c r="F12" s="598" t="n">
        <v>1.5</v>
      </c>
      <c r="G12" s="598" t="n">
        <v>15</v>
      </c>
      <c r="H12" s="598" t="n">
        <v>5.1</v>
      </c>
      <c r="I12" s="598" t="n">
        <v>20</v>
      </c>
      <c r="J12" s="598" t="n">
        <v>1.02</v>
      </c>
    </row>
    <row r="13" ht="18" customHeight="1" s="141">
      <c r="A13" s="598" t="n">
        <v>800</v>
      </c>
      <c r="B13" s="598" t="n">
        <v>4.8</v>
      </c>
      <c r="C13" s="598" t="n">
        <v>48</v>
      </c>
      <c r="D13" s="598" t="n">
        <v>16.5</v>
      </c>
      <c r="E13" s="598" t="n">
        <v>66</v>
      </c>
      <c r="F13" s="598" t="n">
        <v>1.8</v>
      </c>
      <c r="G13" s="598" t="n">
        <v>18</v>
      </c>
      <c r="H13" s="598" t="n">
        <v>6.2</v>
      </c>
      <c r="I13" s="598" t="n">
        <v>25</v>
      </c>
      <c r="J13" s="598" t="n">
        <v>1.23</v>
      </c>
    </row>
    <row r="14" ht="18" customHeight="1" s="141">
      <c r="A14" s="598" t="n">
        <v>900</v>
      </c>
      <c r="B14" s="598" t="n">
        <v>6</v>
      </c>
      <c r="C14" s="598" t="n">
        <v>60</v>
      </c>
      <c r="D14" s="598" t="n">
        <v>20.6</v>
      </c>
      <c r="E14" s="598" t="n">
        <v>82</v>
      </c>
      <c r="F14" s="598" t="n">
        <v>2.1</v>
      </c>
      <c r="G14" s="598" t="n">
        <v>21</v>
      </c>
      <c r="H14" s="598" t="n">
        <v>7.2</v>
      </c>
      <c r="I14" s="598" t="n">
        <v>29</v>
      </c>
      <c r="J14" s="598" t="n">
        <v>1.46</v>
      </c>
    </row>
    <row r="15" ht="18" customHeight="1" s="141">
      <c r="A15" s="598" t="n">
        <v>1000</v>
      </c>
      <c r="B15" s="598" t="n">
        <v>7.3</v>
      </c>
      <c r="C15" s="598" t="n">
        <v>73</v>
      </c>
      <c r="D15" s="598" t="n">
        <v>25</v>
      </c>
      <c r="E15" s="598" t="n">
        <v>100</v>
      </c>
      <c r="F15" s="598" t="n">
        <v>2.4</v>
      </c>
      <c r="G15" s="598" t="n">
        <v>24</v>
      </c>
      <c r="H15" s="598" t="n">
        <v>8.199999999999999</v>
      </c>
      <c r="I15" s="598" t="n">
        <v>33</v>
      </c>
      <c r="J15" s="598" t="n">
        <v>1.71</v>
      </c>
    </row>
    <row r="17" ht="30" customHeight="1" s="141">
      <c r="A17" s="599" t="inlineStr">
        <is>
          <t>Sample card based on Ballistics tab DOPE values. Click 'Print Pocket Range Card' on the Ballistics tab to generate a printable 4x6 version.</t>
        </is>
      </c>
    </row>
  </sheetData>
  <mergeCells count="4">
    <mergeCell ref="A17:J17"/>
    <mergeCell ref="A1:J1"/>
    <mergeCell ref="A3:J3"/>
    <mergeCell ref="A2:J2"/>
  </mergeCells>
  <pageMargins left="0.25" right="0.25" top="0.25" bottom="0.25" header="0.5" footer="0.5"/>
  <pageSetup orientation="landscape" paperSize="1"/>
</worksheet>
</file>

<file path=xl/worksheets/sheet10.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2026-05-13T22:59:23Z</dcterms:modified>
  <cp:revision>33</cp:revision>
</cp:coreProperties>
</file>