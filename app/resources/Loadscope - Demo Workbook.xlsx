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6">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s>
  <fonts count="64">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FFFF00"/>
    </font>
  </fonts>
  <fills count="41">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s>
  <borders count="30">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4">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3" fillId="38" borderId="0" applyAlignment="1" pivotButton="0" quotePrefix="0" xfId="0">
      <alignment horizontal="center" vertical="center"/>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0" fontId="0" fillId="0" borderId="28" pivotButton="0" quotePrefix="0" xfId="0"/>
    <xf numFmtId="0" fontId="0" fillId="0" borderId="29"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3.75"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Vel ✓ SD ✓ MR ✓ Vert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6" customHeight="1" s="141">
      <c r="A7" s="317" t="n"/>
      <c r="B7" s="317" t="n"/>
      <c r="C7" s="317" t="n"/>
      <c r="D7" s="317" t="n"/>
      <c r="E7" s="317" t="n"/>
      <c r="F7" s="317" t="n"/>
      <c r="G7" s="317" t="n"/>
      <c r="H7" s="309" t="n"/>
      <c r="I7" s="309" t="n"/>
      <c r="J7" s="309"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331" t="inlineStr">
        <is>
          <t>2026-04-12</t>
        </is>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IFERROR(INDEX(Charts!$L$18:$L$25,MATCH(B21,Charts!$A$18:$A$25,0)),NA())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IFERROR(INDEX(Charts!$L$18:$L$25,MATCH(B22,Charts!$A$18:$A$25,0)),NA())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IFERROR(INDEX(Charts!$L$18:$L$25,MATCH(B23,Charts!$A$18:$A$25,0)),NA())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IFERROR(INDEX(Charts!$L$18:$L$25,MATCH(B24,Charts!$A$18:$A$25,0)),NA())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IFERROR(INDEX(Charts!$L$18:$L$25,MATCH(B25,Charts!$A$18:$A$25,0)),NA())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1" showErrorMessage="1" allowBlank="1" type="list">
      <formula1>"0.1 Mil,0.05 Mil,1/4 MOA,1/8 MOA"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f>IFERROR(INDEX(A18:A25,MATCH(MIN(L18:L25),L18:L25,0)),"")</f>
        <v/>
      </c>
      <c r="C3" s="505" t="n"/>
      <c r="D3" s="485" t="inlineStr">
        <is>
          <t>Composite:</t>
        </is>
      </c>
      <c r="E3" s="550">
        <f>MIN(L18:L25)</f>
        <v/>
      </c>
      <c r="F3" s="485" t="inlineStr">
        <is>
          <t>SD:</t>
        </is>
      </c>
      <c r="G3" s="551">
        <f t="array" ref="G3:G3">IFERROR(INDEX(E18:E25,MATCH(MIN(L18:L25),L18:L25,0)),"")</f>
        <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0">
        <f>IF($B$100="window","Vel Spread:","")</f>
        <v/>
      </c>
      <c r="E4" s="581">
        <f>IF($B$100="window",IFERROR(INDEX(D18:D25,MATCH(MIN(L18:L25),L18:L25,0)),""),"")</f>
        <v/>
      </c>
      <c r="F4" s="485" t="inlineStr">
        <is>
          <t>Group:</t>
        </is>
      </c>
      <c r="G4" s="553">
        <f t="array" ref="G4:G4">IFERROR(INDEX(F18:F25,MATCH(MIN(L18:L25),L18:L25,0)),"")</f>
        <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f t="array" ref="E5:E5">IFERROR(INDEX('Load Log'!H16:H25,MATCH(INDEX(A18:A25,MATCH(MIN(L18:L25),L18:L25,0)),'Load Log'!B16:B25,0)),"")</f>
        <v/>
      </c>
      <c r="F5" s="485" t="inlineStr">
        <is>
          <t>Best in:</t>
        </is>
      </c>
      <c r="G5" s="258" t="inlineStr">
        <is>
          <t xml:space="preserve">MR ✓ </t>
        </is>
      </c>
      <c r="H5" s="309" t="n"/>
      <c r="I5" s="309" t="n"/>
      <c r="J5" s="309" t="n"/>
      <c r="K5" s="309" t="n"/>
      <c r="L5" s="309" t="n"/>
      <c r="M5" s="309" t="n"/>
      <c r="N5" s="309" t="n"/>
      <c r="O5" s="309" t="n"/>
      <c r="P5" s="309" t="n"/>
      <c r="Q5" s="309" t="n"/>
      <c r="R5" s="309" t="n"/>
      <c r="S5" s="309" t="n"/>
      <c r="T5" s="309" t="n"/>
      <c r="U5" s="309" t="n"/>
    </row>
    <row r="6" ht="30" customHeight="1" s="141">
      <c r="A6" s="201" t="inlineStr">
        <is>
          <t>→  Save Suggested Load to Library  ←</t>
        </is>
      </c>
      <c r="B6" s="582" t="n"/>
      <c r="C6" s="582" t="n"/>
      <c r="D6" s="582" t="n"/>
      <c r="E6" s="582" t="n"/>
      <c r="F6" s="582" t="n"/>
      <c r="G6" s="582" t="n"/>
      <c r="H6" s="582" t="n"/>
      <c r="I6" s="582" t="n"/>
      <c r="J6" s="582" t="n"/>
      <c r="K6" s="582" t="n"/>
      <c r="L6" s="583"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201" t="inlineStr">
        <is>
          <t>→  Reset weights to Loadscope defaults  ←</t>
        </is>
      </c>
      <c r="B12" s="582" t="n"/>
      <c r="C12" s="582" t="n"/>
      <c r="D12" s="582" t="n"/>
      <c r="E12" s="582" t="n"/>
      <c r="F12" s="582" t="n"/>
      <c r="G12" s="582" t="n"/>
      <c r="H12" s="582" t="n"/>
      <c r="I12" s="582" t="n"/>
      <c r="J12" s="582" t="n"/>
      <c r="K12" s="582" t="n"/>
      <c r="L12" s="583"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f>IF($B$100="window","Middle Charge","Charge")</f>
        <v/>
      </c>
      <c r="B17" s="261" t="inlineStr">
        <is>
          <t>Low</t>
        </is>
      </c>
      <c r="C17" s="261" t="inlineStr">
        <is>
          <t>High</t>
        </is>
      </c>
      <c r="D17" s="557">
        <f>IF($B$100="window","Vel Spread (fps)","Avg Vel (fps)")</f>
        <v/>
      </c>
      <c r="E17" s="478" t="inlineStr">
        <is>
          <t>SD (fps)</t>
        </is>
      </c>
      <c r="F17" s="478" t="inlineStr">
        <is>
          <t>Mean Radius (MOA)</t>
        </is>
      </c>
      <c r="G17" s="478" t="inlineStr">
        <is>
          <t>SD-Vert (MOA)</t>
        </is>
      </c>
      <c r="H17" s="478" t="inlineStr">
        <is>
          <t>Norm Spread</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v>2705</v>
      </c>
      <c r="C18" s="558" t="n">
        <v>2724</v>
      </c>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v>2725</v>
      </c>
      <c r="C19" s="562" t="n">
        <v>2748</v>
      </c>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v>2750</v>
      </c>
      <c r="C20" s="558" t="n">
        <v>2770</v>
      </c>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v>2776</v>
      </c>
      <c r="C21" s="562" t="n">
        <v>2784</v>
      </c>
      <c r="D21" s="563" t="n">
        <v>2780</v>
      </c>
      <c r="E21" s="562" t="n">
        <v>2.5</v>
      </c>
      <c r="F21" s="564" t="n">
        <v>0.18</v>
      </c>
      <c r="G21" s="560" t="n">
        <v>0.12</v>
      </c>
      <c r="H21" s="561" t="n">
        <v>0</v>
      </c>
      <c r="I21" s="561" t="n">
        <v>0</v>
      </c>
      <c r="J21" s="561" t="n">
        <v>0</v>
      </c>
      <c r="K21" s="561" t="n">
        <v>0</v>
      </c>
      <c r="L21" s="561" t="n">
        <v>0.001</v>
      </c>
      <c r="M21" s="463">
        <f>IF(D21="",NA(),H21)</f>
        <v/>
      </c>
      <c r="N21" s="464">
        <f>IF(D21="",NA(),I21)</f>
        <v/>
      </c>
      <c r="O21" s="464">
        <f>IF(D21="",NA(),J21)</f>
        <v/>
      </c>
      <c r="P21" s="464">
        <f>IF(D21="",NA(),K21)</f>
        <v/>
      </c>
      <c r="Q21" s="464">
        <f>IF(D21="",NA(),L21)</f>
        <v/>
      </c>
      <c r="R21" s="140" t="inlineStr">
        <is>
          <t>Vel ✓ SD ✓ MR ✓ Vert ✓</t>
        </is>
      </c>
      <c r="S21" s="309" t="n"/>
      <c r="T21" s="140" t="n">
        <v>42.4</v>
      </c>
      <c r="U21" s="140" t="n">
        <v>2780</v>
      </c>
    </row>
    <row r="22" ht="15" customHeight="1" s="141">
      <c r="A22" s="558">
        <f>IFERROR(IF($B$100="window",'Load Log'!B21,IF('Load Log'!B20="","",'Load Log'!B20)),"")</f>
        <v/>
      </c>
      <c r="B22" s="558" t="n">
        <v>2795</v>
      </c>
      <c r="C22" s="558" t="n">
        <v>2812</v>
      </c>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0"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3.75"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Vel ✓ SD ✓ MR ✓ Vert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6" customHeight="1" s="141">
      <c r="A7" s="317" t="n"/>
      <c r="B7" s="317" t="n"/>
      <c r="C7" s="317" t="n"/>
      <c r="D7" s="317" t="n"/>
      <c r="E7" s="317" t="n"/>
      <c r="F7" s="317" t="n"/>
      <c r="G7" s="317" t="n"/>
      <c r="H7" s="317" t="n"/>
      <c r="I7" s="317" t="n"/>
      <c r="J7" s="317"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331" t="n"/>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f>IF(OR('BallisticX Import'!G17="",'BallisticX Import'!G17=0),"",'BallisticX Import'!G17)</f>
        <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f>IF(OR('BallisticX Import'!G18="",'BallisticX Import'!G18=0),"",'BallisticX Import'!G18)</f>
        <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f>IF(OR('BallisticX Import'!G19="",'BallisticX Import'!G19=0),"",'BallisticX Import'!G19)</f>
        <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f>IF(OR('BallisticX Import'!G20="",'BallisticX Import'!G20=0),"",'BallisticX Import'!G20)</f>
        <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f>IF(OR('BallisticX Import'!G21="",'BallisticX Import'!G21=0),"",'BallisticX Import'!G21)</f>
        <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IF(OR('BallisticX Import'!G22="",'BallisticX Import'!G22=0),"",'BallisticX Import'!G22)</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IF(OR('BallisticX Import'!G23="",'BallisticX Import'!G23=0),"",'BallisticX Import'!G23)</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IF(OR('BallisticX Import'!G24="",'BallisticX Import'!G24=0),"",'BallisticX Import'!G24)</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IF(OR('BallisticX Import'!G25="",'BallisticX Import'!G25=0),"",'BallisticX Import'!G25)</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IF(OR('BallisticX Import'!G26="",'BallisticX Import'!G26=0),"",'BallisticX Import'!G26)</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7.5" customHeight="1" s="141">
      <c r="A26" s="201" t="inlineStr">
        <is>
          <t>→  Save Suggested Load to Library  ←</t>
        </is>
      </c>
      <c r="B26" s="582" t="n"/>
      <c r="C26" s="582" t="n"/>
      <c r="D26" s="582" t="n"/>
      <c r="E26" s="582" t="n"/>
      <c r="F26" s="582" t="n"/>
      <c r="G26" s="582" t="n"/>
      <c r="H26" s="582" t="n"/>
      <c r="I26" s="582" t="n"/>
      <c r="J26" s="582" t="n"/>
      <c r="K26" s="582" t="n"/>
      <c r="L26" s="582" t="n"/>
      <c r="M26" s="582" t="n"/>
      <c r="N26" s="582" t="n"/>
      <c r="O26" s="582" t="n"/>
      <c r="P26" s="583"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1.75" customHeight="1" s="141">
      <c r="A28" s="201" t="inlineStr">
        <is>
          <t>→  Reset weights (hover for rationale)  ←</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f>IF($B$100="window","Middle Jump","Jump")</f>
        <v/>
      </c>
      <c r="B29" s="450" t="inlineStr">
        <is>
          <t>Low</t>
        </is>
      </c>
      <c r="C29" s="450" t="inlineStr">
        <is>
          <t>High</t>
        </is>
      </c>
      <c r="D29" s="450">
        <f>IF($B$100="window","Vel Spread (fps)","Avg Vel (fps)")</f>
        <v/>
      </c>
      <c r="E29" s="450" t="inlineStr">
        <is>
          <t>SD (fps)</t>
        </is>
      </c>
      <c r="F29" s="450" t="inlineStr">
        <is>
          <t>Mean Radius (MOA)</t>
        </is>
      </c>
      <c r="G29" s="450" t="inlineStr">
        <is>
          <t>SD-Vert (MOA)</t>
        </is>
      </c>
      <c r="H29" s="450" t="inlineStr">
        <is>
          <t>Norm Spread</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v>2778</v>
      </c>
      <c r="C30" s="451" t="n">
        <v>2784</v>
      </c>
      <c r="D30" s="444" t="n">
        <v>2781</v>
      </c>
      <c r="E30" s="443" t="n">
        <v>2.2</v>
      </c>
      <c r="F30" s="445" t="n">
        <v>0.27</v>
      </c>
      <c r="G30" s="445" t="n">
        <v>0.17</v>
      </c>
      <c r="H30" s="451" t="n">
        <v>0.767</v>
      </c>
      <c r="I30" s="451" t="n">
        <v>0.326</v>
      </c>
      <c r="J30" s="451" t="n">
        <v>0.733</v>
      </c>
      <c r="K30" s="451" t="n">
        <v>0.778</v>
      </c>
      <c r="L30" s="451" t="n">
        <v>0.652</v>
      </c>
      <c r="M30" s="444">
        <f>IF(D30="","",IFERROR(RANK(L30,$L$30:$L$37,1),""))</f>
        <v/>
      </c>
      <c r="N30" s="452">
        <f>IFERROR(IF(D30="","",TRIM(IF(D30=MIN($D$30:$D$37),"Vel ✓ ","")&amp;IF(E30=MIN($E$30:$E$37),"SD ✓ ","")&amp;IF(F30=MIN($F$30:$F$37),"MR ✓ ","")&amp;IF(G30=MIN($G$30:$G$37),"Vert ✓ ",""))),"")</f>
        <v/>
      </c>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v>2776</v>
      </c>
      <c r="C31" s="453" t="n">
        <v>2784</v>
      </c>
      <c r="D31" s="454" t="n">
        <v>2780</v>
      </c>
      <c r="E31" s="455" t="n">
        <v>2.4</v>
      </c>
      <c r="F31" s="456" t="n">
        <v>0.21</v>
      </c>
      <c r="G31" s="456" t="n">
        <v>0.13</v>
      </c>
      <c r="H31" s="453" t="n">
        <v>0.3</v>
      </c>
      <c r="I31" s="453" t="n">
        <v>0.372</v>
      </c>
      <c r="J31" s="453" t="n">
        <v>0.333</v>
      </c>
      <c r="K31" s="453" t="n">
        <v>0.333</v>
      </c>
      <c r="L31" s="453" t="n">
        <v>0.338</v>
      </c>
      <c r="M31" s="454">
        <f>IF(D31="","",IFERROR(RANK(L31,$L$30:$L$37,1),""))</f>
        <v/>
      </c>
      <c r="N31" s="457">
        <f>IFERROR(IF(D31="","",TRIM(IF(D31=MIN($D$30:$D$37),"Vel ✓ ","")&amp;IF(E31=MIN($E$30:$E$37),"SD ✓ ","")&amp;IF(F31=MIN($F$30:$F$37),"MR ✓ ","")&amp;IF(G31=MIN($G$30:$G$37),"Vert ✓ ",""))),"")</f>
        <v/>
      </c>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v>2780</v>
      </c>
      <c r="C32" s="451" t="n">
        <v>2782</v>
      </c>
      <c r="D32" s="444" t="n">
        <v>2780.6</v>
      </c>
      <c r="E32" s="443" t="n">
        <v>0.8</v>
      </c>
      <c r="F32" s="445" t="n">
        <v>0.16</v>
      </c>
      <c r="G32" s="445" t="n">
        <v>0.1</v>
      </c>
      <c r="H32" s="451" t="n">
        <v>0</v>
      </c>
      <c r="I32" s="451" t="n">
        <v>0</v>
      </c>
      <c r="J32" s="451" t="n">
        <v>0</v>
      </c>
      <c r="K32" s="451" t="n">
        <v>0</v>
      </c>
      <c r="L32" s="451" t="n">
        <v>0.001</v>
      </c>
      <c r="M32" s="444">
        <f>IF(D32="","",IFERROR(RANK(L32,$L$30:$L$37,1),""))</f>
        <v/>
      </c>
      <c r="N32" s="452">
        <f>IFERROR(IF(D32="","",TRIM(IF(D32=MIN($D$30:$D$37),"Vel ✓ ","")&amp;IF(E32=MIN($E$30:$E$37),"SD ✓ ","")&amp;IF(F32=MIN($F$30:$F$37),"MR ✓ ","")&amp;IF(G32=MIN($G$30:$G$37),"Vert ✓ ",""))),"")</f>
        <v/>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v>2774</v>
      </c>
      <c r="C33" s="453" t="n">
        <v>2784</v>
      </c>
      <c r="D33" s="454" t="n">
        <v>2780</v>
      </c>
      <c r="E33" s="455" t="n">
        <v>3.4</v>
      </c>
      <c r="F33" s="456" t="n">
        <v>0.24</v>
      </c>
      <c r="G33" s="456" t="n">
        <v>0.15</v>
      </c>
      <c r="H33" s="453" t="n">
        <v>0.533</v>
      </c>
      <c r="I33" s="453" t="n">
        <v>0.605</v>
      </c>
      <c r="J33" s="453" t="n">
        <v>0.533</v>
      </c>
      <c r="K33" s="453" t="n">
        <v>0.556</v>
      </c>
      <c r="L33" s="453" t="n">
        <v>0.5590000000000001</v>
      </c>
      <c r="M33" s="454">
        <f>IF(D33="","",IFERROR(RANK(L33,$L$30:$L$37,1),""))</f>
        <v/>
      </c>
      <c r="N33" s="457">
        <f>IFERROR(IF(D33="","",TRIM(IF(D33=MIN($D$30:$D$37),"Vel ✓ ","")&amp;IF(E33=MIN($E$30:$E$37),"SD ✓ ","")&amp;IF(F33=MIN($F$30:$F$37),"MR ✓ ","")&amp;IF(G33=MIN($G$30:$G$37),"Vert ✓ ",""))),"")</f>
        <v/>
      </c>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v>2772</v>
      </c>
      <c r="C34" s="451" t="n">
        <v>2786</v>
      </c>
      <c r="D34" s="444" t="n">
        <v>2780</v>
      </c>
      <c r="E34" s="443" t="n">
        <v>5.1</v>
      </c>
      <c r="F34" s="445" t="n">
        <v>0.31</v>
      </c>
      <c r="G34" s="445" t="n">
        <v>0.19</v>
      </c>
      <c r="H34" s="451" t="n">
        <v>1</v>
      </c>
      <c r="I34" s="451" t="n">
        <v>1</v>
      </c>
      <c r="J34" s="451" t="n">
        <v>1</v>
      </c>
      <c r="K34" s="451" t="n">
        <v>1</v>
      </c>
      <c r="L34" s="451" t="n">
        <v>1</v>
      </c>
      <c r="M34" s="444">
        <f>IF(D34="","",IFERROR(RANK(L34,$L$30:$L$37,1),""))</f>
        <v/>
      </c>
      <c r="N34" s="452">
        <f>IFERROR(IF(D34="","",TRIM(IF(D34=MIN($D$30:$D$37),"Vel ✓ ","")&amp;IF(E34=MIN($E$30:$E$37),"SD ✓ ","")&amp;IF(F34=MIN($F$30:$F$37),"MR ✓ ","")&amp;IF(G34=MIN($G$30:$G$37),"Vert ✓ ",""))),"")</f>
        <v/>
      </c>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IF(D35="","",IFERROR((D35-MIN($D$30:$D$37))/(MAX($D$30:$D$37)-MIN($D$30:$D$37)),0))</f>
        <v/>
      </c>
      <c r="I35" s="453">
        <f>IF(D35="","",IFERROR((E35-MIN($E$30:$E$37))/(MAX($E$30:$E$37)-MIN($E$30:$E$37)),0))</f>
        <v/>
      </c>
      <c r="J35" s="453">
        <f>IF(D35="","",IFERROR((F35-MIN($F$30:$F$37))/(MAX($F$30:$F$37)-MIN($F$30:$F$37)),0))</f>
        <v/>
      </c>
      <c r="K35" s="453">
        <f>IF(D35="","",IFERROR((G35-MIN($G$30:$G$37))/(MAX($G$30:$G$37)-MIN($G$30:$G$37)),0))</f>
        <v/>
      </c>
      <c r="L35" s="453">
        <f>NA()</f>
        <v/>
      </c>
      <c r="M35" s="454">
        <f>IF(D35="","",IFERROR(RANK(L35,$L$30:$L$37,1),""))</f>
        <v/>
      </c>
      <c r="N35" s="457">
        <f>IFERROR(IF(D35="","",TRIM(IF(D35=MIN($D$30:$D$37),"Vel ✓ ","")&amp;IF(E35=MIN($E$30:$E$37),"SD ✓ ","")&amp;IF(F35=MIN($F$30:$F$37),"MR ✓ ","")&amp;IF(G35=MIN($G$30:$G$37),"Vert ✓ ",""))),"")</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IF(D36="","",IFERROR((D36-MIN($D$30:$D$37))/(MAX($D$30:$D$37)-MIN($D$30:$D$37)),0))</f>
        <v/>
      </c>
      <c r="I36" s="451">
        <f>IF(D36="","",IFERROR((E36-MIN($E$30:$E$37))/(MAX($E$30:$E$37)-MIN($E$30:$E$37)),0))</f>
        <v/>
      </c>
      <c r="J36" s="451">
        <f>IF(D36="","",IFERROR((F36-MIN($F$30:$F$37))/(MAX($F$30:$F$37)-MIN($F$30:$F$37)),0))</f>
        <v/>
      </c>
      <c r="K36" s="451">
        <f>IF(D36="","",IFERROR((G36-MIN($G$30:$G$37))/(MAX($G$30:$G$37)-MIN($G$30:$G$37)),0))</f>
        <v/>
      </c>
      <c r="L36" s="451">
        <f>NA()</f>
        <v/>
      </c>
      <c r="M36" s="444">
        <f>IF(D36="","",IFERROR(RANK(L36,$L$30:$L$37,1),""))</f>
        <v/>
      </c>
      <c r="N36" s="452">
        <f>IFERROR(IF(D36="","",TRIM(IF(D36=MIN($D$30:$D$37),"Vel ✓ ","")&amp;IF(E36=MIN($E$30:$E$37),"SD ✓ ","")&amp;IF(F36=MIN($F$30:$F$37),"MR ✓ ","")&amp;IF(G36=MIN($G$30:$G$37),"Vert ✓ ",""))),"")</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IF(D37="","",IFERROR((D37-MIN($D$30:$D$37))/(MAX($D$30:$D$37)-MIN($D$30:$D$37)),0))</f>
        <v/>
      </c>
      <c r="I37" s="453">
        <f>IF(D37="","",IFERROR((E37-MIN($E$30:$E$37))/(MAX($E$30:$E$37)-MIN($E$30:$E$37)),0))</f>
        <v/>
      </c>
      <c r="J37" s="453">
        <f>IF(D37="","",IFERROR((F37-MIN($F$30:$F$37))/(MAX($F$30:$F$37)-MIN($F$30:$F$37)),0))</f>
        <v/>
      </c>
      <c r="K37" s="453">
        <f>IF(D37="","",IFERROR((G37-MIN($G$30:$G$37))/(MAX($G$30:$G$37)-MIN($G$30:$G$37)),0))</f>
        <v/>
      </c>
      <c r="L37" s="453">
        <f>NA()</f>
        <v/>
      </c>
      <c r="M37" s="454">
        <f>IF(D37="","",IFERROR(RANK(L37,$L$30:$L$37,1),""))</f>
        <v/>
      </c>
      <c r="N37" s="457">
        <f>IFERROR(IF(D37="","",TRIM(IF(D37=MIN($D$30:$D$37),"Vel ✓ ","")&amp;IF(E37=MIN($E$30:$E$37),"SD ✓ ","")&amp;IF(F37=MIN($F$30:$F$37),"MR ✓ ","")&amp;IF(G37=MIN($G$30:$G$37),"Vert ✓ ",""))),"")</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5" customWidth="1" style="140" min="1" max="1"/>
    <col width="12" customWidth="1" style="140" min="2" max="2"/>
    <col width="36" customWidth="1" style="140" min="3" max="3"/>
    <col width="22" customWidth="1" style="140" min="4" max="5"/>
    <col width="11" customWidth="1" style="140" min="6" max="6"/>
    <col width="9" customWidth="1" style="140" min="7" max="7"/>
    <col width="11" customWidth="1" style="140" min="8" max="8"/>
    <col width="12" customWidth="1" style="140" min="9" max="10"/>
    <col width="22" customWidth="1" style="140" min="11" max="11"/>
    <col width="11" customWidth="1" style="140" min="12" max="13"/>
    <col width="12" customWidth="1" style="140" min="14" max="14"/>
    <col width="9" customWidth="1" style="140" min="15" max="16"/>
    <col width="1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21.75" customHeight="1" s="141">
      <c r="A5" s="359" t="n"/>
      <c r="B5" s="359" t="n"/>
      <c r="C5" s="359" t="n"/>
      <c r="D5" s="359" t="n"/>
      <c r="E5" s="358" t="n"/>
      <c r="F5" s="371" t="n"/>
      <c r="G5" s="358" t="n"/>
      <c r="H5" s="372" t="n"/>
      <c r="I5" s="358" t="n"/>
      <c r="J5" s="358" t="n"/>
      <c r="K5" s="373" t="n"/>
      <c r="L5" s="373" t="n"/>
      <c r="M5" s="374" t="n"/>
      <c r="N5" s="375" t="n"/>
      <c r="O5" s="376" t="n"/>
      <c r="P5" s="376" t="n"/>
      <c r="Q5" s="359" t="n"/>
      <c r="R5" s="317" t="n"/>
      <c r="S5" s="317" t="n"/>
      <c r="T5" s="317" t="n"/>
      <c r="U5" s="317" t="n"/>
      <c r="V5" s="317" t="n"/>
      <c r="W5" s="317" t="n"/>
      <c r="X5" s="317" t="n"/>
      <c r="Y5" s="317" t="n"/>
      <c r="Z5" s="317" t="n"/>
    </row>
    <row r="6" ht="21.75" customHeight="1" s="141">
      <c r="A6" s="336" t="n"/>
      <c r="B6" s="336" t="n"/>
      <c r="C6" s="336" t="n"/>
      <c r="D6" s="336" t="n"/>
      <c r="E6" s="336" t="n"/>
      <c r="F6" s="377" t="n"/>
      <c r="G6" s="336" t="n"/>
      <c r="H6" s="378" t="n"/>
      <c r="I6" s="336" t="n"/>
      <c r="J6" s="336" t="n"/>
      <c r="K6" s="379" t="n"/>
      <c r="L6" s="379" t="n"/>
      <c r="M6" s="377" t="n"/>
      <c r="N6" s="378" t="n"/>
      <c r="O6" s="380" t="n"/>
      <c r="P6" s="380" t="n"/>
      <c r="Q6" s="336" t="n"/>
      <c r="R6" s="317" t="n"/>
      <c r="S6" s="317" t="n"/>
      <c r="T6" s="317" t="n"/>
      <c r="U6" s="317" t="n"/>
      <c r="V6" s="317" t="n"/>
      <c r="W6" s="317" t="n"/>
      <c r="X6" s="317" t="n"/>
      <c r="Y6" s="317" t="n"/>
      <c r="Z6" s="317" t="n"/>
    </row>
    <row r="7" ht="21.75" customHeight="1" s="141">
      <c r="A7" s="359" t="n"/>
      <c r="B7" s="359" t="n"/>
      <c r="C7" s="359" t="n"/>
      <c r="D7" s="359" t="n"/>
      <c r="E7" s="358" t="n"/>
      <c r="F7" s="371" t="n"/>
      <c r="G7" s="358" t="n"/>
      <c r="H7" s="372" t="n"/>
      <c r="I7" s="358" t="n"/>
      <c r="J7" s="358" t="n"/>
      <c r="K7" s="373" t="n"/>
      <c r="L7" s="373" t="n"/>
      <c r="M7" s="374" t="n"/>
      <c r="N7" s="375" t="n"/>
      <c r="O7" s="376" t="n"/>
      <c r="P7" s="376" t="n"/>
      <c r="Q7" s="359" t="n"/>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201" t="inlineStr">
        <is>
          <t>→  Print Pocket Range Card  ←</t>
        </is>
      </c>
      <c r="B2" s="582" t="n"/>
      <c r="C2" s="582" t="n"/>
      <c r="D2" s="582" t="n"/>
      <c r="E2" s="582" t="n"/>
      <c r="F2" s="582" t="n"/>
      <c r="G2" s="582" t="n"/>
      <c r="H2" s="582" t="n"/>
      <c r="I2" s="582" t="n"/>
      <c r="J2" s="582" t="n"/>
      <c r="K2" s="583"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2" t="n"/>
      <c r="C4" s="582" t="n"/>
      <c r="D4" s="582" t="n"/>
      <c r="E4" s="582" t="n"/>
      <c r="F4" s="582" t="n"/>
      <c r="G4" s="582" t="n"/>
      <c r="H4" s="582" t="n"/>
      <c r="I4" s="582" t="n"/>
      <c r="J4" s="582" t="n"/>
      <c r="K4" s="583" t="n"/>
    </row>
    <row r="5" ht="24" customHeight="1" s="141">
      <c r="A5" s="381" t="inlineStr">
        <is>
          <t>Rifle:</t>
        </is>
      </c>
      <c r="B5" s="270">
        <f>IF(IFERROR('Load Library'!D5,"")="","",'Load Library'!D5)</f>
        <v/>
      </c>
      <c r="C5" s="382" t="n"/>
      <c r="D5" s="381" t="inlineStr">
        <is>
          <t>Bullet:</t>
        </is>
      </c>
      <c r="E5" s="270">
        <f>IF(IFERROR('Load Library'!E5,"")="","",'Load Library'!E5&amp;" ("&amp;'Load Library'!F5&amp;"gr)")</f>
        <v/>
      </c>
      <c r="F5" s="382" t="n"/>
      <c r="G5" s="381" t="inlineStr">
        <is>
          <t>Charge:</t>
        </is>
      </c>
      <c r="H5" s="270">
        <f>IF(IFERROR('Load Library'!H5,"")="","",'Load Library'!H5&amp;" gr "&amp;'Load Library'!G5)</f>
        <v/>
      </c>
      <c r="I5" s="382" t="n"/>
      <c r="J5" s="381" t="inlineStr">
        <is>
          <t>Vel:</t>
        </is>
      </c>
      <c r="K5" s="270">
        <f>IF(IFERROR('Load Library'!M5,"")="","",'Load Library'!M5&amp;" fps")</f>
        <v/>
      </c>
    </row>
    <row r="6" ht="21.75" customHeight="1" s="141">
      <c r="A6" s="383" t="inlineStr">
        <is>
          <t>Scope:</t>
        </is>
      </c>
      <c r="B6" s="363" t="n"/>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2026-05-13T21:55:35Z</dcterms:modified>
  <cp:revision>33</cp:revision>
</cp:coreProperties>
</file>