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macbook/Projects/Loadscope/app/resources/"/>
    </mc:Choice>
  </mc:AlternateContent>
  <xr:revisionPtr revIDLastSave="0" documentId="13_ncr:1_{8B398032-9861-0148-B9B2-6DE0ED506813}" xr6:coauthVersionLast="36" xr6:coauthVersionMax="36" xr10:uidLastSave="{00000000-0000-0000-0000-000000000000}"/>
  <bookViews>
    <workbookView xWindow="0" yWindow="500" windowWidth="16380" windowHeight="8200" tabRatio="500" xr2:uid="{00000000-000D-0000-FFFF-FFFF00000000}"/>
  </bookViews>
  <sheets>
    <sheet name="Start Here" sheetId="1" r:id="rId1"/>
    <sheet name="Powder Charge Log" sheetId="2" r:id="rId2"/>
    <sheet name="Charts" sheetId="3" r:id="rId3"/>
    <sheet name="Seating Depth Log" sheetId="4" r:id="rId4"/>
    <sheet name="Garmin Xero Import" sheetId="5" r:id="rId5"/>
    <sheet name="BallisticX Import" sheetId="6" r:id="rId6"/>
    <sheet name="Load Library" sheetId="7" r:id="rId7"/>
    <sheet name="Ballistics" sheetId="8" r:id="rId8"/>
    <sheet name="GarminSessions" sheetId="9" state="hidden" r:id="rId9"/>
    <sheet name="BallisticXGroups" sheetId="10" state="hidden" r:id="rId10"/>
  </sheets>
  <definedNames>
    <definedName name="_xlnm.Print_Area" localSheetId="7">Ballistics!$A$1:$K$18</definedName>
    <definedName name="_xlnm.Print_Area" localSheetId="2">Charts!$A$1:$L$25</definedName>
    <definedName name="_xlnm.Print_Area" localSheetId="6">'Load Library'!$A$1:$R$19</definedName>
    <definedName name="_xlnm.Print_Area" localSheetId="1">'Powder Charge Log'!$A$1:$P$27</definedName>
    <definedName name="_xlnm.Print_Area" localSheetId="3">'Seating Depth Log'!$A$1:$P$27</definedName>
    <definedName name="_xlnm.Print_Area" localSheetId="0">'Start Here'!$A$1:$H$17</definedName>
  </definedNames>
  <calcPr calcId="181029" iterateDelta="1E-4"/>
</workbook>
</file>

<file path=xl/calcChain.xml><?xml version="1.0" encoding="utf-8"?>
<calcChain xmlns="http://schemas.openxmlformats.org/spreadsheetml/2006/main">
  <c r="I90" i="8" l="1"/>
  <c r="G90" i="8"/>
  <c r="E90" i="8"/>
  <c r="C90" i="8"/>
  <c r="I89" i="8"/>
  <c r="G89" i="8"/>
  <c r="E89" i="8"/>
  <c r="C89" i="8"/>
  <c r="I88" i="8"/>
  <c r="G88" i="8"/>
  <c r="E88" i="8"/>
  <c r="C88" i="8"/>
  <c r="I87" i="8"/>
  <c r="G87" i="8"/>
  <c r="E87" i="8"/>
  <c r="C87" i="8"/>
  <c r="I86" i="8"/>
  <c r="G86" i="8"/>
  <c r="E86" i="8"/>
  <c r="C86" i="8"/>
  <c r="I85" i="8"/>
  <c r="G85" i="8"/>
  <c r="E85" i="8"/>
  <c r="C85" i="8"/>
  <c r="I84" i="8"/>
  <c r="G84" i="8"/>
  <c r="E84" i="8"/>
  <c r="C84" i="8"/>
  <c r="I83" i="8"/>
  <c r="G83" i="8"/>
  <c r="E83" i="8"/>
  <c r="C83" i="8"/>
  <c r="I82" i="8"/>
  <c r="G82" i="8"/>
  <c r="E82" i="8"/>
  <c r="C82" i="8"/>
  <c r="I81" i="8"/>
  <c r="G81" i="8"/>
  <c r="E81" i="8"/>
  <c r="C81" i="8"/>
  <c r="K77" i="8"/>
  <c r="H77" i="8"/>
  <c r="E77" i="8"/>
  <c r="B77" i="8"/>
  <c r="A76" i="8"/>
  <c r="I72" i="8"/>
  <c r="G72" i="8"/>
  <c r="E72" i="8"/>
  <c r="C72" i="8"/>
  <c r="I71" i="8"/>
  <c r="G71" i="8"/>
  <c r="E71" i="8"/>
  <c r="C71" i="8"/>
  <c r="I70" i="8"/>
  <c r="G70" i="8"/>
  <c r="E70" i="8"/>
  <c r="C70" i="8"/>
  <c r="I69" i="8"/>
  <c r="G69" i="8"/>
  <c r="E69" i="8"/>
  <c r="C69" i="8"/>
  <c r="I68" i="8"/>
  <c r="G68" i="8"/>
  <c r="E68" i="8"/>
  <c r="C68" i="8"/>
  <c r="I67" i="8"/>
  <c r="G67" i="8"/>
  <c r="E67" i="8"/>
  <c r="C67" i="8"/>
  <c r="I66" i="8"/>
  <c r="G66" i="8"/>
  <c r="E66" i="8"/>
  <c r="C66" i="8"/>
  <c r="I65" i="8"/>
  <c r="G65" i="8"/>
  <c r="E65" i="8"/>
  <c r="C65" i="8"/>
  <c r="I64" i="8"/>
  <c r="G64" i="8"/>
  <c r="E64" i="8"/>
  <c r="C64" i="8"/>
  <c r="I63" i="8"/>
  <c r="G63" i="8"/>
  <c r="E63" i="8"/>
  <c r="C63" i="8"/>
  <c r="K59" i="8"/>
  <c r="H59" i="8"/>
  <c r="E59" i="8"/>
  <c r="B59" i="8"/>
  <c r="A58" i="8"/>
  <c r="I54" i="8"/>
  <c r="G54" i="8"/>
  <c r="E54" i="8"/>
  <c r="C54" i="8"/>
  <c r="I53" i="8"/>
  <c r="G53" i="8"/>
  <c r="E53" i="8"/>
  <c r="C53" i="8"/>
  <c r="I52" i="8"/>
  <c r="G52" i="8"/>
  <c r="E52" i="8"/>
  <c r="C52" i="8"/>
  <c r="I51" i="8"/>
  <c r="G51" i="8"/>
  <c r="E51" i="8"/>
  <c r="C51" i="8"/>
  <c r="I50" i="8"/>
  <c r="G50" i="8"/>
  <c r="E50" i="8"/>
  <c r="C50" i="8"/>
  <c r="I49" i="8"/>
  <c r="G49" i="8"/>
  <c r="E49" i="8"/>
  <c r="C49" i="8"/>
  <c r="I48" i="8"/>
  <c r="G48" i="8"/>
  <c r="E48" i="8"/>
  <c r="C48" i="8"/>
  <c r="I47" i="8"/>
  <c r="G47" i="8"/>
  <c r="E47" i="8"/>
  <c r="C47" i="8"/>
  <c r="I46" i="8"/>
  <c r="G46" i="8"/>
  <c r="E46" i="8"/>
  <c r="C46" i="8"/>
  <c r="I45" i="8"/>
  <c r="G45" i="8"/>
  <c r="E45" i="8"/>
  <c r="C45" i="8"/>
  <c r="K41" i="8"/>
  <c r="H41" i="8"/>
  <c r="E41" i="8"/>
  <c r="B41" i="8"/>
  <c r="A40" i="8"/>
  <c r="I36" i="8"/>
  <c r="G36" i="8"/>
  <c r="E36" i="8"/>
  <c r="C36" i="8"/>
  <c r="I35" i="8"/>
  <c r="G35" i="8"/>
  <c r="E35" i="8"/>
  <c r="C35" i="8"/>
  <c r="I34" i="8"/>
  <c r="G34" i="8"/>
  <c r="E34" i="8"/>
  <c r="C34" i="8"/>
  <c r="I33" i="8"/>
  <c r="G33" i="8"/>
  <c r="E33" i="8"/>
  <c r="C33" i="8"/>
  <c r="I32" i="8"/>
  <c r="G32" i="8"/>
  <c r="E32" i="8"/>
  <c r="C32" i="8"/>
  <c r="I31" i="8"/>
  <c r="G31" i="8"/>
  <c r="E31" i="8"/>
  <c r="C31" i="8"/>
  <c r="I30" i="8"/>
  <c r="G30" i="8"/>
  <c r="E30" i="8"/>
  <c r="C30" i="8"/>
  <c r="I29" i="8"/>
  <c r="G29" i="8"/>
  <c r="E29" i="8"/>
  <c r="C29" i="8"/>
  <c r="I28" i="8"/>
  <c r="G28" i="8"/>
  <c r="E28" i="8"/>
  <c r="C28" i="8"/>
  <c r="I27" i="8"/>
  <c r="G27" i="8"/>
  <c r="E27" i="8"/>
  <c r="C27" i="8"/>
  <c r="K23" i="8"/>
  <c r="H23" i="8"/>
  <c r="E23" i="8"/>
  <c r="B23" i="8"/>
  <c r="A22" i="8"/>
  <c r="I18" i="8"/>
  <c r="G18" i="8"/>
  <c r="E18" i="8"/>
  <c r="C18" i="8"/>
  <c r="I17" i="8"/>
  <c r="G17" i="8"/>
  <c r="E17" i="8"/>
  <c r="C17" i="8"/>
  <c r="I16" i="8"/>
  <c r="G16" i="8"/>
  <c r="E16" i="8"/>
  <c r="C16" i="8"/>
  <c r="I15" i="8"/>
  <c r="G15" i="8"/>
  <c r="E15" i="8"/>
  <c r="C15" i="8"/>
  <c r="I14" i="8"/>
  <c r="G14" i="8"/>
  <c r="E14" i="8"/>
  <c r="C14" i="8"/>
  <c r="I13" i="8"/>
  <c r="G13" i="8"/>
  <c r="E13" i="8"/>
  <c r="C13" i="8"/>
  <c r="I12" i="8"/>
  <c r="G12" i="8"/>
  <c r="E12" i="8"/>
  <c r="C12" i="8"/>
  <c r="I11" i="8"/>
  <c r="G11" i="8"/>
  <c r="E11" i="8"/>
  <c r="C11" i="8"/>
  <c r="I10" i="8"/>
  <c r="G10" i="8"/>
  <c r="E10" i="8"/>
  <c r="C10" i="8"/>
  <c r="I9" i="8"/>
  <c r="G9" i="8"/>
  <c r="E9" i="8"/>
  <c r="C9" i="8"/>
  <c r="L43" i="6"/>
  <c r="K43" i="6"/>
  <c r="J43" i="6"/>
  <c r="I43" i="6"/>
  <c r="H43" i="6"/>
  <c r="G43" i="6"/>
  <c r="F43" i="6"/>
  <c r="E43" i="6"/>
  <c r="D43" i="6"/>
  <c r="C43" i="6"/>
  <c r="B43" i="6"/>
  <c r="L42" i="6"/>
  <c r="K42" i="6"/>
  <c r="J42" i="6"/>
  <c r="I42" i="6"/>
  <c r="H42" i="6"/>
  <c r="G42" i="6"/>
  <c r="F42" i="6"/>
  <c r="E42" i="6"/>
  <c r="D42" i="6"/>
  <c r="C42" i="6"/>
  <c r="B42" i="6"/>
  <c r="L41" i="6"/>
  <c r="K41" i="6"/>
  <c r="J41" i="6"/>
  <c r="I41" i="6"/>
  <c r="H41" i="6"/>
  <c r="G41" i="6"/>
  <c r="F41" i="6"/>
  <c r="E41" i="6"/>
  <c r="D41" i="6"/>
  <c r="C41" i="6"/>
  <c r="B41" i="6"/>
  <c r="L40" i="6"/>
  <c r="K40" i="6"/>
  <c r="J40" i="6"/>
  <c r="I40" i="6"/>
  <c r="H40" i="6"/>
  <c r="G40" i="6"/>
  <c r="F40" i="6"/>
  <c r="E40" i="6"/>
  <c r="D40" i="6"/>
  <c r="C40" i="6"/>
  <c r="B40" i="6"/>
  <c r="L39" i="6"/>
  <c r="K39" i="6"/>
  <c r="J39" i="6"/>
  <c r="I39" i="6"/>
  <c r="H39" i="6"/>
  <c r="G39" i="6"/>
  <c r="F39" i="6"/>
  <c r="E39" i="6"/>
  <c r="D39" i="6"/>
  <c r="C39" i="6"/>
  <c r="B39" i="6"/>
  <c r="L38" i="6"/>
  <c r="K38" i="6"/>
  <c r="J38" i="6"/>
  <c r="I38" i="6"/>
  <c r="H38" i="6"/>
  <c r="G38" i="6"/>
  <c r="F38" i="6"/>
  <c r="E38" i="6"/>
  <c r="D38" i="6"/>
  <c r="C38" i="6"/>
  <c r="B38" i="6"/>
  <c r="L37" i="6"/>
  <c r="K37" i="6"/>
  <c r="J37" i="6"/>
  <c r="I37" i="6"/>
  <c r="H37" i="6"/>
  <c r="G37" i="6"/>
  <c r="F37" i="6"/>
  <c r="E37" i="6"/>
  <c r="D37" i="6"/>
  <c r="C37" i="6"/>
  <c r="B37" i="6"/>
  <c r="L36" i="6"/>
  <c r="K36" i="6"/>
  <c r="J36" i="6"/>
  <c r="I36" i="6"/>
  <c r="H36" i="6"/>
  <c r="G36" i="6"/>
  <c r="F36" i="6"/>
  <c r="E36" i="6"/>
  <c r="D36" i="6"/>
  <c r="C36" i="6"/>
  <c r="B36" i="6"/>
  <c r="L35" i="6"/>
  <c r="K35" i="6"/>
  <c r="J35" i="6"/>
  <c r="I35" i="6"/>
  <c r="H35" i="6"/>
  <c r="G35" i="6"/>
  <c r="F35" i="6"/>
  <c r="E35" i="6"/>
  <c r="D35" i="6"/>
  <c r="C35" i="6"/>
  <c r="B35" i="6"/>
  <c r="L34" i="6"/>
  <c r="K34" i="6"/>
  <c r="J34" i="6"/>
  <c r="I34" i="6"/>
  <c r="H34" i="6"/>
  <c r="G34" i="6"/>
  <c r="F34" i="6"/>
  <c r="E34" i="6"/>
  <c r="D34" i="6"/>
  <c r="C34" i="6"/>
  <c r="B34" i="6"/>
  <c r="L33" i="6"/>
  <c r="K33" i="6"/>
  <c r="J33" i="6"/>
  <c r="I33" i="6"/>
  <c r="H33" i="6"/>
  <c r="G33" i="6"/>
  <c r="F33" i="6"/>
  <c r="E33" i="6"/>
  <c r="D33" i="6"/>
  <c r="C33" i="6"/>
  <c r="B33" i="6"/>
  <c r="L32" i="6"/>
  <c r="K32" i="6"/>
  <c r="J32" i="6"/>
  <c r="I32" i="6"/>
  <c r="H32" i="6"/>
  <c r="G32" i="6"/>
  <c r="F32" i="6"/>
  <c r="E32" i="6"/>
  <c r="D32" i="6"/>
  <c r="C32" i="6"/>
  <c r="B32" i="6"/>
  <c r="L31" i="6"/>
  <c r="K31" i="6"/>
  <c r="J31" i="6"/>
  <c r="I31" i="6"/>
  <c r="H31" i="6"/>
  <c r="G31" i="6"/>
  <c r="F31" i="6"/>
  <c r="E31" i="6"/>
  <c r="D31" i="6"/>
  <c r="C31" i="6"/>
  <c r="B31" i="6"/>
  <c r="L30" i="6"/>
  <c r="K30" i="6"/>
  <c r="J30" i="6"/>
  <c r="I30" i="6"/>
  <c r="H30" i="6"/>
  <c r="G30" i="6"/>
  <c r="F30" i="6"/>
  <c r="E30" i="6"/>
  <c r="D30" i="6"/>
  <c r="C30" i="6"/>
  <c r="B30" i="6"/>
  <c r="L29" i="6"/>
  <c r="K29" i="6"/>
  <c r="J29" i="6"/>
  <c r="I29" i="6"/>
  <c r="H29" i="6"/>
  <c r="G29" i="6"/>
  <c r="F29" i="6"/>
  <c r="E29" i="6"/>
  <c r="D29" i="6"/>
  <c r="C29" i="6"/>
  <c r="B29" i="6"/>
  <c r="L26" i="6"/>
  <c r="K26" i="6"/>
  <c r="J26" i="6"/>
  <c r="I26" i="6"/>
  <c r="H26" i="6"/>
  <c r="G26" i="6"/>
  <c r="F26" i="6"/>
  <c r="E26" i="6"/>
  <c r="D26" i="6"/>
  <c r="C26" i="6"/>
  <c r="B26" i="6"/>
  <c r="L25" i="6"/>
  <c r="K25" i="6"/>
  <c r="J25" i="6"/>
  <c r="I25" i="6"/>
  <c r="H25" i="6"/>
  <c r="G25" i="6"/>
  <c r="F25" i="6"/>
  <c r="E25" i="6"/>
  <c r="D25" i="6"/>
  <c r="C25" i="6"/>
  <c r="B25" i="6"/>
  <c r="L24" i="6"/>
  <c r="K24" i="6"/>
  <c r="J24" i="6"/>
  <c r="I24" i="6"/>
  <c r="H24" i="6"/>
  <c r="G24" i="6"/>
  <c r="F24" i="6"/>
  <c r="E24" i="6"/>
  <c r="D24" i="6"/>
  <c r="C24" i="6"/>
  <c r="B24" i="6"/>
  <c r="L23" i="6"/>
  <c r="K23" i="6"/>
  <c r="J23" i="6"/>
  <c r="I23" i="6"/>
  <c r="H23" i="6"/>
  <c r="G23" i="6"/>
  <c r="F23" i="6"/>
  <c r="E23" i="6"/>
  <c r="D23" i="6"/>
  <c r="C23" i="6"/>
  <c r="B23" i="6"/>
  <c r="L22" i="6"/>
  <c r="K22" i="6"/>
  <c r="J22" i="6"/>
  <c r="I22" i="6"/>
  <c r="H22" i="6"/>
  <c r="G22" i="6"/>
  <c r="F22" i="6"/>
  <c r="E22" i="6"/>
  <c r="D22" i="6"/>
  <c r="C22" i="6"/>
  <c r="B22" i="6"/>
  <c r="L21" i="6"/>
  <c r="K21" i="6"/>
  <c r="J21" i="6"/>
  <c r="I21" i="6"/>
  <c r="H21" i="6"/>
  <c r="G21" i="6"/>
  <c r="F21" i="6"/>
  <c r="E21" i="6"/>
  <c r="D21" i="6"/>
  <c r="C21" i="6"/>
  <c r="B21" i="6"/>
  <c r="L20" i="6"/>
  <c r="K20" i="6"/>
  <c r="J20" i="6"/>
  <c r="I20" i="6"/>
  <c r="H20" i="6"/>
  <c r="G20" i="6"/>
  <c r="F20" i="6"/>
  <c r="E20" i="6"/>
  <c r="D20" i="6"/>
  <c r="C20" i="6"/>
  <c r="B20" i="6"/>
  <c r="L19" i="6"/>
  <c r="K19" i="6"/>
  <c r="J19" i="6"/>
  <c r="I19" i="6"/>
  <c r="H19" i="6"/>
  <c r="G19" i="6"/>
  <c r="F19" i="6"/>
  <c r="E19" i="6"/>
  <c r="D19" i="6"/>
  <c r="C19" i="6"/>
  <c r="B19" i="6"/>
  <c r="L18" i="6"/>
  <c r="K18" i="6"/>
  <c r="J18" i="6"/>
  <c r="I18" i="6"/>
  <c r="H18" i="6"/>
  <c r="G18" i="6"/>
  <c r="F18" i="6"/>
  <c r="E18" i="6"/>
  <c r="D18" i="6"/>
  <c r="C18" i="6"/>
  <c r="B18" i="6"/>
  <c r="L17" i="6"/>
  <c r="K17" i="6"/>
  <c r="J17" i="6"/>
  <c r="I17" i="6"/>
  <c r="H17" i="6"/>
  <c r="G17" i="6"/>
  <c r="F17" i="6"/>
  <c r="E17" i="6"/>
  <c r="D17" i="6"/>
  <c r="C17" i="6"/>
  <c r="B17" i="6"/>
  <c r="L15" i="6"/>
  <c r="K15" i="6"/>
  <c r="J15" i="6"/>
  <c r="I15" i="6"/>
  <c r="H15" i="6"/>
  <c r="G15" i="6"/>
  <c r="F15" i="6"/>
  <c r="E15" i="6"/>
  <c r="D15" i="6"/>
  <c r="C15" i="6"/>
  <c r="B15" i="6"/>
  <c r="L14" i="6"/>
  <c r="K14" i="6"/>
  <c r="J14" i="6"/>
  <c r="I14" i="6"/>
  <c r="H14" i="6"/>
  <c r="G14" i="6"/>
  <c r="F14" i="6"/>
  <c r="E14" i="6"/>
  <c r="D14" i="6"/>
  <c r="C14" i="6"/>
  <c r="B14" i="6"/>
  <c r="L13" i="6"/>
  <c r="K13" i="6"/>
  <c r="J13" i="6"/>
  <c r="I13" i="6"/>
  <c r="H13" i="6"/>
  <c r="G13" i="6"/>
  <c r="F13" i="6"/>
  <c r="E13" i="6"/>
  <c r="D13" i="6"/>
  <c r="C13" i="6"/>
  <c r="B13" i="6"/>
  <c r="L12" i="6"/>
  <c r="K12" i="6"/>
  <c r="J12" i="6"/>
  <c r="I12" i="6"/>
  <c r="H12" i="6"/>
  <c r="G12" i="6"/>
  <c r="F12" i="6"/>
  <c r="E12" i="6"/>
  <c r="D12" i="6"/>
  <c r="C12" i="6"/>
  <c r="B12" i="6"/>
  <c r="L11" i="6"/>
  <c r="K11" i="6"/>
  <c r="J11" i="6"/>
  <c r="I11" i="6"/>
  <c r="H11" i="6"/>
  <c r="G11" i="6"/>
  <c r="F11" i="6"/>
  <c r="E11" i="6"/>
  <c r="D11" i="6"/>
  <c r="C11" i="6"/>
  <c r="B11" i="6"/>
  <c r="L10" i="6"/>
  <c r="K10" i="6"/>
  <c r="J10" i="6"/>
  <c r="I10" i="6"/>
  <c r="H10" i="6"/>
  <c r="G10" i="6"/>
  <c r="F10" i="6"/>
  <c r="E10" i="6"/>
  <c r="D10" i="6"/>
  <c r="C10" i="6"/>
  <c r="B10" i="6"/>
  <c r="L9" i="6"/>
  <c r="K9" i="6"/>
  <c r="J9" i="6"/>
  <c r="I9" i="6"/>
  <c r="H9" i="6"/>
  <c r="G9" i="6"/>
  <c r="F9" i="6"/>
  <c r="E9" i="6"/>
  <c r="D9" i="6"/>
  <c r="C9" i="6"/>
  <c r="B9" i="6"/>
  <c r="L8" i="6"/>
  <c r="K8" i="6"/>
  <c r="J8" i="6"/>
  <c r="I8" i="6"/>
  <c r="H8" i="6"/>
  <c r="G8" i="6"/>
  <c r="F8" i="6"/>
  <c r="E8" i="6"/>
  <c r="D8" i="6"/>
  <c r="C8" i="6"/>
  <c r="B8" i="6"/>
  <c r="L7" i="6"/>
  <c r="K7" i="6"/>
  <c r="J7" i="6"/>
  <c r="I7" i="6"/>
  <c r="H7" i="6"/>
  <c r="G7" i="6"/>
  <c r="F7" i="6"/>
  <c r="E7" i="6"/>
  <c r="D7" i="6"/>
  <c r="C7" i="6"/>
  <c r="B7" i="6"/>
  <c r="L6" i="6"/>
  <c r="K6" i="6"/>
  <c r="J6" i="6"/>
  <c r="I6" i="6"/>
  <c r="H6" i="6"/>
  <c r="G6" i="6"/>
  <c r="F6" i="6"/>
  <c r="E6" i="6"/>
  <c r="D6" i="6"/>
  <c r="C6" i="6"/>
  <c r="B6" i="6"/>
  <c r="Q43" i="5"/>
  <c r="P43" i="5"/>
  <c r="O43" i="5"/>
  <c r="N43" i="5"/>
  <c r="M43" i="5"/>
  <c r="L43" i="5"/>
  <c r="K43" i="5"/>
  <c r="J43" i="5"/>
  <c r="I43" i="5"/>
  <c r="H43" i="5"/>
  <c r="G43" i="5"/>
  <c r="F43" i="5"/>
  <c r="E43" i="5"/>
  <c r="D43" i="5" s="1"/>
  <c r="C43" i="5"/>
  <c r="B43" i="5"/>
  <c r="Q42" i="5"/>
  <c r="P42" i="5"/>
  <c r="O42" i="5"/>
  <c r="N42" i="5"/>
  <c r="M42" i="5"/>
  <c r="L42" i="5"/>
  <c r="K42" i="5"/>
  <c r="J42" i="5"/>
  <c r="I42" i="5"/>
  <c r="H42" i="5"/>
  <c r="G42" i="5"/>
  <c r="F42" i="5"/>
  <c r="E42" i="5"/>
  <c r="D42" i="5" s="1"/>
  <c r="C42" i="5"/>
  <c r="B42" i="5"/>
  <c r="Q41" i="5"/>
  <c r="P41" i="5"/>
  <c r="O41" i="5"/>
  <c r="N41" i="5"/>
  <c r="M41" i="5"/>
  <c r="L41" i="5"/>
  <c r="K41" i="5"/>
  <c r="J41" i="5"/>
  <c r="I41" i="5"/>
  <c r="H41" i="5"/>
  <c r="G41" i="5"/>
  <c r="F41" i="5"/>
  <c r="E41" i="5"/>
  <c r="D41" i="5" s="1"/>
  <c r="C41" i="5"/>
  <c r="B41" i="5"/>
  <c r="Q40" i="5"/>
  <c r="P40" i="5"/>
  <c r="O40" i="5"/>
  <c r="N40" i="5"/>
  <c r="M40" i="5"/>
  <c r="L40" i="5"/>
  <c r="K40" i="5"/>
  <c r="J40" i="5"/>
  <c r="I40" i="5"/>
  <c r="H40" i="5"/>
  <c r="G40" i="5"/>
  <c r="F40" i="5"/>
  <c r="E40" i="5"/>
  <c r="D40" i="5" s="1"/>
  <c r="C40" i="5"/>
  <c r="B40" i="5"/>
  <c r="Q39" i="5"/>
  <c r="P39" i="5"/>
  <c r="O39" i="5"/>
  <c r="N39" i="5"/>
  <c r="M39" i="5"/>
  <c r="L39" i="5"/>
  <c r="K39" i="5"/>
  <c r="J39" i="5"/>
  <c r="I39" i="5"/>
  <c r="H39" i="5"/>
  <c r="G39" i="5"/>
  <c r="F39" i="5"/>
  <c r="E39" i="5"/>
  <c r="D39" i="5" s="1"/>
  <c r="C39" i="5"/>
  <c r="B39" i="5"/>
  <c r="Q38" i="5"/>
  <c r="P38" i="5"/>
  <c r="O38" i="5"/>
  <c r="N38" i="5"/>
  <c r="M38" i="5"/>
  <c r="L38" i="5"/>
  <c r="K38" i="5"/>
  <c r="J38" i="5"/>
  <c r="I38" i="5"/>
  <c r="H38" i="5"/>
  <c r="G38" i="5"/>
  <c r="F38" i="5"/>
  <c r="E38" i="5"/>
  <c r="D38" i="5" s="1"/>
  <c r="C38" i="5"/>
  <c r="B38" i="5"/>
  <c r="Q37" i="5"/>
  <c r="P37" i="5"/>
  <c r="O37" i="5"/>
  <c r="N37" i="5"/>
  <c r="M37" i="5"/>
  <c r="L37" i="5"/>
  <c r="K37" i="5"/>
  <c r="J37" i="5"/>
  <c r="I37" i="5"/>
  <c r="H37" i="5"/>
  <c r="G37" i="5"/>
  <c r="F37" i="5"/>
  <c r="E37" i="5"/>
  <c r="D37" i="5" s="1"/>
  <c r="C37" i="5"/>
  <c r="B37" i="5"/>
  <c r="Q36" i="5"/>
  <c r="P36" i="5"/>
  <c r="O36" i="5"/>
  <c r="N36" i="5"/>
  <c r="M36" i="5"/>
  <c r="L36" i="5"/>
  <c r="K36" i="5"/>
  <c r="J36" i="5"/>
  <c r="I36" i="5"/>
  <c r="H36" i="5"/>
  <c r="G36" i="5"/>
  <c r="F36" i="5"/>
  <c r="E36" i="5"/>
  <c r="D36" i="5" s="1"/>
  <c r="C36" i="5"/>
  <c r="B36" i="5"/>
  <c r="Q35" i="5"/>
  <c r="P35" i="5"/>
  <c r="O35" i="5"/>
  <c r="N35" i="5"/>
  <c r="M35" i="5"/>
  <c r="L35" i="5"/>
  <c r="K35" i="5"/>
  <c r="J35" i="5"/>
  <c r="I35" i="5"/>
  <c r="H35" i="5"/>
  <c r="G35" i="5"/>
  <c r="F35" i="5"/>
  <c r="E35" i="5"/>
  <c r="D35" i="5" s="1"/>
  <c r="C35" i="5"/>
  <c r="B35" i="5"/>
  <c r="Q34" i="5"/>
  <c r="P34" i="5"/>
  <c r="O34" i="5"/>
  <c r="N34" i="5"/>
  <c r="M34" i="5"/>
  <c r="L34" i="5"/>
  <c r="K34" i="5"/>
  <c r="J34" i="5"/>
  <c r="I34" i="5"/>
  <c r="H34" i="5"/>
  <c r="G34" i="5"/>
  <c r="F34" i="5"/>
  <c r="E34" i="5"/>
  <c r="D34" i="5" s="1"/>
  <c r="C34" i="5"/>
  <c r="B34" i="5"/>
  <c r="Q33" i="5"/>
  <c r="P33" i="5"/>
  <c r="O33" i="5"/>
  <c r="N33" i="5"/>
  <c r="M33" i="5"/>
  <c r="L33" i="5"/>
  <c r="K33" i="5"/>
  <c r="J33" i="5"/>
  <c r="I33" i="5"/>
  <c r="H33" i="5"/>
  <c r="G33" i="5"/>
  <c r="F33" i="5"/>
  <c r="E33" i="5"/>
  <c r="D33" i="5" s="1"/>
  <c r="C33" i="5"/>
  <c r="B33" i="5"/>
  <c r="Q32" i="5"/>
  <c r="P32" i="5"/>
  <c r="O32" i="5"/>
  <c r="N32" i="5"/>
  <c r="M32" i="5"/>
  <c r="L32" i="5"/>
  <c r="K32" i="5"/>
  <c r="J32" i="5"/>
  <c r="I32" i="5"/>
  <c r="H32" i="5"/>
  <c r="G32" i="5"/>
  <c r="F32" i="5"/>
  <c r="E32" i="5"/>
  <c r="D32" i="5" s="1"/>
  <c r="C32" i="5"/>
  <c r="B32" i="5"/>
  <c r="Q31" i="5"/>
  <c r="P31" i="5"/>
  <c r="O31" i="5"/>
  <c r="N31" i="5"/>
  <c r="M31" i="5"/>
  <c r="L31" i="5"/>
  <c r="K31" i="5"/>
  <c r="J31" i="5"/>
  <c r="I31" i="5"/>
  <c r="H31" i="5"/>
  <c r="G31" i="5"/>
  <c r="F31" i="5"/>
  <c r="E31" i="5"/>
  <c r="D31" i="5" s="1"/>
  <c r="C31" i="5"/>
  <c r="B31" i="5"/>
  <c r="Q30" i="5"/>
  <c r="P30" i="5"/>
  <c r="O30" i="5"/>
  <c r="N30" i="5"/>
  <c r="M30" i="5"/>
  <c r="L30" i="5"/>
  <c r="K30" i="5"/>
  <c r="J30" i="5"/>
  <c r="I30" i="5"/>
  <c r="H30" i="5"/>
  <c r="G30" i="5"/>
  <c r="F30" i="5"/>
  <c r="E30" i="5"/>
  <c r="D30" i="5" s="1"/>
  <c r="C30" i="5"/>
  <c r="B30" i="5"/>
  <c r="Q29" i="5"/>
  <c r="P29" i="5"/>
  <c r="O29" i="5"/>
  <c r="N29" i="5"/>
  <c r="M29" i="5"/>
  <c r="L29" i="5"/>
  <c r="K29" i="5"/>
  <c r="J29" i="5"/>
  <c r="I29" i="5"/>
  <c r="H29" i="5"/>
  <c r="G29" i="5"/>
  <c r="F29" i="5"/>
  <c r="E29" i="5"/>
  <c r="D29" i="5" s="1"/>
  <c r="C29" i="5"/>
  <c r="B29" i="5"/>
  <c r="T26" i="5"/>
  <c r="S26" i="5"/>
  <c r="R26" i="5"/>
  <c r="Q26" i="5"/>
  <c r="P26" i="5"/>
  <c r="O26" i="5"/>
  <c r="N26" i="5"/>
  <c r="M26" i="5"/>
  <c r="L26" i="5"/>
  <c r="K26" i="5"/>
  <c r="J26" i="5"/>
  <c r="I26" i="5"/>
  <c r="H26" i="5"/>
  <c r="G26" i="5"/>
  <c r="F26" i="5"/>
  <c r="E26" i="5"/>
  <c r="D26" i="5"/>
  <c r="C26" i="5"/>
  <c r="B26" i="5"/>
  <c r="T25" i="5"/>
  <c r="S25" i="5"/>
  <c r="R25" i="5"/>
  <c r="Q25" i="5"/>
  <c r="P25" i="5"/>
  <c r="O25" i="5"/>
  <c r="N25" i="5"/>
  <c r="M25" i="5"/>
  <c r="L25" i="5"/>
  <c r="K25" i="5"/>
  <c r="J25" i="5"/>
  <c r="I25" i="5"/>
  <c r="H25" i="5"/>
  <c r="G25" i="5"/>
  <c r="F25" i="5"/>
  <c r="E25" i="5"/>
  <c r="D25" i="5" s="1"/>
  <c r="C25" i="5"/>
  <c r="B25" i="5"/>
  <c r="T24" i="5"/>
  <c r="S24" i="5"/>
  <c r="R24" i="5"/>
  <c r="Q24" i="5"/>
  <c r="P24" i="5"/>
  <c r="O24" i="5"/>
  <c r="N24" i="5"/>
  <c r="M24" i="5"/>
  <c r="L24" i="5"/>
  <c r="K24" i="5"/>
  <c r="J24" i="5"/>
  <c r="I24" i="5"/>
  <c r="H24" i="5"/>
  <c r="G24" i="5"/>
  <c r="F24" i="5"/>
  <c r="E24" i="5"/>
  <c r="D24" i="5" s="1"/>
  <c r="C24" i="5"/>
  <c r="B24" i="5"/>
  <c r="T23" i="5"/>
  <c r="S23" i="5"/>
  <c r="R23" i="5"/>
  <c r="Q23" i="5"/>
  <c r="P23" i="5"/>
  <c r="O23" i="5"/>
  <c r="N23" i="5"/>
  <c r="M23" i="5"/>
  <c r="L23" i="5"/>
  <c r="K23" i="5"/>
  <c r="J23" i="5"/>
  <c r="I23" i="5"/>
  <c r="H23" i="5"/>
  <c r="G23" i="5"/>
  <c r="F23" i="5"/>
  <c r="E23" i="5"/>
  <c r="D23" i="5"/>
  <c r="C23" i="5"/>
  <c r="B23" i="5"/>
  <c r="T22" i="5"/>
  <c r="S22" i="5"/>
  <c r="R22" i="5"/>
  <c r="Q22" i="5"/>
  <c r="P22" i="5"/>
  <c r="O22" i="5"/>
  <c r="N22" i="5"/>
  <c r="M22" i="5"/>
  <c r="L22" i="5"/>
  <c r="K22" i="5"/>
  <c r="J22" i="5"/>
  <c r="I22" i="5"/>
  <c r="H22" i="5"/>
  <c r="G22" i="5"/>
  <c r="D22" i="5" s="1"/>
  <c r="F22" i="5"/>
  <c r="E22" i="5"/>
  <c r="C22" i="5"/>
  <c r="B22" i="5"/>
  <c r="T21" i="5"/>
  <c r="S21" i="5"/>
  <c r="R21" i="5"/>
  <c r="Q21" i="5"/>
  <c r="P21" i="5"/>
  <c r="O21" i="5"/>
  <c r="N21" i="5"/>
  <c r="M21" i="5"/>
  <c r="L21" i="5"/>
  <c r="K21" i="5"/>
  <c r="J21" i="5"/>
  <c r="I21" i="5"/>
  <c r="H21" i="5"/>
  <c r="G21" i="5"/>
  <c r="F21" i="5"/>
  <c r="E20" i="4" s="1"/>
  <c r="E21" i="5"/>
  <c r="D21" i="5" s="1"/>
  <c r="C21" i="5"/>
  <c r="B21" i="5"/>
  <c r="T20" i="5"/>
  <c r="S20" i="5"/>
  <c r="R20" i="5"/>
  <c r="Q20" i="5"/>
  <c r="J19" i="4" s="1"/>
  <c r="P20" i="5"/>
  <c r="O20" i="5"/>
  <c r="N20" i="5"/>
  <c r="M20" i="5"/>
  <c r="L20" i="5"/>
  <c r="K20" i="5"/>
  <c r="J20" i="5"/>
  <c r="I20" i="5"/>
  <c r="H20" i="5"/>
  <c r="G20" i="5"/>
  <c r="F20" i="5"/>
  <c r="E20" i="5"/>
  <c r="D20" i="5" s="1"/>
  <c r="C20" i="5"/>
  <c r="B20" i="5"/>
  <c r="T19" i="5"/>
  <c r="S19" i="5"/>
  <c r="R19" i="5"/>
  <c r="Q19" i="5"/>
  <c r="P19" i="5"/>
  <c r="K18" i="4" s="1"/>
  <c r="O19" i="5"/>
  <c r="N19" i="5"/>
  <c r="M19" i="5"/>
  <c r="L19" i="5"/>
  <c r="K19" i="5"/>
  <c r="J19" i="5"/>
  <c r="I19" i="5"/>
  <c r="H19" i="5"/>
  <c r="G18" i="4" s="1"/>
  <c r="G19" i="5"/>
  <c r="F19" i="5"/>
  <c r="E19" i="5"/>
  <c r="D19" i="5"/>
  <c r="C19" i="5"/>
  <c r="B19" i="5"/>
  <c r="T18" i="5"/>
  <c r="S18" i="5"/>
  <c r="R18" i="5"/>
  <c r="Q18" i="5"/>
  <c r="P18" i="5"/>
  <c r="O18" i="5"/>
  <c r="N18" i="5"/>
  <c r="M18" i="5"/>
  <c r="L18" i="5"/>
  <c r="K18" i="5"/>
  <c r="J18" i="5"/>
  <c r="I18" i="5"/>
  <c r="H18" i="5"/>
  <c r="G18" i="5"/>
  <c r="F18" i="5"/>
  <c r="D18" i="5" s="1"/>
  <c r="E18" i="5"/>
  <c r="C18" i="5"/>
  <c r="B18" i="5"/>
  <c r="T17" i="5"/>
  <c r="S17" i="5"/>
  <c r="R17" i="5"/>
  <c r="Q17" i="5"/>
  <c r="P17" i="5"/>
  <c r="O17" i="5"/>
  <c r="N17" i="5"/>
  <c r="M17" i="5"/>
  <c r="L17" i="5"/>
  <c r="K17" i="5"/>
  <c r="J17" i="5"/>
  <c r="I17" i="5"/>
  <c r="H17" i="5"/>
  <c r="G17" i="5"/>
  <c r="F17" i="5"/>
  <c r="E16" i="4" s="1"/>
  <c r="E17" i="5"/>
  <c r="D17" i="5" s="1"/>
  <c r="C17" i="5"/>
  <c r="B17" i="5"/>
  <c r="T15" i="5"/>
  <c r="S15" i="5"/>
  <c r="R15" i="5"/>
  <c r="Q15" i="5"/>
  <c r="I25" i="2" s="1"/>
  <c r="P15" i="5"/>
  <c r="O15" i="5"/>
  <c r="N15" i="5"/>
  <c r="M15" i="5"/>
  <c r="L15" i="5"/>
  <c r="K15" i="5"/>
  <c r="J15" i="5"/>
  <c r="I15" i="5"/>
  <c r="H15" i="5"/>
  <c r="G15" i="5"/>
  <c r="F15" i="5"/>
  <c r="E15" i="5"/>
  <c r="D15" i="5" s="1"/>
  <c r="C15" i="5"/>
  <c r="B15" i="5"/>
  <c r="T14" i="5"/>
  <c r="S14" i="5"/>
  <c r="R14" i="5"/>
  <c r="Q14" i="5"/>
  <c r="P14" i="5"/>
  <c r="J24" i="2" s="1"/>
  <c r="O14" i="5"/>
  <c r="N14" i="5"/>
  <c r="M14" i="5"/>
  <c r="L14" i="5"/>
  <c r="K14" i="5"/>
  <c r="J14" i="5"/>
  <c r="I14" i="5"/>
  <c r="G24" i="2" s="1"/>
  <c r="H14" i="5"/>
  <c r="F24" i="2" s="1"/>
  <c r="G14" i="5"/>
  <c r="F14" i="5"/>
  <c r="E14" i="5"/>
  <c r="C24" i="2" s="1"/>
  <c r="C14" i="5"/>
  <c r="B14" i="5"/>
  <c r="T13" i="5"/>
  <c r="S13" i="5"/>
  <c r="R13" i="5"/>
  <c r="Q13" i="5"/>
  <c r="P13" i="5"/>
  <c r="O13" i="5"/>
  <c r="H23" i="2" s="1"/>
  <c r="D25" i="3" s="1"/>
  <c r="N13" i="5"/>
  <c r="M13" i="5"/>
  <c r="L13" i="5"/>
  <c r="K13" i="5"/>
  <c r="J13" i="5"/>
  <c r="I13" i="5"/>
  <c r="H13" i="5"/>
  <c r="G13" i="5"/>
  <c r="E23" i="2" s="1"/>
  <c r="F13" i="5"/>
  <c r="D13" i="5" s="1"/>
  <c r="E13" i="5"/>
  <c r="C13" i="5"/>
  <c r="B13" i="5"/>
  <c r="T12" i="5"/>
  <c r="S12" i="5"/>
  <c r="R12" i="5"/>
  <c r="Q12" i="5"/>
  <c r="P12" i="5"/>
  <c r="O12" i="5"/>
  <c r="N12" i="5"/>
  <c r="M12" i="5"/>
  <c r="L12" i="5"/>
  <c r="K12" i="5"/>
  <c r="J12" i="5"/>
  <c r="I12" i="5"/>
  <c r="G22" i="2" s="1"/>
  <c r="H12" i="5"/>
  <c r="G12" i="5"/>
  <c r="F12" i="5"/>
  <c r="E12" i="5"/>
  <c r="D12" i="5" s="1"/>
  <c r="C12" i="5"/>
  <c r="B12" i="5"/>
  <c r="T11" i="5"/>
  <c r="S11" i="5"/>
  <c r="R11" i="5"/>
  <c r="Q11" i="5"/>
  <c r="I21" i="2" s="1"/>
  <c r="P11" i="5"/>
  <c r="O11" i="5"/>
  <c r="N11" i="5"/>
  <c r="M11" i="5"/>
  <c r="L11" i="5"/>
  <c r="K11" i="5"/>
  <c r="J11" i="5"/>
  <c r="I11" i="5"/>
  <c r="H11" i="5"/>
  <c r="G11" i="5"/>
  <c r="F11" i="5"/>
  <c r="E11" i="5"/>
  <c r="D11" i="5" s="1"/>
  <c r="C11" i="5"/>
  <c r="B11" i="5"/>
  <c r="T10" i="5"/>
  <c r="S10" i="5"/>
  <c r="R10" i="5"/>
  <c r="Q10" i="5"/>
  <c r="P10" i="5"/>
  <c r="J20" i="2" s="1"/>
  <c r="O10" i="5"/>
  <c r="N10" i="5"/>
  <c r="M10" i="5"/>
  <c r="L10" i="5"/>
  <c r="K10" i="5"/>
  <c r="J10" i="5"/>
  <c r="I10" i="5"/>
  <c r="H10" i="5"/>
  <c r="F20" i="2" s="1"/>
  <c r="G10" i="5"/>
  <c r="F10" i="5"/>
  <c r="E10" i="5"/>
  <c r="C10" i="5"/>
  <c r="B10" i="5"/>
  <c r="T9" i="5"/>
  <c r="S9" i="5"/>
  <c r="R9" i="5"/>
  <c r="Q9" i="5"/>
  <c r="P9" i="5"/>
  <c r="O9" i="5"/>
  <c r="H19" i="2" s="1"/>
  <c r="N9" i="5"/>
  <c r="M9" i="5"/>
  <c r="L9" i="5"/>
  <c r="K9" i="5"/>
  <c r="J9" i="5"/>
  <c r="I9" i="5"/>
  <c r="H9" i="5"/>
  <c r="G9" i="5"/>
  <c r="F9" i="5"/>
  <c r="D9" i="5" s="1"/>
  <c r="E9" i="5"/>
  <c r="C9" i="5"/>
  <c r="B9" i="5"/>
  <c r="T8" i="5"/>
  <c r="S8" i="5"/>
  <c r="R8" i="5"/>
  <c r="Q8" i="5"/>
  <c r="P8" i="5"/>
  <c r="O8" i="5"/>
  <c r="H18" i="2" s="1"/>
  <c r="N8" i="5"/>
  <c r="M8" i="5"/>
  <c r="L8" i="5"/>
  <c r="K8" i="5"/>
  <c r="J8" i="5"/>
  <c r="I8" i="5"/>
  <c r="H8" i="5"/>
  <c r="G8" i="5"/>
  <c r="F8" i="5"/>
  <c r="D18" i="2" s="1"/>
  <c r="E8" i="5"/>
  <c r="D8" i="5" s="1"/>
  <c r="C8" i="5"/>
  <c r="B8" i="5"/>
  <c r="T7" i="5"/>
  <c r="S7" i="5"/>
  <c r="R7" i="5"/>
  <c r="Q7" i="5"/>
  <c r="I17" i="2" s="1"/>
  <c r="P7" i="5"/>
  <c r="O7" i="5"/>
  <c r="N7" i="5"/>
  <c r="M7" i="5"/>
  <c r="L7" i="5"/>
  <c r="K7" i="5"/>
  <c r="J7" i="5"/>
  <c r="I7" i="5"/>
  <c r="H7" i="5"/>
  <c r="G7" i="5"/>
  <c r="F7" i="5"/>
  <c r="E7" i="5"/>
  <c r="D7" i="5" s="1"/>
  <c r="C7" i="5"/>
  <c r="B7" i="5"/>
  <c r="T6" i="5"/>
  <c r="S6" i="5"/>
  <c r="R6" i="5"/>
  <c r="Q6" i="5"/>
  <c r="P6" i="5"/>
  <c r="J16" i="2" s="1"/>
  <c r="O6" i="5"/>
  <c r="N6" i="5"/>
  <c r="M6" i="5"/>
  <c r="L6" i="5"/>
  <c r="K6" i="5"/>
  <c r="J6" i="5"/>
  <c r="I6" i="5"/>
  <c r="H6" i="5"/>
  <c r="F16" i="2" s="1"/>
  <c r="G6" i="5"/>
  <c r="E16" i="2" s="1"/>
  <c r="F6" i="5"/>
  <c r="E6" i="5"/>
  <c r="C6" i="5"/>
  <c r="B6" i="5"/>
  <c r="N37" i="4"/>
  <c r="M37" i="4"/>
  <c r="L37" i="4"/>
  <c r="K37" i="4"/>
  <c r="J37" i="4"/>
  <c r="I37" i="4"/>
  <c r="H37" i="4"/>
  <c r="G37" i="4"/>
  <c r="F37" i="4"/>
  <c r="E37" i="4"/>
  <c r="D37" i="4"/>
  <c r="A37" i="4"/>
  <c r="N36" i="4"/>
  <c r="M36" i="4"/>
  <c r="L36" i="4"/>
  <c r="K36" i="4"/>
  <c r="J36" i="4"/>
  <c r="I36" i="4"/>
  <c r="H36" i="4"/>
  <c r="G36" i="4"/>
  <c r="F36" i="4"/>
  <c r="E36" i="4"/>
  <c r="D36" i="4"/>
  <c r="A36" i="4"/>
  <c r="N35" i="4"/>
  <c r="M35" i="4"/>
  <c r="L35" i="4"/>
  <c r="K35" i="4"/>
  <c r="J35" i="4"/>
  <c r="I35" i="4"/>
  <c r="H35" i="4"/>
  <c r="G35" i="4"/>
  <c r="F35" i="4"/>
  <c r="E35" i="4"/>
  <c r="D35" i="4"/>
  <c r="A35" i="4"/>
  <c r="O28" i="4"/>
  <c r="O25" i="4"/>
  <c r="N25" i="4"/>
  <c r="M25" i="4"/>
  <c r="L25" i="4"/>
  <c r="K25" i="4"/>
  <c r="J25" i="4"/>
  <c r="I25" i="4"/>
  <c r="H25" i="4"/>
  <c r="G25" i="4"/>
  <c r="F25" i="4"/>
  <c r="E25" i="4"/>
  <c r="D25" i="4"/>
  <c r="B25" i="4"/>
  <c r="C25" i="4" s="1"/>
  <c r="O24" i="4"/>
  <c r="N24" i="4"/>
  <c r="M24" i="4"/>
  <c r="L24" i="4"/>
  <c r="K24" i="4"/>
  <c r="J24" i="4"/>
  <c r="I24" i="4"/>
  <c r="H24" i="4"/>
  <c r="G24" i="4"/>
  <c r="F24" i="4"/>
  <c r="E24" i="4"/>
  <c r="D24" i="4"/>
  <c r="C24" i="4"/>
  <c r="B24" i="4"/>
  <c r="O23" i="4"/>
  <c r="N23" i="4"/>
  <c r="M23" i="4"/>
  <c r="L23" i="4"/>
  <c r="K23" i="4"/>
  <c r="J23" i="4"/>
  <c r="I23" i="4"/>
  <c r="H23" i="4"/>
  <c r="G23" i="4"/>
  <c r="F23" i="4"/>
  <c r="E23" i="4"/>
  <c r="D23" i="4"/>
  <c r="B23" i="4"/>
  <c r="C23" i="4" s="1"/>
  <c r="O22" i="4"/>
  <c r="N22" i="4"/>
  <c r="M22" i="4"/>
  <c r="L22" i="4"/>
  <c r="K22" i="4"/>
  <c r="J22" i="4"/>
  <c r="I22" i="4"/>
  <c r="H22" i="4"/>
  <c r="G22" i="4"/>
  <c r="F22" i="4"/>
  <c r="E22" i="4"/>
  <c r="D22" i="4"/>
  <c r="C22" i="4"/>
  <c r="B22" i="4"/>
  <c r="O21" i="4"/>
  <c r="N21" i="4"/>
  <c r="M21" i="4"/>
  <c r="L21" i="4"/>
  <c r="K21" i="4"/>
  <c r="J21" i="4"/>
  <c r="I21" i="4"/>
  <c r="H21" i="4"/>
  <c r="G21" i="4"/>
  <c r="F21" i="4"/>
  <c r="E21" i="4"/>
  <c r="D21" i="4"/>
  <c r="B21" i="4"/>
  <c r="C21" i="4" s="1"/>
  <c r="N20" i="4"/>
  <c r="M20" i="4"/>
  <c r="L20" i="4"/>
  <c r="K20" i="4"/>
  <c r="J20" i="4"/>
  <c r="I20" i="4"/>
  <c r="H20" i="4"/>
  <c r="G20" i="4"/>
  <c r="F20" i="4"/>
  <c r="D20" i="4"/>
  <c r="C20" i="4"/>
  <c r="B20" i="4"/>
  <c r="N19" i="4"/>
  <c r="M19" i="4"/>
  <c r="L19" i="4"/>
  <c r="K19" i="4"/>
  <c r="I19" i="4"/>
  <c r="H19" i="4"/>
  <c r="G19" i="4"/>
  <c r="F19" i="4"/>
  <c r="E19" i="4"/>
  <c r="D19" i="4"/>
  <c r="C19" i="4"/>
  <c r="B19" i="4"/>
  <c r="N18" i="4"/>
  <c r="M18" i="4"/>
  <c r="L18" i="4"/>
  <c r="J18" i="4"/>
  <c r="I18" i="4"/>
  <c r="H18" i="4"/>
  <c r="F18" i="4"/>
  <c r="E18" i="4"/>
  <c r="D18" i="4"/>
  <c r="B18" i="4"/>
  <c r="C18" i="4" s="1"/>
  <c r="N17" i="4"/>
  <c r="M17" i="4"/>
  <c r="L17" i="4"/>
  <c r="K17" i="4"/>
  <c r="J17" i="4"/>
  <c r="I17" i="4"/>
  <c r="H17" i="4"/>
  <c r="G17" i="4"/>
  <c r="F17" i="4"/>
  <c r="E17" i="4"/>
  <c r="D17" i="4"/>
  <c r="B17" i="4"/>
  <c r="C17" i="4" s="1"/>
  <c r="N16" i="4"/>
  <c r="M16" i="4"/>
  <c r="L16" i="4"/>
  <c r="K16" i="4"/>
  <c r="J16" i="4"/>
  <c r="I16" i="4"/>
  <c r="H16" i="4"/>
  <c r="G16" i="4"/>
  <c r="F16" i="4"/>
  <c r="D16" i="4"/>
  <c r="C16" i="4"/>
  <c r="B16" i="4"/>
  <c r="B100" i="4" s="1"/>
  <c r="G9" i="4"/>
  <c r="U25" i="3"/>
  <c r="T25" i="3"/>
  <c r="C25" i="3"/>
  <c r="B25" i="3"/>
  <c r="U24" i="3"/>
  <c r="T24" i="3"/>
  <c r="F24" i="3"/>
  <c r="J24" i="3" s="1"/>
  <c r="C24" i="3"/>
  <c r="B24" i="3"/>
  <c r="U23" i="3"/>
  <c r="T23" i="3"/>
  <c r="C23" i="3"/>
  <c r="B23" i="3"/>
  <c r="R22" i="3"/>
  <c r="Q22" i="3"/>
  <c r="P22" i="3"/>
  <c r="O22" i="3"/>
  <c r="N22" i="3"/>
  <c r="M22" i="3"/>
  <c r="A22" i="3"/>
  <c r="Q21" i="3"/>
  <c r="P21" i="3"/>
  <c r="O21" i="3"/>
  <c r="N21" i="3"/>
  <c r="M21" i="3"/>
  <c r="R20" i="3"/>
  <c r="Q20" i="3"/>
  <c r="P20" i="3"/>
  <c r="O20" i="3"/>
  <c r="N20" i="3"/>
  <c r="M20" i="3"/>
  <c r="R19" i="3"/>
  <c r="Q19" i="3"/>
  <c r="P19" i="3"/>
  <c r="O19" i="3"/>
  <c r="N19" i="3"/>
  <c r="M19" i="3"/>
  <c r="R18" i="3"/>
  <c r="Q18" i="3"/>
  <c r="P18" i="3"/>
  <c r="O18" i="3"/>
  <c r="N18" i="3"/>
  <c r="M18" i="3"/>
  <c r="A18" i="3"/>
  <c r="J11" i="3"/>
  <c r="E4" i="3"/>
  <c r="D4" i="3"/>
  <c r="O25" i="2"/>
  <c r="N25" i="2"/>
  <c r="M25" i="2"/>
  <c r="L25" i="2"/>
  <c r="K25" i="2"/>
  <c r="J25" i="2"/>
  <c r="H25" i="2"/>
  <c r="G25" i="2"/>
  <c r="F25" i="2"/>
  <c r="E25" i="2"/>
  <c r="D25" i="2"/>
  <c r="C25" i="2"/>
  <c r="B25" i="2"/>
  <c r="O24" i="2"/>
  <c r="N24" i="2"/>
  <c r="M24" i="2"/>
  <c r="L24" i="2"/>
  <c r="K24" i="2"/>
  <c r="I24" i="2"/>
  <c r="H24" i="2"/>
  <c r="E24" i="2"/>
  <c r="D24" i="2"/>
  <c r="B24" i="2"/>
  <c r="O23" i="2"/>
  <c r="N23" i="2"/>
  <c r="F25" i="3" s="1"/>
  <c r="M23" i="2"/>
  <c r="L23" i="2"/>
  <c r="K23" i="2"/>
  <c r="J23" i="2"/>
  <c r="E25" i="3" s="1"/>
  <c r="I25" i="3" s="1"/>
  <c r="I23" i="2"/>
  <c r="G23" i="2"/>
  <c r="F23" i="2"/>
  <c r="D23" i="2"/>
  <c r="C23" i="2"/>
  <c r="B23" i="2"/>
  <c r="A25" i="3" s="1"/>
  <c r="L25" i="3" s="1"/>
  <c r="O22" i="2"/>
  <c r="N22" i="2"/>
  <c r="M22" i="2"/>
  <c r="G24" i="3" s="1"/>
  <c r="K24" i="3" s="1"/>
  <c r="L22" i="2"/>
  <c r="K22" i="2"/>
  <c r="J22" i="2"/>
  <c r="E24" i="3" s="1"/>
  <c r="I24" i="3" s="1"/>
  <c r="I22" i="2"/>
  <c r="H22" i="2"/>
  <c r="D24" i="3" s="1"/>
  <c r="F22" i="2"/>
  <c r="E22" i="2"/>
  <c r="D22" i="2"/>
  <c r="B22" i="2"/>
  <c r="A24" i="3" s="1"/>
  <c r="L24" i="3" s="1"/>
  <c r="O21" i="2"/>
  <c r="N21" i="2"/>
  <c r="F23" i="3" s="1"/>
  <c r="M21" i="2"/>
  <c r="L21" i="2"/>
  <c r="K21" i="2"/>
  <c r="J21" i="2"/>
  <c r="E23" i="3" s="1"/>
  <c r="I23" i="3" s="1"/>
  <c r="H21" i="2"/>
  <c r="D23" i="3" s="1"/>
  <c r="G21" i="2"/>
  <c r="F21" i="2"/>
  <c r="E21" i="2"/>
  <c r="D21" i="2"/>
  <c r="C21" i="2"/>
  <c r="B21" i="2"/>
  <c r="A23" i="3" s="1"/>
  <c r="L23" i="3" s="1"/>
  <c r="N20" i="2"/>
  <c r="M20" i="2"/>
  <c r="L20" i="2"/>
  <c r="K20" i="2"/>
  <c r="I20" i="2"/>
  <c r="H20" i="2"/>
  <c r="G20" i="2"/>
  <c r="E20" i="2"/>
  <c r="D20" i="2"/>
  <c r="C20" i="2"/>
  <c r="B20" i="2"/>
  <c r="N19" i="2"/>
  <c r="M19" i="2"/>
  <c r="L19" i="2"/>
  <c r="K19" i="2"/>
  <c r="J19" i="2"/>
  <c r="I19" i="2"/>
  <c r="G19" i="2"/>
  <c r="F19" i="2"/>
  <c r="E19" i="2"/>
  <c r="D19" i="2"/>
  <c r="C19" i="2"/>
  <c r="B19" i="2"/>
  <c r="A21" i="3" s="1"/>
  <c r="N18" i="2"/>
  <c r="M18" i="2"/>
  <c r="L18" i="2"/>
  <c r="K18" i="2"/>
  <c r="J18" i="2"/>
  <c r="I18" i="2"/>
  <c r="G18" i="2"/>
  <c r="F18" i="2"/>
  <c r="E18" i="2"/>
  <c r="C18" i="2"/>
  <c r="B18" i="2"/>
  <c r="A20" i="3" s="1"/>
  <c r="N17" i="2"/>
  <c r="M17" i="2"/>
  <c r="L17" i="2"/>
  <c r="K17" i="2"/>
  <c r="J17" i="2"/>
  <c r="H17" i="2"/>
  <c r="G17" i="2"/>
  <c r="F17" i="2"/>
  <c r="E17" i="2"/>
  <c r="D17" i="2"/>
  <c r="C17" i="2"/>
  <c r="B17" i="2"/>
  <c r="A19" i="3" s="1"/>
  <c r="N16" i="2"/>
  <c r="M16" i="2"/>
  <c r="L16" i="2"/>
  <c r="K16" i="2"/>
  <c r="I16" i="2"/>
  <c r="H16" i="2"/>
  <c r="G16" i="2"/>
  <c r="D16" i="2"/>
  <c r="C16" i="2"/>
  <c r="B16" i="2"/>
  <c r="G9" i="2"/>
  <c r="G23" i="3" l="1"/>
  <c r="K23" i="3" s="1"/>
  <c r="J23" i="3"/>
  <c r="G25" i="3"/>
  <c r="K25" i="3" s="1"/>
  <c r="J25" i="3"/>
  <c r="B36" i="4"/>
  <c r="C37" i="4"/>
  <c r="C35" i="4"/>
  <c r="B37" i="4"/>
  <c r="B35" i="4"/>
  <c r="C36" i="4"/>
  <c r="Q25" i="3"/>
  <c r="M25" i="3"/>
  <c r="P25" i="3"/>
  <c r="H25" i="3"/>
  <c r="O25" i="3"/>
  <c r="R25" i="3"/>
  <c r="N25" i="3"/>
  <c r="Q24" i="3"/>
  <c r="M24" i="3"/>
  <c r="P24" i="3"/>
  <c r="H24" i="3"/>
  <c r="O24" i="3"/>
  <c r="R24" i="3"/>
  <c r="N24" i="3"/>
  <c r="Q23" i="3"/>
  <c r="M23" i="3"/>
  <c r="P23" i="3"/>
  <c r="H23" i="3"/>
  <c r="O23" i="3"/>
  <c r="R23" i="3"/>
  <c r="N23" i="3"/>
  <c r="D10" i="5"/>
  <c r="D6" i="5"/>
  <c r="D14" i="5"/>
  <c r="C2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Loadscope</author>
  </authors>
  <commentList>
    <comment ref="G15" authorId="0" shapeId="0" xr:uid="{00000000-0006-0000-0100-000001000000}">
      <text>
        <r>
          <rPr>
            <sz val="11"/>
            <color theme="1"/>
            <rFont val="Calibri"/>
            <charset val="1"/>
          </rPr>
          <t>The Load Log displays the first 5 shots per load. If you shot more (Garmin Xero supports up to 7 per session), the Avg Vel, ES, and SD columns automatically reflect ALL your shots — Garmin computes those before import.
To see every individual shot, check the 'Garmin Xero Import' sheet tab.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Loadscope</author>
  </authors>
  <commentList>
    <comment ref="B3" authorId="0" shapeId="0" xr:uid="{00000000-0006-0000-0200-000001000000}">
      <text>
        <r>
          <rPr>
            <sz val="11"/>
            <color theme="1"/>
            <rFont val="Calibri"/>
            <charset val="1"/>
          </rPr>
          <t>Suggested Charge
The charge with the LOWEST composite score — a weighted blend of
velocity flatness, SD, and group size.
Full breakdown and editable weights on the 'Charts' tab.
Always cross-check by shooting a confirmation group at this charge
plus ±0.3–0.5 gr before committing.</t>
        </r>
      </text>
    </comment>
    <comment ref="D3" authorId="1" shapeId="0" xr:uid="{00000000-0006-0000-0200-000002000000}">
      <text>
        <r>
          <rPr>
            <sz val="11"/>
            <color theme="1"/>
            <rFont val="Calibri"/>
            <charset val="1"/>
          </rPr>
          <t>Composite Score
Weighted blend of 4 normalized factors:
  • Velocity flat spot (window spread)
  • Shot-string SD
  • Mean Radius (MOA)
  • Vertical (MOA) — uses SD-Vert when available, else Height, else MR
Each scaled 0–1 across candidates, then combined using the weights below.
Lowest score wins.</t>
        </r>
      </text>
    </comment>
    <comment ref="G5" authorId="1" shapeId="0" xr:uid="{00000000-0006-0000-0200-000003000000}">
      <text>
        <r>
          <rPr>
            <sz val="11"/>
            <color theme="1"/>
            <rFont val="Calibri"/>
            <charset val="1"/>
          </rPr>
          <t>BEST-IN-CLASS INDICATORS
Shows which individual factors the suggested charge is best at:
  • Vel ✓     — lowest Velocity Spread
  • SD ✓      — lowest shot-string SD
  • MR ✓      — smallest Mean Radius
  • Vert ✓    — smallest Vertical MOA
WORKS WITH ANY NUMBER OF CHARGES:
  • 5+ charges → 'window' mode (3-charge sliding analysis)
  • 3-4 charges → 'test' mode (each charge scored individually)
The composite winner often won't be best in EVERY category — that's the trade-off you're tuning with the weights at row 11.</t>
        </r>
      </text>
    </comment>
    <comment ref="A10" authorId="1" shapeId="0" xr:uid="{00000000-0006-0000-0200-000004000000}">
      <text>
        <r>
          <rPr>
            <sz val="11"/>
            <color theme="1"/>
            <rFont val="Calibri"/>
            <charset val="1"/>
          </rPr>
          <t>HOW DEFAULTS WERE CHOSEN
A powder ladder is built to find a flat velocity node — a charge where small powder changes produce small velocity changes. So:
• Velocity 0.3 — the metric the ladder is designed to find
• SD-Vert 0.3 — vertical dispersion is the strongest predictor of long-range accuracy
• SD 0.2 + MR 0.2 — useful sanity checks, but a 5-shot group is too small a sample to outrank velocity-stability at this stage
Lowest composite score wins. Adjust the blue cells to weight what matters most to you.</t>
        </r>
      </text>
    </comment>
    <comment ref="G17" authorId="1" shapeId="0" xr:uid="{00000000-0006-0000-0200-000005000000}">
      <text>
        <r>
          <rPr>
            <sz val="11"/>
            <color theme="1"/>
            <rFont val="Calibri"/>
            <charset val="1"/>
          </rPr>
          <t>When SD-Vert is in your BallisticX data, this column shows it.
If SD-Vert isn't available, falls back to:
  1. Height (extreme spread vertical), then
  2. Mean Radius
(See help → 'How the suggested load is picked'.)</t>
        </r>
      </text>
    </comment>
    <comment ref="J17" authorId="1" shapeId="0" xr:uid="{00000000-0006-0000-0200-000006000000}">
      <text>
        <r>
          <rPr>
            <sz val="11"/>
            <color theme="1"/>
            <rFont val="Calibri"/>
            <charset val="1"/>
          </rPr>
          <t>NORMALIZED MEAN RADIUS (0–1)
    (this MR (MOA) − min) / (max − min)
across all 8 candidate windows.
Best scores 0, worst scores 1. Input to Composite Score.</t>
        </r>
      </text>
    </comment>
    <comment ref="K17" authorId="1" shapeId="0" xr:uid="{00000000-0006-0000-0200-000007000000}">
      <text>
        <r>
          <rPr>
            <sz val="11"/>
            <color theme="1"/>
            <rFont val="Calibri"/>
            <charset val="1"/>
          </rPr>
          <t>NORMALIZED VERTICAL (0–1)
    (this Vert MOA − min) / (max − min)
across all 8 candidate windows.
Source: SD-Vert (in) if available, falling back to Height (in)
then Mean Radius if neither is provided. Converted to MOA via
the Distance (yd) on the Load Log.
Best scores 0, worst scores 1. Input to Composite Score.</t>
        </r>
      </text>
    </comment>
    <comment ref="L17" authorId="1" shapeId="0" xr:uid="{00000000-0006-0000-0200-000008000000}">
      <text>
        <r>
          <rPr>
            <sz val="11"/>
            <color theme="1"/>
            <rFont val="Calibri"/>
            <charset val="1"/>
          </rPr>
          <t>COMPOSITE SCORE — HOW IT'S CALCULATED
Each candidate load is scored on FOUR factors:
  1. Velocity Flat Spot — spread of avg velocities across the
     3-charge window (low, middle, high).
  2. SD — shot-string standard deviation at the middle charge.
  3. Mean Radius (MOA) — converted from inches via Distance.
  4. Vertical (MOA) — uses SD-Vertical when available, falls back
     to Height, then MR (always produces a number).
Each factor is normalized 0–1 across the candidates:
    Normalized = (value − min) / (max − min)
Best-in-class gets 0, worst gets 1.
Combined using the weights in row 11
(defaults: Vel 0.30, SD 0.20, MR 0.20, Vert 0.30).
Weights must sum to 1.0.
LOWEST composite wins. Rank shows each candidate's position.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Loadscope</author>
    <author>Notes</author>
  </authors>
  <commentList>
    <comment ref="O2" authorId="0" shapeId="0" xr:uid="{00000000-0006-0000-0300-000001000000}">
      <text>
        <r>
          <rPr>
            <sz val="11"/>
            <color theme="1"/>
            <rFont val="Calibri"/>
            <charset val="1"/>
          </rPr>
          <t>Best-in: which metrics the suggested charge is best at (lowest value).
Vel = velocity spread, SD = std deviation, MR = mean radius, Vert = vertical dispersion.</t>
        </r>
      </text>
    </comment>
    <comment ref="H15" authorId="0" shapeId="0" xr:uid="{00000000-0006-0000-0300-000002000000}">
      <text>
        <r>
          <rPr>
            <sz val="11"/>
            <color theme="1"/>
            <rFont val="Calibri"/>
            <charset val="1"/>
          </rPr>
          <t>The Load Log displays the first 5 shots per load. If you shot more (Garmin Xero supports up to 7 per session), the Avg Vel, ES, and SD columns automatically reflect ALL your shots — Garmin computes those before import.
To see every individual shot, check the 'Garmin Xero Import' sheet tab.</t>
        </r>
      </text>
    </comment>
    <comment ref="A27" authorId="1" shapeId="0" xr:uid="{00000000-0006-0000-0300-000003000000}">
      <text>
        <r>
          <rPr>
            <sz val="11"/>
            <color theme="1"/>
            <rFont val="Calibri"/>
            <charset val="1"/>
          </rPr>
          <t>METHOD
Each seating depth test is scored on four factors:
• Velocity spread (Low–High range across all tests)
• SD (shot-to-shot consistency)
• Mean Radius (MOA) — average distance of each shot from group center
• SD-Vertical (MOA) — vertical dispersion stability (falls back to Height, then MR, if BallisticX export is missing the stat)
Each factor is normalized 0–1 across all tests (0 = best, 1 = worst), then combined into one Composite Score using the weights below. Lowest score wins.</t>
        </r>
      </text>
    </comment>
    <comment ref="A28" authorId="1" shapeId="0" xr:uid="{00000000-0006-0000-0300-000004000000}">
      <text>
        <r>
          <rPr>
            <sz val="11"/>
            <color theme="1"/>
            <rFont val="Calibri"/>
            <charset val="1"/>
          </rPr>
          <t>HOW DEFAULTS WERE CHOSEN
Once your powder charge is locked in, seating depth tuning is about tight groups, not chasing velocity. So:
• SD-Vert 0.35 — vertical dispersion is the dominant predictor of long-range accuracy, and seating has the biggest effect on it
• SD 0.25 + MR 0.25 — seating depth changes bullet jump and barrel time, both visible in group consistency
• Velocity 0.15 — barely changes with seating, so low weight
Lowest composite score wins. Adjust the blue cells to weight what matters most to you.</t>
        </r>
      </text>
    </comment>
    <comment ref="A29" authorId="1" shapeId="0" xr:uid="{00000000-0006-0000-0300-000005000000}">
      <text>
        <r>
          <rPr>
            <sz val="11"/>
            <color theme="1"/>
            <rFont val="Calibri"/>
            <charset val="1"/>
          </rPr>
          <t>MIDDLE JUMP
The center jump of a 3-step window (low / middle / high). Each test gets evaluated as the middle of a window using its neighbors on either side, so end-of-table jumps don't get a window.</t>
        </r>
      </text>
    </comment>
    <comment ref="B29" authorId="1" shapeId="0" xr:uid="{00000000-0006-0000-0300-000006000000}">
      <text>
        <r>
          <rPr>
            <sz val="11"/>
            <color theme="1"/>
            <rFont val="Calibri"/>
            <charset val="1"/>
          </rPr>
          <t>LOW JUMP
The jump one step shallower than the middle (closer to the lands). Used together with the High jump to compute Velocity Spread for this window.</t>
        </r>
      </text>
    </comment>
    <comment ref="C29" authorId="1" shapeId="0" xr:uid="{00000000-0006-0000-0300-000007000000}">
      <text>
        <r>
          <rPr>
            <sz val="11"/>
            <color theme="1"/>
            <rFont val="Calibri"/>
            <charset val="1"/>
          </rPr>
          <t>HIGH JUMP
The jump one step deeper than the middle (further off the lands). Used with the Low jump to compute Velocity Spread for this window.</t>
        </r>
      </text>
    </comment>
    <comment ref="D29" authorId="1" shapeId="0" xr:uid="{00000000-0006-0000-0300-000008000000}">
      <text>
        <r>
          <rPr>
            <sz val="11"/>
            <color theme="1"/>
            <rFont val="Calibri"/>
            <charset val="1"/>
          </rPr>
          <t>VELOCITY SPREAD
MAX(Avg Vel) − MIN(Avg Vel) across the three jumps in the window (low, middle, high).
Tighter spread = a flatter velocity node — less sensitive to small seating-depth variation. Lower is better.</t>
        </r>
      </text>
    </comment>
    <comment ref="E29" authorId="1" shapeId="0" xr:uid="{00000000-0006-0000-0300-000009000000}">
      <text>
        <r>
          <rPr>
            <sz val="11"/>
            <color theme="1"/>
            <rFont val="Calibri"/>
            <charset val="1"/>
          </rPr>
          <t>SHOT-STRING STANDARD DEVIATION
Standard deviation of the 5 shots fired at the middle jump. Pulled directly from the data table (column L of row matching this middle jump).
Lower SD = more consistent ignition and burn. Lower is better.</t>
        </r>
      </text>
    </comment>
    <comment ref="F29" authorId="1" shapeId="0" xr:uid="{00000000-0006-0000-0300-00000A000000}">
      <text>
        <r>
          <rPr>
            <sz val="11"/>
            <color theme="1"/>
            <rFont val="Calibri"/>
            <charset val="1"/>
          </rPr>
          <t>MEAN RADIUS — MOA
Mean Radius at the middle jump, converted to MOA:
    MR (MOA) = MR(in) ÷ (Distance/100) ÷ 1.047
Mean Radius is statistically more reliable than extreme-spread group size because it uses every shot's distance from group center, not just the two outliers. Lower is better.
FALLBACK: if you didn't measure Mean Radius for a row, this falls back to Group (in) for that row so scoring still works.</t>
        </r>
      </text>
    </comment>
    <comment ref="G29" authorId="1" shapeId="0" xr:uid="{00000000-0006-0000-0300-00000B000000}">
      <text>
        <r>
          <rPr>
            <sz val="11"/>
            <color theme="1"/>
            <rFont val="Calibri"/>
            <charset val="1"/>
          </rPr>
          <t>VERTICAL DISPERSION — MOA
Vertical-only dispersion at the middle jump, converted to MOA. If you didn't enter a Vertical (in) value, this falls back to the full Group (MOA) so the formula still produces a number.
Useful when you measure vertical separately (e.g., for ELR work). Lower is better.</t>
        </r>
      </text>
    </comment>
    <comment ref="H29" authorId="1" shapeId="0" xr:uid="{00000000-0006-0000-0300-00000C000000}">
      <text>
        <r>
          <rPr>
            <sz val="11"/>
            <color theme="1"/>
            <rFont val="Calibri"/>
            <charset val="1"/>
          </rPr>
          <t>NORMALIZED VELOCITY SPREAD (0–1)
    (this Vel Spread − min) / (max − min)
across all 8 candidate windows.
Best window scores 0, worst scores 1. Used as input to the weighted Composite Score.</t>
        </r>
      </text>
    </comment>
    <comment ref="I29" authorId="1" shapeId="0" xr:uid="{00000000-0006-0000-0300-00000D000000}">
      <text>
        <r>
          <rPr>
            <sz val="11"/>
            <color theme="1"/>
            <rFont val="Calibri"/>
            <charset val="1"/>
          </rPr>
          <t>NORMALIZED SD (0–1)
    (this SD − min) / (max − min)
across all 8 candidate windows.
Best scores 0, worst scores 1. Input to Composite Score.</t>
        </r>
      </text>
    </comment>
    <comment ref="J29" authorId="1" shapeId="0" xr:uid="{00000000-0006-0000-0300-00000E000000}">
      <text>
        <r>
          <rPr>
            <sz val="11"/>
            <color theme="1"/>
            <rFont val="Calibri"/>
            <charset val="1"/>
          </rPr>
          <t>NORMALIZED MEAN RADIUS (0–1)
    (this MR (MOA) − min) / (max − min)
across all 8 candidate windows.
Best scores 0, worst scores 1. Input to Composite Score with the Group/MR weight from row 28.</t>
        </r>
      </text>
    </comment>
    <comment ref="K29" authorId="0" shapeId="0" xr:uid="{00000000-0006-0000-0300-00000F000000}">
      <text>
        <r>
          <rPr>
            <sz val="11"/>
            <color theme="1"/>
            <rFont val="Calibri"/>
            <charset val="1"/>
          </rPr>
          <t>NORMALIZED VERTICAL (0–1)
    (this Vert MOA − min) / (max − min)
across all 8 candidate windows.
Source: SD-Vert (in) if available, falling back to Height (in)
then Mean Radius if neither is provided. Converted to MOA via
the Distance (yd) on the Seating Depth tab.
Best scores 0, worst scores 1. Input to Composite Score.</t>
        </r>
      </text>
    </comment>
    <comment ref="L29" authorId="0" shapeId="0" xr:uid="{00000000-0006-0000-0300-000010000000}">
      <text>
        <r>
          <rPr>
            <sz val="11"/>
            <color theme="1"/>
            <rFont val="Calibri"/>
            <charset val="1"/>
          </rPr>
          <t>COMPOSITE SCORE (Seating Depth) — HOW IT'S CALCULATED
Each candidate jump is scored on FOUR factors:
  1. Velocity Spread — spread across the 3-jump window.
  2. SD — shot-string standard deviation at the middle jump.
  3. Mean Radius (MOA) — converted via Distance.
  4. Vertical (MOA) — uses SD-Vertical if available, falls back to
     Height, then MR (always produces a number).
Each factor is normalized 0–1 across the candidates.
Combined using the weights in row 28 (defaults:
Vel 0.15, SD 0.25, MR 0.25, Vert 0.35). Weights must sum to 1.0.
LOWEST composite wins.</t>
        </r>
      </text>
    </comment>
    <comment ref="M29" authorId="1" shapeId="0" xr:uid="{00000000-0006-0000-0300-000011000000}">
      <text>
        <r>
          <rPr>
            <sz val="11"/>
            <color theme="1"/>
            <rFont val="Calibri"/>
            <charset val="1"/>
          </rPr>
          <t>RANK
Ranks each candidate window from 1 (best) to 8 (worst) by Composite Score, lowest score wins.
    =RANK(Composite, all_composites, 1)
The Suggested Jump up top is whichever window has Rank = 1.</t>
        </r>
      </text>
    </comment>
    <comment ref="N29" authorId="1" shapeId="0" xr:uid="{00000000-0006-0000-0300-000012000000}">
      <text>
        <r>
          <rPr>
            <sz val="11"/>
            <color theme="1"/>
            <rFont val="Calibri"/>
            <charset val="1"/>
          </rPr>
          <t>BEST-IN-CLASS FLAGS
Shows which individual factors this window is the best at:
  • Vel ✓     — lowest Velocity Spread
  • SD ✓      — lowest shot-string SD
  • MR ✓      — smallest Mean Radius MOA
  • Vert ✓    — smallest Vertical MOA
A window can win multiple categories. The composite winner often isn't the best in every single category — that's the trade-off you're tuning with the weights.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Notes</author>
  </authors>
  <commentList>
    <comment ref="A5" authorId="0" shapeId="0" xr:uid="{00000000-0006-0000-0400-000001000000}">
      <text>
        <r>
          <rPr>
            <sz val="11"/>
            <color theme="1"/>
            <rFont val="Calibri"/>
            <charset val="1"/>
          </rPr>
          <t>TAG
Tag identifying which session this row maps to. P1–P10 → Load Log Powder Ladder Loads 1–10. S1–S10 → Seating Depth Tests 1–10. Don't reorder rows 6–15 (Loads) or 17–26 (Tests) — Load Log/SD shot cells reference exact rows.</t>
        </r>
      </text>
    </comment>
    <comment ref="B5" authorId="0" shapeId="0" xr:uid="{00000000-0006-0000-0400-000002000000}">
      <text>
        <r>
          <rPr>
            <sz val="11"/>
            <color theme="1"/>
            <rFont val="Calibri"/>
            <charset val="1"/>
          </rPr>
          <t>DATE
Date of the Garmin session.</t>
        </r>
      </text>
    </comment>
    <comment ref="C5" authorId="0" shapeId="0" xr:uid="{00000000-0006-0000-0400-000003000000}">
      <text>
        <r>
          <rPr>
            <sz val="11"/>
            <color theme="1"/>
            <rFont val="Calibri"/>
            <charset val="1"/>
          </rPr>
          <t>SESSION TITLE
First-line title from ShotView CSV.</t>
        </r>
      </text>
    </comment>
    <comment ref="D5" authorId="0" shapeId="0" xr:uid="{00000000-0006-0000-0400-000004000000}">
      <text>
        <r>
          <rPr>
            <sz val="11"/>
            <color theme="1"/>
            <rFont val="Calibri"/>
            <charset val="1"/>
          </rPr>
          <t># SHOTS
Auto-counts shots populated in this row.</t>
        </r>
      </text>
    </comment>
    <comment ref="E5" authorId="0" shapeId="0" xr:uid="{00000000-0006-0000-0400-000005000000}">
      <text>
        <r>
          <rPr>
            <sz val="11"/>
            <color theme="1"/>
            <rFont val="Calibri"/>
            <charset val="1"/>
          </rPr>
          <t>SHOT 1 (FPS)
Shot 1 velocity. Wired to Load Log/SD.</t>
        </r>
      </text>
    </comment>
    <comment ref="F5" authorId="0" shapeId="0" xr:uid="{00000000-0006-0000-0400-000006000000}">
      <text>
        <r>
          <rPr>
            <sz val="11"/>
            <color theme="1"/>
            <rFont val="Calibri"/>
            <charset val="1"/>
          </rPr>
          <t>SHOT 2 (FPS)
Shot 2 velocity. Wired.</t>
        </r>
      </text>
    </comment>
    <comment ref="G5" authorId="0" shapeId="0" xr:uid="{00000000-0006-0000-0400-000007000000}">
      <text>
        <r>
          <rPr>
            <sz val="11"/>
            <color theme="1"/>
            <rFont val="Calibri"/>
            <charset val="1"/>
          </rPr>
          <t>SHOT 3 (FPS)
Shot 3 velocity. Wired.</t>
        </r>
      </text>
    </comment>
    <comment ref="H5" authorId="0" shapeId="0" xr:uid="{00000000-0006-0000-0400-000008000000}">
      <text>
        <r>
          <rPr>
            <sz val="11"/>
            <color theme="1"/>
            <rFont val="Calibri"/>
            <charset val="1"/>
          </rPr>
          <t>SHOT 4 (FPS)
Shot 4 velocity. Wired.</t>
        </r>
      </text>
    </comment>
    <comment ref="I5" authorId="0" shapeId="0" xr:uid="{00000000-0006-0000-0400-000009000000}">
      <text>
        <r>
          <rPr>
            <sz val="11"/>
            <color theme="1"/>
            <rFont val="Calibri"/>
            <charset val="1"/>
          </rPr>
          <t>SHOT 5 (FPS)
Shot 5 velocity. Wired.</t>
        </r>
      </text>
    </comment>
    <comment ref="J5" authorId="0" shapeId="0" xr:uid="{00000000-0006-0000-0400-00000A000000}">
      <text>
        <r>
          <rPr>
            <sz val="11"/>
            <color theme="1"/>
            <rFont val="Calibri"/>
            <charset val="1"/>
          </rPr>
          <t>SHOT 6 (FPS)
Optional 6th shot — NOT wired (Load Log expects 5).</t>
        </r>
      </text>
    </comment>
    <comment ref="K5" authorId="0" shapeId="0" xr:uid="{00000000-0006-0000-0400-00000B000000}">
      <text>
        <r>
          <rPr>
            <sz val="11"/>
            <color theme="1"/>
            <rFont val="Calibri"/>
            <charset val="1"/>
          </rPr>
          <t>SHOT 7 (FPS)
Optional 7th — NOT wired.</t>
        </r>
      </text>
    </comment>
    <comment ref="L5" authorId="0" shapeId="0" xr:uid="{00000000-0006-0000-0400-00000C000000}">
      <text>
        <r>
          <rPr>
            <sz val="11"/>
            <color theme="1"/>
            <rFont val="Calibri"/>
            <charset val="1"/>
          </rPr>
          <t>AVG VEL (FPS)
Auto: AVERAGE(E:K).</t>
        </r>
      </text>
    </comment>
    <comment ref="M5" authorId="0" shapeId="0" xr:uid="{00000000-0006-0000-0400-00000D000000}">
      <text>
        <r>
          <rPr>
            <sz val="11"/>
            <color theme="1"/>
            <rFont val="Calibri"/>
            <charset val="1"/>
          </rPr>
          <t>SD (FPS)
Auto: STDEV(E:K).</t>
        </r>
      </text>
    </comment>
    <comment ref="N5" authorId="0" shapeId="0" xr:uid="{00000000-0006-0000-0400-00000E000000}">
      <text>
        <r>
          <rPr>
            <sz val="11"/>
            <color theme="1"/>
            <rFont val="Calibri"/>
            <charset val="1"/>
          </rPr>
          <t>ES (FPS)
Auto: MAX − MIN.</t>
        </r>
      </text>
    </comment>
    <comment ref="O5" authorId="0" shapeId="0" xr:uid="{00000000-0006-0000-0400-00000F000000}">
      <text>
        <r>
          <rPr>
            <sz val="11"/>
            <color theme="1"/>
            <rFont val="Calibri"/>
            <charset val="1"/>
          </rPr>
          <t>BULLET WT (GR)
From CSV's PROJECTILE WEIGHT row. Reference.</t>
        </r>
      </text>
    </comment>
    <comment ref="P5" authorId="0" shapeId="0" xr:uid="{00000000-0006-0000-0400-000010000000}">
      <text>
        <r>
          <rPr>
            <sz val="11"/>
            <color theme="1"/>
            <rFont val="Calibri"/>
            <charset val="1"/>
          </rPr>
          <t>AVG KE (FT·LB)
From CSV's AVG KINETIC ENERGY. Reference.</t>
        </r>
      </text>
    </comment>
    <comment ref="Q5" authorId="0" shapeId="0" xr:uid="{00000000-0006-0000-0400-000011000000}">
      <text>
        <r>
          <rPr>
            <sz val="11"/>
            <color theme="1"/>
            <rFont val="Calibri"/>
            <charset val="1"/>
          </rPr>
          <t>NOTES
Anything from the CSV's SESSION NOTE field.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Notes</author>
  </authors>
  <commentList>
    <comment ref="A5" authorId="0" shapeId="0" xr:uid="{00000000-0006-0000-0500-000001000000}">
      <text>
        <r>
          <rPr>
            <sz val="11"/>
            <color theme="1"/>
            <rFont val="Calibri"/>
            <charset val="1"/>
          </rPr>
          <t>TAG
Tag identifying which load/test this row maps to. P1–P10 → Load Log Powder Ladder Loads 1–10. S1–S10 → Seating Depth Tests 1–10. Type the SAME tag in BallisticX's Label field for each group, and the lookup matches.</t>
        </r>
      </text>
    </comment>
    <comment ref="B5" authorId="0" shapeId="0" xr:uid="{00000000-0006-0000-0500-000002000000}">
      <text>
        <r>
          <rPr>
            <sz val="11"/>
            <color theme="1"/>
            <rFont val="Calibri"/>
            <charset val="1"/>
          </rPr>
          <t>DATE
Date from BallisticX's CreatedAt field.</t>
        </r>
      </text>
    </comment>
    <comment ref="C5" authorId="0" shapeId="0" xr:uid="{00000000-0006-0000-0500-000003000000}">
      <text>
        <r>
          <rPr>
            <sz val="11"/>
            <color theme="1"/>
            <rFont val="Calibri"/>
            <charset val="1"/>
          </rPr>
          <t>DISTANCE (YD)
Distance to target.</t>
        </r>
      </text>
    </comment>
    <comment ref="D5" authorId="0" shapeId="0" xr:uid="{00000000-0006-0000-0500-000004000000}">
      <text>
        <r>
          <rPr>
            <sz val="11"/>
            <color theme="1"/>
            <rFont val="Calibri"/>
            <charset val="1"/>
          </rPr>
          <t>GROUP (IN)
Extreme spread group size (the 'Group Size' field). Maps to Load Log/Seating Depth Group (in) column.</t>
        </r>
      </text>
    </comment>
    <comment ref="E5" authorId="0" shapeId="0" xr:uid="{00000000-0006-0000-0500-000005000000}">
      <text>
        <r>
          <rPr>
            <sz val="11"/>
            <color theme="1"/>
            <rFont val="Calibri"/>
            <charset val="1"/>
          </rPr>
          <t>WIDTH (IN)
Overall horizontal width of the group. Diagnostic — helps identify wind/recoil patterns.</t>
        </r>
      </text>
    </comment>
    <comment ref="F5" authorId="0" shapeId="0" xr:uid="{00000000-0006-0000-0500-000006000000}">
      <text>
        <r>
          <rPr>
            <sz val="11"/>
            <color theme="1"/>
            <rFont val="Calibri"/>
            <charset val="1"/>
          </rPr>
          <t>HEIGHT (IN)
Overall vertical height of the group. Maps to Vertical (in) column on Load Log/SD.</t>
        </r>
      </text>
    </comment>
    <comment ref="G5" authorId="0" shapeId="0" xr:uid="{00000000-0006-0000-0500-000007000000}">
      <text>
        <r>
          <rPr>
            <sz val="11"/>
            <color theme="1"/>
            <rFont val="Calibri"/>
            <charset val="1"/>
          </rPr>
          <t>MR (IN)
Mean Radius — the most statistically robust accuracy metric. Maps to Mean Radius (in) on Load Log/SD.</t>
        </r>
      </text>
    </comment>
    <comment ref="H5" authorId="0" shapeId="0" xr:uid="{00000000-0006-0000-0500-000008000000}">
      <text>
        <r>
          <rPr>
            <sz val="11"/>
            <color theme="1"/>
            <rFont val="Calibri"/>
            <charset val="1"/>
          </rPr>
          <t>CEP (IN)
Circular Error Probable — alternative accuracy metric, statistically similar to MR. Reference.</t>
        </r>
      </text>
    </comment>
    <comment ref="I5" authorId="0" shapeId="0" xr:uid="{00000000-0006-0000-0500-000009000000}">
      <text>
        <r>
          <rPr>
            <sz val="11"/>
            <color theme="1"/>
            <rFont val="Calibri"/>
            <charset val="1"/>
          </rPr>
          <t>SD RADIAL (IN)
Standard deviation of shot positions from group center, 2D.</t>
        </r>
      </text>
    </comment>
    <comment ref="J5" authorId="0" shapeId="0" xr:uid="{00000000-0006-0000-0500-00000A000000}">
      <text>
        <r>
          <rPr>
            <sz val="11"/>
            <color theme="1"/>
            <rFont val="Calibri"/>
            <charset val="1"/>
          </rPr>
          <t>SD VERT (IN)
Vertical-only dispersion SD. Best predictor of long-range hit probability.</t>
        </r>
      </text>
    </comment>
    <comment ref="K5" authorId="0" shapeId="0" xr:uid="{00000000-0006-0000-0500-00000B000000}">
      <text>
        <r>
          <rPr>
            <sz val="11"/>
            <color theme="1"/>
            <rFont val="Calibri"/>
            <charset val="1"/>
          </rPr>
          <t>SD HORIZ (IN)
Horizontal-only dispersion SD. Useful for diagnosing wind during the session.</t>
        </r>
      </text>
    </comment>
    <comment ref="L5" authorId="0" shapeId="0" xr:uid="{00000000-0006-0000-0500-00000C000000}">
      <text>
        <r>
          <rPr>
            <sz val="11"/>
            <color theme="1"/>
            <rFont val="Calibri"/>
            <charset val="1"/>
          </rPr>
          <t>CALIBER
From BallisticX caliber selector. Reference only.</t>
        </r>
      </text>
    </comment>
    <comment ref="M5" authorId="0" shapeId="0" xr:uid="{00000000-0006-0000-0500-00000D000000}">
      <text>
        <r>
          <rPr>
            <sz val="11"/>
            <color theme="1"/>
            <rFont val="Calibri"/>
            <charset val="1"/>
          </rPr>
          <t>NOTES
Anything from BallisticX's measure type field, your own observations, etc.</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Notes</author>
  </authors>
  <commentList>
    <comment ref="A4" authorId="0" shapeId="0" xr:uid="{00000000-0006-0000-0600-000001000000}">
      <text>
        <r>
          <rPr>
            <sz val="11"/>
            <color theme="1"/>
            <rFont val="Calibri"/>
            <charset val="1"/>
          </rPr>
          <t>#
Sequential record number — auto-fill or type manually.</t>
        </r>
      </text>
    </comment>
    <comment ref="B4" authorId="0" shapeId="0" xr:uid="{00000000-0006-0000-0600-000002000000}">
      <text>
        <r>
          <rPr>
            <sz val="11"/>
            <color theme="1"/>
            <rFont val="Calibri"/>
            <charset val="1"/>
          </rPr>
          <t>DATE ADDED
Date this load was confirmed and added to the library.</t>
        </r>
      </text>
    </comment>
    <comment ref="C4" authorId="0" shapeId="0" xr:uid="{00000000-0006-0000-0600-000003000000}">
      <text>
        <r>
          <rPr>
            <sz val="11"/>
            <color theme="1"/>
            <rFont val="Calibri"/>
            <charset val="1"/>
          </rPr>
          <t>LOAD NAME
Short identifier for this load (e.g., '6.5CM 140 ELD-M / H4350 / 41.5gr').</t>
        </r>
      </text>
    </comment>
    <comment ref="D4" authorId="0" shapeId="0" xr:uid="{00000000-0006-0000-0600-000004000000}">
      <text>
        <r>
          <rPr>
            <sz val="11"/>
            <color theme="1"/>
            <rFont val="Calibri"/>
            <charset val="1"/>
          </rPr>
          <t>RIFLE
Rifle this load was developed for. Loads are barrel-specific — keep them tied to the rifle.</t>
        </r>
      </text>
    </comment>
    <comment ref="E4" authorId="0" shapeId="0" xr:uid="{00000000-0006-0000-0600-000005000000}">
      <text>
        <r>
          <rPr>
            <sz val="11"/>
            <color theme="1"/>
            <rFont val="Calibri"/>
            <charset val="1"/>
          </rPr>
          <t>BULLET
Bullet model (e.g., 'Hornady ELD-M', 'Berger 140 Hybrid').</t>
        </r>
      </text>
    </comment>
    <comment ref="F4" authorId="0" shapeId="0" xr:uid="{00000000-0006-0000-0600-000006000000}">
      <text>
        <r>
          <rPr>
            <sz val="11"/>
            <color theme="1"/>
            <rFont val="Calibri"/>
            <charset val="1"/>
          </rPr>
          <t>BULLET WT (GR)
Bullet weight in grains. Used in the muzzle-energy formula.</t>
        </r>
      </text>
    </comment>
    <comment ref="G4" authorId="0" shapeId="0" xr:uid="{00000000-0006-0000-0600-000007000000}">
      <text>
        <r>
          <rPr>
            <sz val="11"/>
            <color theme="1"/>
            <rFont val="Calibri"/>
            <charset val="1"/>
          </rPr>
          <t>POWDER
Powder type.</t>
        </r>
      </text>
    </comment>
    <comment ref="H4" authorId="0" shapeId="0" xr:uid="{00000000-0006-0000-0600-000008000000}">
      <text>
        <r>
          <rPr>
            <sz val="11"/>
            <color theme="1"/>
            <rFont val="Calibri"/>
            <charset val="1"/>
          </rPr>
          <t>CHARGE (GR)
Final powder charge (grains).</t>
        </r>
      </text>
    </comment>
    <comment ref="I4" authorId="0" shapeId="0" xr:uid="{00000000-0006-0000-0600-000009000000}">
      <text>
        <r>
          <rPr>
            <sz val="11"/>
            <color theme="1"/>
            <rFont val="Calibri"/>
            <charset val="1"/>
          </rPr>
          <t>PRIMER
Primer (e.g., 'CCI BR-2', 'Fed 210M').</t>
        </r>
      </text>
    </comment>
    <comment ref="J4" authorId="0" shapeId="0" xr:uid="{00000000-0006-0000-0600-00000A000000}">
      <text>
        <r>
          <rPr>
            <sz val="11"/>
            <color theme="1"/>
            <rFont val="Calibri"/>
            <charset val="1"/>
          </rPr>
          <t>BRASS
Brass headstamp (e.g., 'Hornady', 'Lapua', 'Peterson').</t>
        </r>
      </text>
    </comment>
    <comment ref="K4" authorId="0" shapeId="0" xr:uid="{00000000-0006-0000-0600-00000B000000}">
      <text>
        <r>
          <rPr>
            <sz val="11"/>
            <color theme="1"/>
            <rFont val="Calibri"/>
            <charset val="1"/>
          </rPr>
          <t>CBTO (IN)
Cartridge Base-To-Ogive measurement. The actual seating dimension (more repeatable than COAL).</t>
        </r>
      </text>
    </comment>
    <comment ref="L4" authorId="0" shapeId="0" xr:uid="{00000000-0006-0000-0600-00000C000000}">
      <text>
        <r>
          <rPr>
            <sz val="11"/>
            <color theme="1"/>
            <rFont val="Calibri"/>
            <charset val="1"/>
          </rPr>
          <t>JUMP (IN)
Bullet jump off the lands (positive number = off lands). From your seating-depth test.</t>
        </r>
      </text>
    </comment>
    <comment ref="M4" authorId="0" shapeId="0" xr:uid="{00000000-0006-0000-0600-00000D000000}">
      <text>
        <r>
          <rPr>
            <sz val="11"/>
            <color theme="1"/>
            <rFont val="Calibri"/>
            <charset val="1"/>
          </rPr>
          <t>AVG VEL (FPS)
Average chronograph velocity over a confirmation 5–10 shot string.</t>
        </r>
      </text>
    </comment>
    <comment ref="N4" authorId="0" shapeId="0" xr:uid="{00000000-0006-0000-0600-00000E000000}">
      <text>
        <r>
          <rPr>
            <sz val="11"/>
            <color theme="1"/>
            <rFont val="Calibri"/>
            <charset val="1"/>
          </rPr>
          <t>SD (FPS)
Shot-string standard deviation. Lower = more consistent ignition/burn.</t>
        </r>
      </text>
    </comment>
    <comment ref="O4" authorId="0" shapeId="0" xr:uid="{00000000-0006-0000-0600-00000F000000}">
      <text>
        <r>
          <rPr>
            <sz val="11"/>
            <color theme="1"/>
            <rFont val="Calibri"/>
            <charset val="1"/>
          </rPr>
          <t>GROUP (MOA)
Confirmation group MOA (extreme spread).</t>
        </r>
      </text>
    </comment>
    <comment ref="P4" authorId="0" shapeId="0" xr:uid="{00000000-0006-0000-0600-000010000000}">
      <text>
        <r>
          <rPr>
            <sz val="11"/>
            <color theme="1"/>
            <rFont val="Calibri"/>
            <charset val="1"/>
          </rPr>
          <t>MR (MOA)
Mean Radius MOA — average distance of each shot from group center. Statistically more reliable than extreme spread.</t>
        </r>
      </text>
    </comment>
    <comment ref="Q4" authorId="0" shapeId="0" xr:uid="{00000000-0006-0000-0600-000011000000}">
      <text>
        <r>
          <rPr>
            <sz val="11"/>
            <color theme="1"/>
            <rFont val="Calibri"/>
            <charset val="1"/>
          </rPr>
          <t>NOTES / CONDITIONS
Lot numbers, density altitude during confirmation, brass annealing notes, weather, anything that helps repeat the load.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Notes</author>
  </authors>
  <commentList>
    <comment ref="A8" authorId="0" shapeId="0" xr:uid="{00000000-0006-0000-0700-000001000000}">
      <text>
        <r>
          <rPr>
            <sz val="11"/>
            <color theme="1"/>
            <rFont val="Calibri"/>
            <charset val="1"/>
          </rPr>
          <t>RANGE (YD)
Distance to target in yards. Standard increments 100→1000.</t>
        </r>
      </text>
    </comment>
    <comment ref="B8" authorId="0" shapeId="0" xr:uid="{00000000-0006-0000-0700-000002000000}">
      <text>
        <r>
          <rPr>
            <sz val="11"/>
            <color theme="1"/>
            <rFont val="Calibri"/>
            <charset val="1"/>
          </rPr>
          <t>MILS — ELEV
Elevation hold in MILS for this distance. Pull from your ballistic app or measured DOPE. Mil scopes typically: 1 click = 0.1 mil.</t>
        </r>
      </text>
    </comment>
    <comment ref="C8" authorId="0" shapeId="0" xr:uid="{00000000-0006-0000-0700-000003000000}">
      <text>
        <r>
          <rPr>
            <sz val="11"/>
            <color theme="1"/>
            <rFont val="Calibri"/>
            <charset val="1"/>
          </rPr>
          <t>MIL CLICKS
Number of clicks UP from your zero. Auto = Mils × 10 (assumes 0.1 mil per click).</t>
        </r>
      </text>
    </comment>
    <comment ref="D8" authorId="0" shapeId="0" xr:uid="{00000000-0006-0000-0700-000004000000}">
      <text>
        <r>
          <rPr>
            <sz val="11"/>
            <color theme="1"/>
            <rFont val="Calibri"/>
            <charset val="1"/>
          </rPr>
          <t>MOA — ELEV
Elevation hold in MOA for this distance. MOA scopes typically: 1 click = 1/4 MOA = 0.25 MOA.</t>
        </r>
      </text>
    </comment>
    <comment ref="E8" authorId="0" shapeId="0" xr:uid="{00000000-0006-0000-0700-000005000000}">
      <text>
        <r>
          <rPr>
            <sz val="11"/>
            <color theme="1"/>
            <rFont val="Calibri"/>
            <charset val="1"/>
          </rPr>
          <t>MOA CLICKS
Auto = MOA × 4 (assumes 1/4 MOA per click).</t>
        </r>
      </text>
    </comment>
    <comment ref="F8" authorId="0" shapeId="0" xr:uid="{00000000-0006-0000-0700-000006000000}">
      <text>
        <r>
          <rPr>
            <sz val="11"/>
            <color theme="1"/>
            <rFont val="Calibri"/>
            <charset val="1"/>
          </rPr>
          <t>WIND MILS / 10 MPH
Mils of wind hold for a 10-mph FULL-VALUE crosswind (90°). Scale linearly: a 5 mph wind = half this; a 6 mph wind = 0.6×; a half-value (45°) wind = half.</t>
        </r>
      </text>
    </comment>
    <comment ref="G8" authorId="0" shapeId="0" xr:uid="{00000000-0006-0000-0700-000007000000}">
      <text>
        <r>
          <rPr>
            <sz val="11"/>
            <color theme="1"/>
            <rFont val="Calibri"/>
            <charset val="1"/>
          </rPr>
          <t>WIND MIL CLK
Auto = Wind Mils × 10.</t>
        </r>
      </text>
    </comment>
    <comment ref="H8" authorId="0" shapeId="0" xr:uid="{00000000-0006-0000-0700-000008000000}">
      <text>
        <r>
          <rPr>
            <sz val="11"/>
            <color theme="1"/>
            <rFont val="Calibri"/>
            <charset val="1"/>
          </rPr>
          <t>WIND MOA / 10 MPH
MOA of wind hold for a 10-mph full-value crosswind.</t>
        </r>
      </text>
    </comment>
    <comment ref="I8" authorId="0" shapeId="0" xr:uid="{00000000-0006-0000-0700-000009000000}">
      <text>
        <r>
          <rPr>
            <sz val="11"/>
            <color theme="1"/>
            <rFont val="Calibri"/>
            <charset val="1"/>
          </rPr>
          <t>WIND MOA CLK
Auto = Wind MOA × 4.</t>
        </r>
      </text>
    </comment>
    <comment ref="J8" authorId="0" shapeId="0" xr:uid="{00000000-0006-0000-0700-00000A000000}">
      <text>
        <r>
          <rPr>
            <sz val="11"/>
            <color theme="1"/>
            <rFont val="Calibri"/>
            <charset val="1"/>
          </rPr>
          <t>TOF (SEC)
Time of flight (optional). Useful for moving-target leads. From your ballistic app.</t>
        </r>
      </text>
    </comment>
    <comment ref="K8" authorId="0" shapeId="0" xr:uid="{00000000-0006-0000-0700-00000B000000}">
      <text>
        <r>
          <rPr>
            <sz val="11"/>
            <color theme="1"/>
            <rFont val="Calibri"/>
            <charset val="1"/>
          </rPr>
          <t>NOTES
Anything else: spin drift correction, atmospheric notes, alternate hold-overs, this DOPE's confirm-fired status.</t>
        </r>
      </text>
    </comment>
  </commentList>
</comments>
</file>

<file path=xl/sharedStrings.xml><?xml version="1.0" encoding="utf-8"?>
<sst xmlns="http://schemas.openxmlformats.org/spreadsheetml/2006/main" count="607" uniqueCount="329">
  <si>
    <t>Start Here</t>
  </si>
  <si>
    <t>Welcome to Loadscope™. Here's how to find your best load from a range trip.</t>
  </si>
  <si>
    <t>How to label your CSVs</t>
  </si>
  <si>
    <t>Type the label as your session name in Garmin ShotView, your group name in BallisticX, or by renaming the CSV file after export. Loadscope reads it from any of those.</t>
  </si>
  <si>
    <t>Each label has 3 parts, separated by spaces:   [ test tag ]   [ grains of powder ]   [ powder type ]</t>
  </si>
  <si>
    <t>Example label</t>
  </si>
  <si>
    <t>What each part means</t>
  </si>
  <si>
    <t>P1 45.5 H4350</t>
  </si>
  <si>
    <t>P1     →  Powder Ladder, Load #1
45.5   →  45.5 grains of powder
H4350  →  Powder type (Hodgdon H4350)</t>
  </si>
  <si>
    <t>S7 0.070 H4350</t>
  </si>
  <si>
    <t>S7     →  Seating Depth, Test #7
0.070  →  0.070-inch jump distance
H4350  →  Powder type (Hodgdon H4350)</t>
  </si>
  <si>
    <t>How to import your range data</t>
  </si>
  <si>
    <t>①</t>
  </si>
  <si>
    <t>Drop your properly labeled Garmin Xero and BallisticX CSV files onto Loadscope — either onto the app icon in your Dock, or onto the drop zone in the Loadscope window.</t>
  </si>
  <si>
    <t>②</t>
  </si>
  <si>
    <t>Click Run Import. Loadscope sorts the files into the right folders and writes the data into your workbook.</t>
  </si>
  <si>
    <t>③</t>
  </si>
  <si>
    <t>Your workbook opens in Excel with every row filled in. Visit the Charts tab to see your suggested winner.</t>
  </si>
  <si>
    <t>What's on each tab</t>
  </si>
  <si>
    <t>Load Log</t>
  </si>
  <si>
    <t>Your powder ladder. Date, powder, bullet, and cartridge auto-fill from your CSVs. You fill in your rifle setup once (rifle, scope, click size, primer, brass, CBTO, OAL) — those values flow into Seating Depth, Ballistics, and your Pocket Range Card automatically. The orange button jumps you to Charts.</t>
  </si>
  <si>
    <t>Seating Depth</t>
  </si>
  <si>
    <t>Your seating-depth test data. Same idea as Load Log, one row per jump distance.</t>
  </si>
  <si>
    <t>Charts</t>
  </si>
  <si>
    <t>Your suggested best load. Loadscope ranks every powder ladder candidate by composite score. Save the winner to your Library with one click.</t>
  </si>
  <si>
    <t>Ballistics</t>
  </si>
  <si>
    <t>Your DOPE table. Type in the elevation and wind values you dialed at the range — click counts auto-fill. Print a 4×6 Pocket Range Card from the orange button.</t>
  </si>
  <si>
    <t>Load Library</t>
  </si>
  <si>
    <t>Every confirmed load you've saved over time, one row per load.</t>
  </si>
  <si>
    <t>Garmin Xero &amp; BallisticX Import</t>
  </si>
  <si>
    <t>Auto-populated from your CSVs. You usually won't need to edit these — they feed Load Log + Seating Depth.</t>
  </si>
  <si>
    <t>Starting a new load cycle (different cartridge, bullet, or powder)</t>
  </si>
  <si>
    <t>In Loadscope, click  Workbook → Start New Cycle…  and give it a name like "6.5 CM 140 ELD-M H4350." Loadscope archives your finished workbook and CSVs, then makes a fresh workbook your active one. From there, drop your new CSVs in and click Run Import.</t>
  </si>
  <si>
    <t>Something not working?</t>
  </si>
  <si>
    <t>Excel says 'Protected View'</t>
  </si>
  <si>
    <t>macOS marks files from email or AirDrop as untrusted. Click the yellow Enable Editing bar at the top of the workbook.</t>
  </si>
  <si>
    <t>A row stays blank</t>
  </si>
  <si>
    <t>The first word of the Garmin label or BallisticX file name must match the row's tag (P1, P2, S1, etc.).</t>
  </si>
  <si>
    <t>Charge or Jump value is blank</t>
  </si>
  <si>
    <t>The label was missing the number or had a typo. Open the Garmin Xero Import or BallisticX Import tab and fix it directly.</t>
  </si>
  <si>
    <t>Run Import won't go</t>
  </si>
  <si>
    <t>Excel is probably open. Close Excel (Cmd+Q) and click Run Import again.</t>
  </si>
  <si>
    <t>Click counts on Ballistics look wrong</t>
  </si>
  <si>
    <t>Check the Click: dropdown on the Load Log tab and pick the right one for your scope.</t>
  </si>
  <si>
    <t>Charts tab is empty</t>
  </si>
  <si>
    <t>Loadscope needs at least 2 candidate loads with BOTH chronograph AND target data to score them. Drop more CSVs and re-run import.</t>
  </si>
  <si>
    <t>Print Pocket Range Card button does nothing</t>
  </si>
  <si>
    <t>Make sure Loadscope is in /Applications and you've opened it once. The button uses a loadscope:// URL that needs the app registered.</t>
  </si>
  <si>
    <t>Need more help?  See  Loadscope — Quick Start.docx  in your project folder   ·   🖨  Cmd+P to print this page.</t>
  </si>
  <si>
    <t>📧  Email us: support@loadscope.app</t>
  </si>
  <si>
    <t>Powder Charge Test — Best Charge Finder</t>
  </si>
  <si>
    <t>SUGGESTED CHARGE →</t>
  </si>
  <si>
    <t>Avg Vel:</t>
  </si>
  <si>
    <t>SD:</t>
  </si>
  <si>
    <t>MR:</t>
  </si>
  <si>
    <t>Best in:  All metrics ✓</t>
  </si>
  <si>
    <t>↓  Click here to jump to the Charts sheet (Suggested Best Load)  ↓</t>
  </si>
  <si>
    <t>RIFLE &amp; SHOOTER</t>
  </si>
  <si>
    <t>Rifle:</t>
  </si>
  <si>
    <t>Tikka T3X CTR 6.5 CM</t>
  </si>
  <si>
    <t>Shooter:</t>
  </si>
  <si>
    <t>Demo Shooter</t>
  </si>
  <si>
    <t>Cartridge:</t>
  </si>
  <si>
    <t>6.5 Creedmoor</t>
  </si>
  <si>
    <t>Barrel:</t>
  </si>
  <si>
    <t>24" 1:8 twist, threaded muzzle</t>
  </si>
  <si>
    <t>Optic:</t>
  </si>
  <si>
    <t>Leupold Mark 5HD 5-25x56</t>
  </si>
  <si>
    <t>Chrono:</t>
  </si>
  <si>
    <t>Garmin Xero C1 Pro</t>
  </si>
  <si>
    <t>Turret:</t>
  </si>
  <si>
    <t>0.1 Mil</t>
  </si>
  <si>
    <t>LOAD COMPONENTS  (constants for this powder ladder)</t>
  </si>
  <si>
    <t>Bullet:</t>
  </si>
  <si>
    <t>Hornady 140gr ELD-M</t>
  </si>
  <si>
    <t>Powder:</t>
  </si>
  <si>
    <t>Primer:</t>
  </si>
  <si>
    <t>CCI BR-2</t>
  </si>
  <si>
    <t>Brass:</t>
  </si>
  <si>
    <t>Hornady</t>
  </si>
  <si>
    <t>CBTO:</t>
  </si>
  <si>
    <t>OAL:</t>
  </si>
  <si>
    <t>Dist:</t>
  </si>
  <si>
    <t>TEST SESSION  (date / conditions)</t>
  </si>
  <si>
    <t>Date:</t>
  </si>
  <si>
    <t>Temp:</t>
  </si>
  <si>
    <t>Notes:</t>
  </si>
  <si>
    <t>Sunny, light breeze. 1500 ft DA.</t>
  </si>
  <si>
    <t>Load #</t>
  </si>
  <si>
    <t>Charge (gr)</t>
  </si>
  <si>
    <t>Shot 1</t>
  </si>
  <si>
    <t>Shot 2</t>
  </si>
  <si>
    <t>Shot 3</t>
  </si>
  <si>
    <t>Shot 4</t>
  </si>
  <si>
    <t>Shot 5</t>
  </si>
  <si>
    <t>Avg Vel</t>
  </si>
  <si>
    <t>ES</t>
  </si>
  <si>
    <t>SD</t>
  </si>
  <si>
    <t>Group (in)</t>
  </si>
  <si>
    <t>Vertical (in)</t>
  </si>
  <si>
    <t>Vertical SD (in)</t>
  </si>
  <si>
    <t>Mean Radius (in)</t>
  </si>
  <si>
    <t>Composite Score</t>
  </si>
  <si>
    <t>Winner</t>
  </si>
  <si>
    <t>🥈 2nd</t>
  </si>
  <si>
    <t>🥇 WINNER</t>
  </si>
  <si>
    <t>🥉 3rd</t>
  </si>
  <si>
    <t>COMPARISON CHARTS</t>
  </si>
  <si>
    <t>SUGGESTED BEST LOAD — Velocity + SD + Group Cross-Check</t>
  </si>
  <si>
    <t>SUGGESTED CHARGE:</t>
  </si>
  <si>
    <t>Composite:</t>
  </si>
  <si>
    <t>Group:</t>
  </si>
  <si>
    <t>Best in:</t>
  </si>
  <si>
    <t>All metrics ✓</t>
  </si>
  <si>
    <t>→  Save Suggested Load to Library  ←</t>
  </si>
  <si>
    <t>Method: each middle charge of a 3-load window is scored on velocity spread, SD, mean radius (MOA), and Vertical SD (MOA) — each normalized 0-1, 0=best. Combined using the weights below (sum must = 1.0). Lowest composite score wins. Vertical SD falls back to Height, then MR, if the BallisticX export is missing the statistic.</t>
  </si>
  <si>
    <t>NOTE: Loadscope ranks the charges you entered by your weighted scoring criteria. It does not certify safe charges, recommend loads, or assess pressure. Always cross-reference every charge weight against current published load data from your powder, bullet, and cartridge manufacturers before shooting.</t>
  </si>
  <si>
    <t>WEIGHTS — adjust the blue cells to tune what matters most to you (must sum to 1.0).</t>
  </si>
  <si>
    <t>Velocity</t>
  </si>
  <si>
    <t>MR</t>
  </si>
  <si>
    <t>Vertical SD</t>
  </si>
  <si>
    <t>Sum:</t>
  </si>
  <si>
    <t>→  Reset weights to Loadscope defaults  ←</t>
  </si>
  <si>
    <t>Powder ladder</t>
  </si>
  <si>
    <t>→  Print This Workbook  ←</t>
  </si>
  <si>
    <t>Charge</t>
  </si>
  <si>
    <t>Avg Vel (fps)</t>
  </si>
  <si>
    <t>SD (fps)</t>
  </si>
  <si>
    <t>Mean Radius (MOA)</t>
  </si>
  <si>
    <t>Vertical SD (MOA)</t>
  </si>
  <si>
    <t>Norm Vel</t>
  </si>
  <si>
    <t>Norm SD</t>
  </si>
  <si>
    <t>Norm MR</t>
  </si>
  <si>
    <t>Norm Vertical SD</t>
  </si>
  <si>
    <t>Chart: Vel Spread</t>
  </si>
  <si>
    <t>Chart: SD</t>
  </si>
  <si>
    <t>Chart: MR</t>
  </si>
  <si>
    <t>Chart: Vert</t>
  </si>
  <si>
    <t>Chart: Composite</t>
  </si>
  <si>
    <t>Best in (per row)</t>
  </si>
  <si>
    <t>Sort Charge</t>
  </si>
  <si>
    <t>Sort Vel</t>
  </si>
  <si>
    <t>Mode:</t>
  </si>
  <si>
    <t>test</t>
  </si>
  <si>
    <t>Seating Depth Test — Best Jump Finder</t>
  </si>
  <si>
    <t>SUGGESTED JUMP →</t>
  </si>
  <si>
    <t>Vel:</t>
  </si>
  <si>
    <t>Vert:</t>
  </si>
  <si>
    <t>LOAD COMPONENTS  (constants for this seating-depth test)</t>
  </si>
  <si>
    <t>Charge:</t>
  </si>
  <si>
    <t>Test #</t>
  </si>
  <si>
    <t>Jump (in)</t>
  </si>
  <si>
    <t>CBTO</t>
  </si>
  <si>
    <t>Notes</t>
  </si>
  <si>
    <t>ANALYSIS — Suggested Best Jump (Composite Score)</t>
  </si>
  <si>
    <t>Reset weights</t>
  </si>
  <si>
    <t>Jump</t>
  </si>
  <si>
    <t>Rank</t>
  </si>
  <si>
    <t>Best in</t>
  </si>
  <si>
    <t>Garmin Xero Import — ShotView CSV sessions</t>
  </si>
  <si>
    <t>This sheet feeds the Load Log and Seating Depth tabs. The shot cells over there are wired to pull from these specific rows. Just paste each Garmin session's shot velocities into the matching row's Shot 1–10 cells (E:N). Avg / SD / ES auto-compute.</t>
  </si>
  <si>
    <t>POWDER LADDER  (Load Log P1–P10  →  rows 6–15)</t>
  </si>
  <si>
    <t>Tag</t>
  </si>
  <si>
    <t>Date</t>
  </si>
  <si>
    <t>Session Title</t>
  </si>
  <si>
    <t># Shots</t>
  </si>
  <si>
    <t>Shot 1 (fps)</t>
  </si>
  <si>
    <t>Shot 2 (fps)</t>
  </si>
  <si>
    <t>Shot 3 (fps)</t>
  </si>
  <si>
    <t>Shot 4 (fps)</t>
  </si>
  <si>
    <t>Shot 5 (fps)</t>
  </si>
  <si>
    <t>Shot 6 (fps)</t>
  </si>
  <si>
    <t>Shot 7 (fps)</t>
  </si>
  <si>
    <t>Shot 8 (fps)</t>
  </si>
  <si>
    <t>Shot 9 (fps)</t>
  </si>
  <si>
    <t>Shot 10 (fps)</t>
  </si>
  <si>
    <t>ES (fps)</t>
  </si>
  <si>
    <t>Bullet Wt (gr)</t>
  </si>
  <si>
    <t>Avg KE (ft·lb)</t>
  </si>
  <si>
    <t>P1</t>
  </si>
  <si>
    <t>P2</t>
  </si>
  <si>
    <t>P3</t>
  </si>
  <si>
    <t>P4</t>
  </si>
  <si>
    <t>P5</t>
  </si>
  <si>
    <t>P6</t>
  </si>
  <si>
    <t>P7</t>
  </si>
  <si>
    <t>P8</t>
  </si>
  <si>
    <t>P9</t>
  </si>
  <si>
    <t>P10</t>
  </si>
  <si>
    <t>SEATING DEPTH  (Seating Depth Tests 1–10  →  rows 17–26)</t>
  </si>
  <si>
    <t>S1</t>
  </si>
  <si>
    <t>S2</t>
  </si>
  <si>
    <t>S3</t>
  </si>
  <si>
    <t>S4</t>
  </si>
  <si>
    <t>S5</t>
  </si>
  <si>
    <t>S6</t>
  </si>
  <si>
    <t>S7</t>
  </si>
  <si>
    <t>S8</t>
  </si>
  <si>
    <t>S9</t>
  </si>
  <si>
    <t>S10</t>
  </si>
  <si>
    <t>FREE-FORM SESSION LOG  (extra Garmin sessions — confirmation groups, calibration shoots, etc.)</t>
  </si>
  <si>
    <t>HOW THE WIRING WORKS</t>
  </si>
  <si>
    <t>Load Log shot cells already pull from this sheet. The formula in Load Log!C16 (Load 1, Shot 1) is:
    =IF('Garmin Xero Import'!E6="","",'Garmin Xero Import'!E6)
Row positions are fixed:
  • Load Log Loads 1–10  →  this sheet's rows 6–15
  • Seating Depth Tests 1–10  →  this sheet's rows 17–26
Shots always pulled from columns E–I (Shot 1–5).
Per-session workflow:
  1. After a range session, share the Garmin CSV from ShotView.
  2. Open it in any spreadsheet/text app.
  3. Copy the per-shot SPEED (FPS) values.
  4. Paste into the matching row's Shot 1–5 cells (E–I) here.
  5. Avg / SD / ES recompute; Load Log + Seating Depth update automatically.
Short strings (3- or 4-shot): Avg/SD/ES on this row still compute, and the Load Log row's Avg/SD/ES will too — Excel's AVERAGE/STDEV ignore empty cells. Just be aware that 3-shot SDs are very noisy.</t>
  </si>
  <si>
    <t>BallisticX Import — group-quality data from BallisticX iOS app</t>
  </si>
  <si>
    <t>This sheet pulls group-quality data from BallisticX CSV exports. After Power Query setup, paste the values into Group (in), Mean Radius (in), and Vertical (in) columns of the Load Log / Seating Depth tabs — or tell Claude "do phase 2" to wire them via lookup formulas.</t>
  </si>
  <si>
    <t>Distance (yd)</t>
  </si>
  <si>
    <t>Width (in)</t>
  </si>
  <si>
    <t>Height (in)</t>
  </si>
  <si>
    <t>MR (in)</t>
  </si>
  <si>
    <t>CEP (in)</t>
  </si>
  <si>
    <t>SD Radial (in)</t>
  </si>
  <si>
    <t>SD Vert (in)</t>
  </si>
  <si>
    <t>SD Horiz (in)</t>
  </si>
  <si>
    <t>Caliber</t>
  </si>
  <si>
    <t>FREE-FORM GROUP LOG  (confirmation groups, calibration, etc.)</t>
  </si>
  <si>
    <t>After Power Query setup, this sheet pulls every group from your BallisticX CSVs.
Workflow:
  1. After shooting, in BallisticX, label each group with its tag (P1–P10 for powder ladder, S1–S10 for seating depth, anything for confirmation groups).
  2. Export BallisticX history as CSV → save into ~/Documents/Claude/Projects/Rifle Load Data/BallisticX Imports/
  3. In Excel: Data → Refresh All. This sheet auto-populates.
  4. Copy the Group, Mean Radius, and Height values from this sheet into the matching Load Log / Seating Depth row.
If you run "do phase 2" later, the Group / MR / Height cells on Load Log + SD will pull from this tab automatically by tag.</t>
  </si>
  <si>
    <t>Load Library — Confirmed Loads</t>
  </si>
  <si>
    <t>CONFIRMED LOADS ONLY. After Load Log + Seating Depth produce a winner and you've shot a 5–10 shot confirmation group, fill in one row here. Hover any header for what to enter.</t>
  </si>
  <si>
    <t>IDENTIFICATION</t>
  </si>
  <si>
    <t>RECIPE</t>
  </si>
  <si>
    <t>PERFORMANCE</t>
  </si>
  <si>
    <t>NOTES</t>
  </si>
  <si>
    <t>#</t>
  </si>
  <si>
    <t>Date Added</t>
  </si>
  <si>
    <t>Load Name</t>
  </si>
  <si>
    <t>Rifle</t>
  </si>
  <si>
    <t>Bullet</t>
  </si>
  <si>
    <t>Powder</t>
  </si>
  <si>
    <t>Primer</t>
  </si>
  <si>
    <t>Brass</t>
  </si>
  <si>
    <t>CBTO (in)</t>
  </si>
  <si>
    <t>Group (MOA)</t>
  </si>
  <si>
    <t>MR (MOA)</t>
  </si>
  <si>
    <t>Notes / Conditions</t>
  </si>
  <si>
    <t>6.5 CM 140 ELD-M / H4350 42.4 / 0.035 jump</t>
  </si>
  <si>
    <t>Hornady ELD-M</t>
  </si>
  <si>
    <t>Hodgdon H4350</t>
  </si>
  <si>
    <t>Confirmed at 100 yd, 65°F, 1500 ft DA. 10-shot string.</t>
  </si>
  <si>
    <t>6.5 CM 140 Berger Hybrid / H4350 42.1 / 0.020 jump</t>
  </si>
  <si>
    <t>Berger Hybrid Target</t>
  </si>
  <si>
    <t>Fed 210M</t>
  </si>
  <si>
    <t>Lapua</t>
  </si>
  <si>
    <t>Prior season — switched to ELD-M for lower SD.</t>
  </si>
  <si>
    <t>6 ARC 108 ELD-M / CFE 223 26.5 / 0.040 jump</t>
  </si>
  <si>
    <t>Bergara B14 HMR 6 ARC</t>
  </si>
  <si>
    <t>Hodgdon CFE 223</t>
  </si>
  <si>
    <t>CCI 450</t>
  </si>
  <si>
    <t>Truck gun build. Good cold-bore consistency.</t>
  </si>
  <si>
    <t>Ballistics — DOPE / Range Card</t>
  </si>
  <si>
    <t>→  Print Pocket Range Card  ←</t>
  </si>
  <si>
    <t>📍  After your range session — type the elevation and wind values you dialed at each distance into the columns below. Click counts fill in automatically.</t>
  </si>
  <si>
    <t>Scope:</t>
  </si>
  <si>
    <t>Zero (yd):</t>
  </si>
  <si>
    <t>Sight Ht (in):</t>
  </si>
  <si>
    <t>Twist:</t>
  </si>
  <si>
    <t>1:8 RH</t>
  </si>
  <si>
    <t>↓  Type your dialed Mils or MOA into the columns below — click counts auto-fill in the gray columns next to each.</t>
  </si>
  <si>
    <t>Range (yd)</t>
  </si>
  <si>
    <t>Mils Dialed</t>
  </si>
  <si>
    <t>Mil Clicks (auto)</t>
  </si>
  <si>
    <t>MOA Dialed</t>
  </si>
  <si>
    <t>MOA Clicks (auto)</t>
  </si>
  <si>
    <t>Wind Hold Mils
(per 10 mph wind)</t>
  </si>
  <si>
    <t>Wind Mil Clicks (auto)</t>
  </si>
  <si>
    <t>Wind Hold MOA
(per 10 mph wind)</t>
  </si>
  <si>
    <t>Wind MOA Clicks (auto)</t>
  </si>
  <si>
    <t>TOF (sec)</t>
  </si>
  <si>
    <t>Mils — Elev</t>
  </si>
  <si>
    <t>Mil Clicks</t>
  </si>
  <si>
    <t>MOA — Elev</t>
  </si>
  <si>
    <t>MOA Clicks</t>
  </si>
  <si>
    <t>Wind Mils / 10 mph</t>
  </si>
  <si>
    <t>Wind Mil Clk</t>
  </si>
  <si>
    <t>Wind MOA / 10 mph</t>
  </si>
  <si>
    <t>Wind MOA Clk</t>
  </si>
  <si>
    <t>ChargeOrJump</t>
  </si>
  <si>
    <t>Shot1</t>
  </si>
  <si>
    <t>Shot2</t>
  </si>
  <si>
    <t>Shot3</t>
  </si>
  <si>
    <t>Shot4</t>
  </si>
  <si>
    <t>Shot5</t>
  </si>
  <si>
    <t>Shot6</t>
  </si>
  <si>
    <t>Shot7</t>
  </si>
  <si>
    <t>Shot8</t>
  </si>
  <si>
    <t>Shot9</t>
  </si>
  <si>
    <t>Shot10</t>
  </si>
  <si>
    <t>AvgVel</t>
  </si>
  <si>
    <t>BulletWt</t>
  </si>
  <si>
    <t>AvgKE</t>
  </si>
  <si>
    <t>SessionTitle</t>
  </si>
  <si>
    <t>SessionNote</t>
  </si>
  <si>
    <t>H4350</t>
  </si>
  <si>
    <t>2026-04-12</t>
  </si>
  <si>
    <t>6.5 CM H4350 41.5gr</t>
  </si>
  <si>
    <t>Hornady brass, CCI BR-2 primer, 2.875 OAL</t>
  </si>
  <si>
    <t>6.5 CM H4350 41.8gr</t>
  </si>
  <si>
    <t>6.5 CM H4350 42.1gr</t>
  </si>
  <si>
    <t>6.5 CM H4350 42.4gr (WINNER)</t>
  </si>
  <si>
    <t>6.5 CM H4350 42.7gr</t>
  </si>
  <si>
    <t>2026-04-26</t>
  </si>
  <si>
    <t>Seating depth +0.005 jump</t>
  </si>
  <si>
    <t>42.4gr H4350, same brass/primer as PL</t>
  </si>
  <si>
    <t>Seating depth +0.020 jump</t>
  </si>
  <si>
    <t>Seating depth +0.035 jump (WINNER)</t>
  </si>
  <si>
    <t>Seating depth +0.050 jump</t>
  </si>
  <si>
    <t>Seating depth +0.065 jump</t>
  </si>
  <si>
    <t>Distance</t>
  </si>
  <si>
    <t>GroupIn</t>
  </si>
  <si>
    <t>WidthIn</t>
  </si>
  <si>
    <t>HeightIn</t>
  </si>
  <si>
    <t>MRIn</t>
  </si>
  <si>
    <t>CEPIn</t>
  </si>
  <si>
    <t>SDRadIn</t>
  </si>
  <si>
    <t>SDVertIn</t>
  </si>
  <si>
    <t>SDHorizIn</t>
  </si>
  <si>
    <t>ElevOffsetIn</t>
  </si>
  <si>
    <t>WindOffsetIn</t>
  </si>
  <si>
    <t>Label</t>
  </si>
  <si>
    <t>6.5mm</t>
  </si>
  <si>
    <t>41.5gr</t>
  </si>
  <si>
    <t>41.8gr</t>
  </si>
  <si>
    <t>42.1gr</t>
  </si>
  <si>
    <t>42.4gr (WINNER)</t>
  </si>
  <si>
    <t>42.7gr</t>
  </si>
  <si>
    <t>+0.005</t>
  </si>
  <si>
    <t>+0.020</t>
  </si>
  <si>
    <t>+0.035 (WINNER)</t>
  </si>
  <si>
    <t>+0.050</t>
  </si>
  <si>
    <t>+0.065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</si>
</sst>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quot; gr&quot;"/>
    <numFmt numFmtId="165" formatCode="0&quot; fps&quot;"/>
    <numFmt numFmtId="166" formatCode="0.0&quot; fps&quot;"/>
    <numFmt numFmtId="167" formatCode="0.000"/>
    <numFmt numFmtId="168" formatCode="0.000&quot; off lands&quot;"/>
    <numFmt numFmtId="169" formatCode="0&quot; yd&quot;"/>
    <numFmt numFmtId="170" formatCode="0.0"/>
    <numFmt numFmtId="171" formatCode="[=0]&quot;&quot;;General"/>
    <numFmt numFmtId="172" formatCode="[=0]&quot;&quot;;0.000"/>
    <numFmt numFmtId="173" formatCode="[=0]&quot;&quot;;0.0"/>
    <numFmt numFmtId="174" formatCode="[=0]&quot;&quot;;0"/>
    <numFmt numFmtId="175" formatCode="[=0]&quot;&quot;;0.0&quot; gr&quot;"/>
    <numFmt numFmtId="176" formatCode="[=0]&quot;&quot;;0.00"/>
    <numFmt numFmtId="177" formatCode="mm/dd/yyyy"/>
  </numFmts>
  <fonts count="49">
    <font>
      <sz val="11"/>
      <color theme="1"/>
      <name val="Calibri"/>
      <charset val="1"/>
    </font>
    <font>
      <sz val="11"/>
      <color rgb="FF000000"/>
      <name val="Calibri"/>
      <charset val="1"/>
    </font>
    <font>
      <b/>
      <sz val="12"/>
      <color rgb="FFFFFFFF"/>
      <name val="Calibri"/>
      <charset val="1"/>
    </font>
    <font>
      <sz val="10"/>
      <color rgb="FF000000"/>
      <name val="Calibri"/>
      <charset val="1"/>
    </font>
    <font>
      <b/>
      <sz val="11"/>
      <color rgb="FF000000"/>
      <name val="Calibri"/>
      <charset val="1"/>
    </font>
    <font>
      <b/>
      <sz val="11"/>
      <color rgb="FF1F4E78"/>
      <name val="Calibri"/>
      <charset val="1"/>
    </font>
    <font>
      <b/>
      <sz val="18"/>
      <color rgb="FFFFFFFF"/>
      <name val="Calibri"/>
      <charset val="1"/>
    </font>
    <font>
      <sz val="11"/>
      <name val="Cambria"/>
      <charset val="1"/>
    </font>
    <font>
      <b/>
      <sz val="11"/>
      <color rgb="FFFFFFFF"/>
      <name val="Calibri"/>
      <charset val="1"/>
    </font>
    <font>
      <b/>
      <sz val="10"/>
      <color rgb="FFFFFFFF"/>
      <name val="Calibri"/>
      <charset val="1"/>
    </font>
    <font>
      <sz val="10"/>
      <color rgb="FF1976D2"/>
      <name val="Calibri"/>
      <charset val="1"/>
    </font>
    <font>
      <b/>
      <sz val="10"/>
      <color theme="1"/>
      <name val="Calibri"/>
      <charset val="1"/>
    </font>
    <font>
      <i/>
      <sz val="10"/>
      <color rgb="FF595959"/>
      <name val="Calibri"/>
      <charset val="1"/>
    </font>
    <font>
      <i/>
      <sz val="9"/>
      <color rgb="FF7F1D1D"/>
      <name val="Calibri"/>
      <charset val="1"/>
    </font>
    <font>
      <sz val="10"/>
      <color rgb="FF0000FF"/>
      <name val="Calibri"/>
      <charset val="1"/>
    </font>
    <font>
      <b/>
      <sz val="11"/>
      <color theme="1"/>
      <name val="Cambria"/>
      <charset val="1"/>
    </font>
    <font>
      <b/>
      <sz val="10"/>
      <color rgb="FFFFFFFF"/>
      <name val="Cambria"/>
      <charset val="1"/>
    </font>
    <font>
      <sz val="11"/>
      <color theme="1"/>
      <name val="Cambria"/>
      <charset val="1"/>
    </font>
    <font>
      <sz val="11"/>
      <color rgb="FF1976D2"/>
      <name val="Calibri"/>
      <charset val="1"/>
    </font>
    <font>
      <i/>
      <sz val="9"/>
      <color rgb="FF595959"/>
      <name val="Calibri"/>
      <charset val="1"/>
    </font>
    <font>
      <b/>
      <sz val="12"/>
      <color rgb="FFFFFFFF"/>
      <name val="Calibri"/>
    </font>
    <font>
      <b/>
      <sz val="11"/>
      <color rgb="FF1F4E78"/>
      <name val="Calibri"/>
    </font>
    <font>
      <b/>
      <sz val="10"/>
      <color rgb="FFFFFFFF"/>
      <name val="Calibri"/>
    </font>
    <font>
      <b/>
      <sz val="16"/>
      <color rgb="FFFFFF00"/>
      <name val="Calibri"/>
    </font>
    <font>
      <sz val="11"/>
      <name val="Calibri"/>
    </font>
    <font>
      <b/>
      <sz val="11"/>
      <color rgb="FFFFFFFF"/>
      <name val="Arial"/>
    </font>
    <font>
      <i/>
      <sz val="9"/>
      <color rgb="FF888888"/>
      <name val="Calibri"/>
    </font>
    <font>
      <b/>
      <sz val="14"/>
      <color rgb="FFD97706"/>
      <name val="Calibri"/>
    </font>
    <font>
      <b/>
      <sz val="10"/>
      <color rgb="FF262626"/>
      <name val="Calibri"/>
    </font>
    <font>
      <b/>
      <sz val="20"/>
      <color rgb="FFD97706"/>
      <name val="Calibri"/>
    </font>
    <font>
      <b/>
      <sz val="11"/>
      <color rgb="FF262626"/>
      <name val="Calibri"/>
    </font>
    <font>
      <b/>
      <sz val="10"/>
      <color rgb="FF262626"/>
      <name val="Calibri"/>
    </font>
    <font>
      <b/>
      <sz val="11"/>
      <color rgb="FFA05A06"/>
      <name val="Calibri"/>
    </font>
    <font>
      <b/>
      <sz val="11"/>
      <color rgb="FF1F4E78"/>
      <name val="Calibri"/>
    </font>
    <font>
      <sz val="11"/>
      <color rgb="FF000000"/>
      <name val="Calibri"/>
    </font>
    <font>
      <sz val="11"/>
      <name val="Calibri"/>
    </font>
    <font>
      <b/>
      <sz val="26"/>
      <color rgb="FF1F4E78"/>
      <name val="Avenir Next"/>
    </font>
    <font>
      <sz val="13"/>
      <color rgb="FF6F7682"/>
      <name val="Avenir Next"/>
    </font>
    <font>
      <b/>
      <sz val="15"/>
      <color rgb="FF1F4E78"/>
      <name val="Avenir Next"/>
    </font>
    <font>
      <sz val="12"/>
      <color rgb="FF2D3036"/>
      <name val="Avenir Next"/>
    </font>
    <font>
      <b/>
      <sz val="12"/>
      <color rgb="FF2D3036"/>
      <name val="Avenir Next"/>
    </font>
    <font>
      <b/>
      <sz val="10"/>
      <color rgb="FF1F4E78"/>
      <name val="Avenir Next"/>
    </font>
    <font>
      <b/>
      <sz val="12"/>
      <color rgb="FF1F4E78"/>
      <name val="SF Mono"/>
    </font>
    <font>
      <sz val="11"/>
      <color rgb="FF2D3036"/>
      <name val="SF Mono"/>
    </font>
    <font>
      <b/>
      <sz val="12"/>
      <color rgb="FFD97706"/>
      <name val="Avenir Next"/>
    </font>
    <font>
      <i/>
      <sz val="11"/>
      <color rgb="FF6F7682"/>
      <name val="Avenir Next"/>
    </font>
    <font>
      <b/>
      <u/>
      <sz val="11"/>
      <color rgb="FFD97706"/>
      <name val="Avenir Next"/>
    </font>
    <font>
      <i/>
      <sz val="10"/>
      <color rgb="FFB8BEC9"/>
      <name val="Calibri"/>
    </font>
    <font>
      <b/>
      <sz val="11"/>
      <color rgb="FFFFFF00"/>
      <name val="Calibri"/>
    </font>
  </fonts>
  <fills count="28">
    <fill>
      <patternFill patternType="none"/>
    </fill>
    <fill>
      <patternFill patternType="gray125"/>
    </fill>
    <fill>
      <patternFill patternType="solid">
        <fgColor rgb="FF1F4E78"/>
        <bgColor rgb="FF305496"/>
      </patternFill>
    </fill>
    <fill>
      <patternFill patternType="solid">
        <fgColor rgb="FFF5F5F5"/>
        <bgColor rgb="FFF2F2F2"/>
      </patternFill>
    </fill>
    <fill>
      <patternFill patternType="solid">
        <fgColor rgb="FFFFF8E1"/>
        <bgColor rgb="FFFFF2CC"/>
      </patternFill>
    </fill>
    <fill>
      <patternFill patternType="solid">
        <fgColor rgb="FF305496"/>
        <bgColor rgb="FF1F4E78"/>
      </patternFill>
    </fill>
    <fill>
      <patternFill patternType="solid">
        <fgColor rgb="FFA98C2A"/>
        <bgColor rgb="FF8B8B8B"/>
      </patternFill>
    </fill>
    <fill>
      <patternFill patternType="solid">
        <fgColor rgb="FFFFE082"/>
        <bgColor rgb="FFFFE0B2"/>
      </patternFill>
    </fill>
    <fill>
      <patternFill patternType="solid">
        <fgColor rgb="FFBBDEFB"/>
        <bgColor rgb="FFD9D9D9"/>
      </patternFill>
    </fill>
    <fill>
      <patternFill patternType="solid">
        <fgColor rgb="FFE3F2FD"/>
        <bgColor rgb="FFE8F5E9"/>
      </patternFill>
    </fill>
    <fill>
      <patternFill patternType="solid">
        <fgColor rgb="FFA5D6A7"/>
        <bgColor rgb="FFB7B7B7"/>
      </patternFill>
    </fill>
    <fill>
      <patternFill patternType="solid">
        <fgColor rgb="FFE8F5E9"/>
        <bgColor rgb="FFF2F2F2"/>
      </patternFill>
    </fill>
    <fill>
      <patternFill patternType="solid">
        <fgColor rgb="FFFFF2CC"/>
        <bgColor rgb="FFFFF8E1"/>
      </patternFill>
    </fill>
    <fill>
      <patternFill patternType="solid">
        <fgColor rgb="FFF2F2F2"/>
        <bgColor rgb="FFF5F5F5"/>
      </patternFill>
    </fill>
    <fill>
      <patternFill patternType="solid">
        <fgColor rgb="FFF3E5F5"/>
        <bgColor rgb="FFF2F2F2"/>
      </patternFill>
    </fill>
    <fill>
      <patternFill patternType="solid">
        <fgColor rgb="FF1976D2"/>
        <bgColor rgb="FF4672A8"/>
      </patternFill>
    </fill>
    <fill>
      <patternFill patternType="solid">
        <fgColor rgb="FF1F4E78"/>
        <bgColor rgb="FF1F4E78"/>
      </patternFill>
    </fill>
    <fill>
      <patternFill patternType="solid">
        <fgColor rgb="FFFFF8E1"/>
        <bgColor rgb="FFFFF8E1"/>
      </patternFill>
    </fill>
    <fill>
      <patternFill patternType="solid">
        <fgColor rgb="FF305496"/>
        <bgColor rgb="FF305496"/>
      </patternFill>
    </fill>
    <fill>
      <patternFill patternType="solid">
        <fgColor rgb="FFD97706"/>
        <bgColor rgb="FFD97706"/>
      </patternFill>
    </fill>
    <fill>
      <patternFill patternType="solid">
        <fgColor rgb="FFC00000"/>
        <bgColor rgb="FFC00000"/>
      </patternFill>
    </fill>
    <fill>
      <patternFill patternType="solid">
        <fgColor rgb="FFFEEBC8"/>
        <bgColor rgb="FFFEEBC8"/>
      </patternFill>
    </fill>
    <fill>
      <patternFill patternType="solid">
        <fgColor rgb="FFEFEFEF"/>
        <bgColor rgb="FFEFEFEF"/>
      </patternFill>
    </fill>
    <fill>
      <patternFill patternType="solid">
        <fgColor rgb="FFFFE082"/>
        <bgColor rgb="FFFFE082"/>
      </patternFill>
    </fill>
    <fill>
      <patternFill patternType="solid">
        <fgColor rgb="FFF5F7FA"/>
        <bgColor rgb="FFF5F7FA"/>
      </patternFill>
    </fill>
    <fill>
      <patternFill patternType="solid">
        <fgColor rgb="FFE7ECF1"/>
        <bgColor rgb="FFE7ECF1"/>
      </patternFill>
    </fill>
    <fill>
      <patternFill patternType="solid">
        <fgColor rgb="FFD97706"/>
        <bgColor rgb="FFD97706"/>
      </patternFill>
    </fill>
    <fill>
      <patternFill patternType="solid">
        <fgColor rgb="FF42454C"/>
        <bgColor rgb="FF42454C"/>
      </patternFill>
    </fill>
  </fills>
  <borders count="18">
    <border>
      <left/>
      <right/>
      <top/>
      <bottom/>
      <diagonal/>
    </border>
    <border>
      <left style="thin">
        <color rgb="FFB0B0B0"/>
      </left>
      <right style="thin">
        <color rgb="FFB0B0B0"/>
      </right>
      <top style="thin">
        <color rgb="FFB0B0B0"/>
      </top>
      <bottom style="thin">
        <color rgb="FFB0B0B0"/>
      </bottom>
      <diagonal/>
    </border>
    <border>
      <left style="thin">
        <color rgb="FF808080"/>
      </left>
      <right style="thin">
        <color rgb="FF808080"/>
      </right>
      <top style="thin">
        <color rgb="FF808080"/>
      </top>
      <bottom style="thin">
        <color rgb="FF80808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888888"/>
      </left>
      <right style="thin">
        <color rgb="FF888888"/>
      </right>
      <top style="thin">
        <color rgb="FF888888"/>
      </top>
      <bottom style="thin">
        <color rgb="FF888888"/>
      </bottom>
      <diagonal/>
    </border>
    <border>
      <left style="medium">
        <color rgb="FFA05A06"/>
      </left>
      <right style="medium">
        <color rgb="FFA05A06"/>
      </right>
      <top style="medium">
        <color rgb="FFA05A06"/>
      </top>
      <bottom style="medium">
        <color rgb="FFA05A06"/>
      </bottom>
      <diagonal/>
    </border>
    <border>
      <left style="medium">
        <color rgb="FFA05A06"/>
      </left>
      <right/>
      <top/>
      <bottom/>
      <diagonal/>
    </border>
    <border>
      <left/>
      <right style="medium">
        <color rgb="FFA05A06"/>
      </right>
      <top style="medium">
        <color rgb="FFA05A06"/>
      </top>
      <bottom/>
      <diagonal/>
    </border>
    <border>
      <left/>
      <right style="medium">
        <color rgb="FFA05A06"/>
      </right>
      <top/>
      <bottom/>
      <diagonal/>
    </border>
    <border>
      <left style="medium">
        <color rgb="FFA05A06"/>
      </left>
      <right/>
      <top/>
      <bottom style="medium">
        <color rgb="FFA05A06"/>
      </bottom>
      <diagonal/>
    </border>
    <border>
      <left/>
      <right style="medium">
        <color rgb="FFA05A06"/>
      </right>
      <top/>
      <bottom style="medium">
        <color rgb="FFA05A06"/>
      </bottom>
      <diagonal/>
    </border>
    <border>
      <left/>
      <right/>
      <top/>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B0B0B0"/>
      </left>
      <right style="thin">
        <color rgb="FFB0B0B0"/>
      </right>
      <top style="thin">
        <color rgb="FFB0B0B0"/>
      </top>
      <bottom style="thin">
        <color rgb="FFB0B0B0"/>
      </bottom>
      <diagonal/>
    </border>
    <border>
      <left style="thin">
        <color rgb="FFBFBFBF"/>
      </left>
      <right style="thin">
        <color rgb="FFBFBFBF"/>
      </right>
      <top style="thin">
        <color rgb="FFBFBFBF"/>
      </top>
      <bottom style="thin">
        <color rgb="FFBFBFBF"/>
      </bottom>
      <diagonal/>
    </border>
    <border>
      <left/>
      <right/>
      <top/>
      <bottom style="thin">
        <color rgb="FFD97706"/>
      </bottom>
      <diagonal/>
    </border>
  </borders>
  <cellStyleXfs count="1">
    <xf numFmtId="0" fontId="0" fillId="0" borderId="0"/>
  </cellStyleXfs>
  <cellXfs count="220">
    <xf numFmtId="0" fontId="0" fillId="0" borderId="0" xfId="0" applyAlignment="1"/>
    <xf numFmtId="0" fontId="0" fillId="0" borderId="0" xfId="0" applyAlignment="1"/>
    <xf numFmtId="0" fontId="0" fillId="0" borderId="0" xfId="0"/>
    <xf numFmtId="0" fontId="4" fillId="4" borderId="0" xfId="0" applyFont="1" applyFill="1" applyAlignment="1">
      <alignment horizontal="left" vertical="top" wrapText="1" indent="1"/>
    </xf>
    <xf numFmtId="0" fontId="7" fillId="0" borderId="0" xfId="0" applyFont="1" applyAlignment="1"/>
    <xf numFmtId="0" fontId="5" fillId="7" borderId="1" xfId="0" applyFont="1" applyFill="1" applyBorder="1" applyAlignment="1">
      <alignment horizontal="right" vertical="center" indent="1"/>
    </xf>
    <xf numFmtId="0" fontId="5" fillId="8" borderId="1" xfId="0" applyFont="1" applyFill="1" applyBorder="1" applyAlignment="1">
      <alignment horizontal="right" vertical="center" indent="1"/>
    </xf>
    <xf numFmtId="0" fontId="5" fillId="10" borderId="1" xfId="0" applyFont="1" applyFill="1" applyBorder="1" applyAlignment="1">
      <alignment horizontal="right" vertical="center" indent="1"/>
    </xf>
    <xf numFmtId="0" fontId="9" fillId="5" borderId="1" xfId="0" applyFont="1" applyFill="1" applyBorder="1" applyAlignment="1">
      <alignment horizontal="center" vertical="center" wrapText="1"/>
    </xf>
    <xf numFmtId="170" fontId="10" fillId="0" borderId="1" xfId="0" applyNumberFormat="1" applyFont="1" applyBorder="1" applyAlignment="1">
      <alignment horizontal="center" vertical="center"/>
    </xf>
    <xf numFmtId="2" fontId="10" fillId="0" borderId="1" xfId="0" applyNumberFormat="1" applyFont="1" applyBorder="1" applyAlignment="1">
      <alignment horizontal="center" vertical="center"/>
    </xf>
    <xf numFmtId="0" fontId="10" fillId="3" borderId="1" xfId="0" applyFont="1" applyFill="1" applyBorder="1" applyAlignment="1">
      <alignment horizontal="center" vertical="center"/>
    </xf>
    <xf numFmtId="170" fontId="10" fillId="3" borderId="1" xfId="0" applyNumberFormat="1" applyFont="1" applyFill="1" applyBorder="1" applyAlignment="1">
      <alignment horizontal="center" vertical="center"/>
    </xf>
    <xf numFmtId="1" fontId="10" fillId="3" borderId="1" xfId="0" applyNumberFormat="1" applyFont="1" applyFill="1" applyBorder="1" applyAlignment="1">
      <alignment horizontal="center" vertical="center"/>
    </xf>
    <xf numFmtId="2" fontId="10" fillId="3" borderId="1" xfId="0" applyNumberFormat="1" applyFont="1" applyFill="1" applyBorder="1" applyAlignment="1">
      <alignment horizontal="center" vertical="center"/>
    </xf>
    <xf numFmtId="0" fontId="11" fillId="0" borderId="0" xfId="0" applyFont="1" applyAlignment="1">
      <alignment horizontal="right"/>
    </xf>
    <xf numFmtId="0" fontId="15" fillId="0" borderId="0" xfId="0" applyFont="1" applyAlignment="1"/>
    <xf numFmtId="0" fontId="17" fillId="0" borderId="0" xfId="0" applyFont="1" applyAlignment="1"/>
    <xf numFmtId="167" fontId="10" fillId="3" borderId="1" xfId="0" applyNumberFormat="1" applyFont="1" applyFill="1" applyBorder="1" applyAlignment="1">
      <alignment horizontal="center" vertical="center"/>
    </xf>
    <xf numFmtId="49" fontId="3" fillId="0" borderId="1" xfId="0" applyNumberFormat="1" applyFont="1" applyBorder="1" applyAlignment="1">
      <alignment horizontal="center" vertical="center"/>
    </xf>
    <xf numFmtId="49" fontId="3" fillId="3" borderId="1" xfId="0" applyNumberFormat="1" applyFont="1" applyFill="1" applyBorder="1" applyAlignment="1">
      <alignment horizontal="center" vertical="center"/>
    </xf>
    <xf numFmtId="0" fontId="10" fillId="9" borderId="1" xfId="0" applyFont="1" applyFill="1" applyBorder="1" applyAlignment="1">
      <alignment horizontal="center" vertical="center"/>
    </xf>
    <xf numFmtId="0" fontId="10" fillId="9" borderId="1" xfId="0" applyFont="1" applyFill="1" applyBorder="1" applyAlignment="1">
      <alignment horizontal="left" vertical="center" wrapText="1" indent="1"/>
    </xf>
    <xf numFmtId="170" fontId="10" fillId="9" borderId="1" xfId="0" applyNumberFormat="1" applyFont="1" applyFill="1" applyBorder="1" applyAlignment="1">
      <alignment horizontal="center" vertical="center"/>
    </xf>
    <xf numFmtId="1" fontId="10" fillId="9" borderId="1" xfId="0" applyNumberFormat="1" applyFont="1" applyFill="1" applyBorder="1" applyAlignment="1">
      <alignment horizontal="center" vertical="center"/>
    </xf>
    <xf numFmtId="0" fontId="10" fillId="4" borderId="1" xfId="0" applyFont="1" applyFill="1" applyBorder="1" applyAlignment="1">
      <alignment horizontal="center" vertical="center"/>
    </xf>
    <xf numFmtId="167" fontId="10" fillId="9" borderId="1" xfId="0" applyNumberFormat="1" applyFont="1" applyFill="1" applyBorder="1" applyAlignment="1">
      <alignment horizontal="center" vertical="center"/>
    </xf>
    <xf numFmtId="167" fontId="10" fillId="4" borderId="1" xfId="0" applyNumberFormat="1" applyFont="1" applyFill="1" applyBorder="1" applyAlignment="1">
      <alignment horizontal="center" vertical="center"/>
    </xf>
    <xf numFmtId="167" fontId="10" fillId="14" borderId="1" xfId="0" applyNumberFormat="1" applyFont="1" applyFill="1" applyBorder="1" applyAlignment="1">
      <alignment horizontal="center" vertical="center"/>
    </xf>
    <xf numFmtId="0" fontId="9" fillId="2" borderId="0" xfId="0" applyFont="1" applyFill="1" applyAlignment="1">
      <alignment horizontal="center" vertical="center" wrapText="1"/>
    </xf>
    <xf numFmtId="1" fontId="10" fillId="11" borderId="1" xfId="0" applyNumberFormat="1" applyFont="1" applyFill="1" applyBorder="1" applyAlignment="1">
      <alignment horizontal="center" vertical="center"/>
    </xf>
    <xf numFmtId="170" fontId="10" fillId="11" borderId="1" xfId="0" applyNumberFormat="1" applyFont="1" applyFill="1" applyBorder="1" applyAlignment="1">
      <alignment horizontal="center" vertical="center"/>
    </xf>
    <xf numFmtId="2" fontId="10" fillId="11" borderId="1" xfId="0" applyNumberFormat="1" applyFont="1" applyFill="1" applyBorder="1" applyAlignment="1">
      <alignment horizontal="center" vertical="center"/>
    </xf>
    <xf numFmtId="0" fontId="5" fillId="4" borderId="1" xfId="0" applyFont="1" applyFill="1" applyBorder="1" applyAlignment="1">
      <alignment horizontal="right" vertical="center" indent="1"/>
    </xf>
    <xf numFmtId="0" fontId="0" fillId="4" borderId="1" xfId="0" applyFill="1" applyBorder="1" applyAlignment="1"/>
    <xf numFmtId="0" fontId="5" fillId="9" borderId="1" xfId="0" applyFont="1" applyFill="1" applyBorder="1" applyAlignment="1">
      <alignment horizontal="right" vertical="center" indent="1"/>
    </xf>
    <xf numFmtId="0" fontId="0" fillId="9" borderId="1" xfId="0" applyFill="1" applyBorder="1" applyAlignment="1"/>
    <xf numFmtId="1" fontId="10" fillId="9" borderId="1" xfId="0" applyNumberFormat="1" applyFont="1" applyFill="1" applyBorder="1" applyAlignment="1">
      <alignment horizontal="left" vertical="center" wrapText="1" indent="1"/>
    </xf>
    <xf numFmtId="2" fontId="10" fillId="9" borderId="1" xfId="0" applyNumberFormat="1" applyFont="1" applyFill="1" applyBorder="1" applyAlignment="1">
      <alignment horizontal="left" vertical="center" wrapText="1" indent="1"/>
    </xf>
    <xf numFmtId="0" fontId="1" fillId="0" borderId="1" xfId="0" applyFont="1" applyBorder="1" applyAlignment="1">
      <alignment horizontal="left" vertical="center" wrapText="1" indent="1"/>
    </xf>
    <xf numFmtId="0" fontId="1" fillId="3" borderId="1" xfId="0" applyFont="1" applyFill="1" applyBorder="1" applyAlignment="1">
      <alignment horizontal="left" vertical="center" wrapText="1" indent="1"/>
    </xf>
    <xf numFmtId="0" fontId="22" fillId="18" borderId="0" xfId="0" applyFont="1" applyFill="1" applyAlignment="1">
      <alignment horizontal="center" vertical="center" wrapText="1"/>
    </xf>
    <xf numFmtId="0" fontId="24" fillId="0" borderId="0" xfId="0" applyFont="1"/>
    <xf numFmtId="167" fontId="3" fillId="0" borderId="5" xfId="0" applyNumberFormat="1" applyFont="1" applyBorder="1" applyAlignment="1">
      <alignment horizontal="center" vertical="center"/>
    </xf>
    <xf numFmtId="167" fontId="3" fillId="3" borderId="5" xfId="0" applyNumberFormat="1" applyFont="1" applyFill="1" applyBorder="1" applyAlignment="1">
      <alignment horizontal="center" vertical="center"/>
    </xf>
    <xf numFmtId="0" fontId="24" fillId="0" borderId="12" xfId="0" applyFont="1" applyBorder="1"/>
    <xf numFmtId="0" fontId="26" fillId="0" borderId="0" xfId="0" applyFont="1"/>
    <xf numFmtId="173" fontId="3" fillId="0" borderId="5" xfId="0" applyNumberFormat="1" applyFont="1" applyBorder="1" applyAlignment="1">
      <alignment horizontal="center" vertical="center"/>
    </xf>
    <xf numFmtId="173" fontId="3" fillId="13" borderId="5" xfId="0" applyNumberFormat="1" applyFont="1" applyFill="1" applyBorder="1" applyAlignment="1">
      <alignment horizontal="center" vertical="center"/>
    </xf>
    <xf numFmtId="0" fontId="0" fillId="0" borderId="0" xfId="0" applyAlignment="1">
      <alignment horizontal="center" vertical="center" wrapText="1"/>
    </xf>
    <xf numFmtId="0" fontId="44" fillId="0" borderId="12" xfId="0" applyFont="1" applyBorder="1" applyAlignment="1">
      <alignment horizontal="center" vertical="top"/>
    </xf>
    <xf numFmtId="0" fontId="40" fillId="0" borderId="12" xfId="0" applyFont="1" applyBorder="1" applyAlignment="1">
      <alignment horizontal="left" vertical="top" indent="1"/>
    </xf>
    <xf numFmtId="0" fontId="2" fillId="20" borderId="0" xfId="0" applyFont="1" applyFill="1" applyAlignment="1">
      <alignment horizontal="right" vertical="center"/>
    </xf>
    <xf numFmtId="173" fontId="23" fillId="20" borderId="0" xfId="0" applyNumberFormat="1" applyFont="1" applyFill="1" applyAlignment="1">
      <alignment horizontal="left" vertical="center" shrinkToFit="1"/>
    </xf>
    <xf numFmtId="172" fontId="23" fillId="20" borderId="0" xfId="0" applyNumberFormat="1" applyFont="1" applyFill="1" applyAlignment="1">
      <alignment horizontal="left" vertical="center" shrinkToFit="1"/>
    </xf>
    <xf numFmtId="0" fontId="33" fillId="23" borderId="15" xfId="0" applyFont="1" applyFill="1" applyBorder="1" applyAlignment="1">
      <alignment horizontal="right" vertical="center"/>
    </xf>
    <xf numFmtId="171" fontId="10" fillId="0" borderId="1" xfId="0" applyNumberFormat="1" applyFont="1" applyBorder="1" applyAlignment="1">
      <alignment horizontal="center" vertical="center" shrinkToFit="1"/>
    </xf>
    <xf numFmtId="173" fontId="10" fillId="0" borderId="1" xfId="0" applyNumberFormat="1" applyFont="1" applyBorder="1" applyAlignment="1">
      <alignment horizontal="center" vertical="center" shrinkToFit="1"/>
    </xf>
    <xf numFmtId="174" fontId="10" fillId="0" borderId="1" xfId="0" applyNumberFormat="1" applyFont="1" applyBorder="1" applyAlignment="1">
      <alignment horizontal="center" vertical="center" shrinkToFit="1"/>
    </xf>
    <xf numFmtId="171" fontId="3" fillId="0" borderId="1" xfId="0" applyNumberFormat="1" applyFont="1" applyBorder="1" applyAlignment="1">
      <alignment horizontal="center" vertical="center" shrinkToFit="1"/>
    </xf>
    <xf numFmtId="171" fontId="1" fillId="0" borderId="1" xfId="0" applyNumberFormat="1" applyFont="1" applyBorder="1" applyAlignment="1">
      <alignment horizontal="center" vertical="center" shrinkToFit="1"/>
    </xf>
    <xf numFmtId="172" fontId="10" fillId="0" borderId="1" xfId="0" applyNumberFormat="1" applyFont="1" applyBorder="1" applyAlignment="1">
      <alignment horizontal="center" vertical="center" shrinkToFit="1"/>
    </xf>
    <xf numFmtId="171" fontId="1" fillId="0" borderId="1" xfId="0" applyNumberFormat="1" applyFont="1" applyBorder="1" applyAlignment="1">
      <alignment horizontal="center" vertical="center" shrinkToFit="1"/>
    </xf>
    <xf numFmtId="171" fontId="10" fillId="3" borderId="1" xfId="0" applyNumberFormat="1" applyFont="1" applyFill="1" applyBorder="1" applyAlignment="1">
      <alignment horizontal="center" vertical="center" shrinkToFit="1"/>
    </xf>
    <xf numFmtId="173" fontId="10" fillId="3" borderId="1" xfId="0" applyNumberFormat="1" applyFont="1" applyFill="1" applyBorder="1" applyAlignment="1">
      <alignment horizontal="center" vertical="center" shrinkToFit="1"/>
    </xf>
    <xf numFmtId="174" fontId="10" fillId="3" borderId="1" xfId="0" applyNumberFormat="1" applyFont="1" applyFill="1" applyBorder="1" applyAlignment="1">
      <alignment horizontal="center" vertical="center" shrinkToFit="1"/>
    </xf>
    <xf numFmtId="171" fontId="3" fillId="3" borderId="1" xfId="0" applyNumberFormat="1" applyFont="1" applyFill="1" applyBorder="1" applyAlignment="1">
      <alignment horizontal="center" vertical="center" shrinkToFit="1"/>
    </xf>
    <xf numFmtId="171" fontId="1" fillId="3" borderId="1" xfId="0" applyNumberFormat="1" applyFont="1" applyFill="1" applyBorder="1" applyAlignment="1">
      <alignment horizontal="center" vertical="center" shrinkToFit="1"/>
    </xf>
    <xf numFmtId="171" fontId="1" fillId="3" borderId="1" xfId="0" applyNumberFormat="1" applyFont="1" applyFill="1" applyBorder="1" applyAlignment="1">
      <alignment horizontal="center" vertical="center" shrinkToFit="1"/>
    </xf>
    <xf numFmtId="171" fontId="1" fillId="3" borderId="1" xfId="0" applyNumberFormat="1" applyFont="1" applyFill="1" applyBorder="1" applyAlignment="1">
      <alignment horizontal="left" vertical="center" indent="1"/>
    </xf>
    <xf numFmtId="171" fontId="1" fillId="0" borderId="1" xfId="0" applyNumberFormat="1" applyFont="1" applyBorder="1" applyAlignment="1">
      <alignment horizontal="left" vertical="center" indent="1"/>
    </xf>
    <xf numFmtId="0" fontId="31" fillId="21" borderId="5" xfId="0" applyFont="1" applyFill="1" applyBorder="1" applyAlignment="1">
      <alignment horizontal="right" vertical="center"/>
    </xf>
    <xf numFmtId="172" fontId="32" fillId="21" borderId="5" xfId="0" applyNumberFormat="1" applyFont="1" applyFill="1" applyBorder="1" applyAlignment="1">
      <alignment horizontal="left" vertical="center" shrinkToFit="1"/>
    </xf>
    <xf numFmtId="173" fontId="32" fillId="21" borderId="5" xfId="0" applyNumberFormat="1" applyFont="1" applyFill="1" applyBorder="1" applyAlignment="1">
      <alignment horizontal="left" vertical="center" shrinkToFit="1"/>
    </xf>
    <xf numFmtId="0" fontId="9" fillId="0" borderId="0" xfId="0" applyFont="1" applyAlignment="1">
      <alignment horizontal="center" vertical="center" wrapText="1"/>
    </xf>
    <xf numFmtId="0" fontId="19" fillId="0" borderId="0" xfId="0" applyFont="1" applyAlignment="1">
      <alignment horizontal="left" vertical="top" wrapText="1" indent="1"/>
    </xf>
    <xf numFmtId="176" fontId="32" fillId="21" borderId="5" xfId="0" applyNumberFormat="1" applyFont="1" applyFill="1" applyBorder="1" applyAlignment="1">
      <alignment horizontal="left" vertical="center" shrinkToFit="1"/>
    </xf>
    <xf numFmtId="174" fontId="32" fillId="21" borderId="5" xfId="0" applyNumberFormat="1" applyFont="1" applyFill="1" applyBorder="1" applyAlignment="1">
      <alignment horizontal="left" vertical="center" shrinkToFit="1"/>
    </xf>
    <xf numFmtId="176" fontId="14" fillId="12" borderId="2" xfId="0" applyNumberFormat="1" applyFont="1" applyFill="1" applyBorder="1" applyAlignment="1">
      <alignment horizontal="center" shrinkToFit="1"/>
    </xf>
    <xf numFmtId="173" fontId="14" fillId="12" borderId="2" xfId="0" applyNumberFormat="1" applyFont="1" applyFill="1" applyBorder="1" applyAlignment="1">
      <alignment horizontal="center" shrinkToFit="1"/>
    </xf>
    <xf numFmtId="0" fontId="33" fillId="23" borderId="15" xfId="0" applyFont="1" applyFill="1" applyBorder="1" applyAlignment="1">
      <alignment horizontal="center" vertical="center"/>
    </xf>
    <xf numFmtId="171" fontId="28" fillId="22" borderId="5" xfId="0" applyNumberFormat="1" applyFont="1" applyFill="1" applyBorder="1" applyAlignment="1">
      <alignment horizontal="center" vertical="center" wrapText="1"/>
    </xf>
    <xf numFmtId="0" fontId="28" fillId="22" borderId="5" xfId="0" applyFont="1" applyFill="1" applyBorder="1" applyAlignment="1">
      <alignment horizontal="center" vertical="center" wrapText="1"/>
    </xf>
    <xf numFmtId="0" fontId="16" fillId="5" borderId="5" xfId="0" applyFont="1" applyFill="1" applyBorder="1" applyAlignment="1">
      <alignment horizontal="center" vertical="center" wrapText="1"/>
    </xf>
    <xf numFmtId="0" fontId="0" fillId="0" borderId="5" xfId="0" applyBorder="1"/>
    <xf numFmtId="173" fontId="3" fillId="0" borderId="5" xfId="0" applyNumberFormat="1" applyFont="1" applyBorder="1" applyAlignment="1">
      <alignment horizontal="center" vertical="center" shrinkToFit="1"/>
    </xf>
    <xf numFmtId="174" fontId="3" fillId="0" borderId="5" xfId="0" applyNumberFormat="1" applyFont="1" applyBorder="1" applyAlignment="1">
      <alignment horizontal="center" vertical="center" shrinkToFit="1"/>
    </xf>
    <xf numFmtId="176" fontId="3" fillId="0" borderId="5" xfId="0" applyNumberFormat="1" applyFont="1" applyBorder="1" applyAlignment="1">
      <alignment horizontal="center" vertical="center" shrinkToFit="1"/>
    </xf>
    <xf numFmtId="172" fontId="3" fillId="0" borderId="5" xfId="0" applyNumberFormat="1" applyFont="1" applyBorder="1" applyAlignment="1">
      <alignment horizontal="center" vertical="center" shrinkToFit="1"/>
    </xf>
    <xf numFmtId="172" fontId="3" fillId="0" borderId="5" xfId="0" applyNumberFormat="1" applyFont="1" applyBorder="1" applyAlignment="1">
      <alignment horizontal="center" shrinkToFit="1"/>
    </xf>
    <xf numFmtId="172" fontId="0" fillId="0" borderId="5" xfId="0" applyNumberFormat="1" applyBorder="1" applyAlignment="1">
      <alignment shrinkToFit="1"/>
    </xf>
    <xf numFmtId="0" fontId="0" fillId="0" borderId="0" xfId="0" applyAlignment="1">
      <alignment shrinkToFit="1"/>
    </xf>
    <xf numFmtId="173" fontId="3" fillId="13" borderId="5" xfId="0" applyNumberFormat="1" applyFont="1" applyFill="1" applyBorder="1" applyAlignment="1">
      <alignment horizontal="center" vertical="center" shrinkToFit="1"/>
    </xf>
    <xf numFmtId="174" fontId="3" fillId="13" borderId="5" xfId="0" applyNumberFormat="1" applyFont="1" applyFill="1" applyBorder="1" applyAlignment="1">
      <alignment horizontal="center" vertical="center" shrinkToFit="1"/>
    </xf>
    <xf numFmtId="176" fontId="3" fillId="13" borderId="5" xfId="0" applyNumberFormat="1" applyFont="1" applyFill="1" applyBorder="1" applyAlignment="1">
      <alignment horizontal="center" vertical="center" shrinkToFit="1"/>
    </xf>
    <xf numFmtId="172" fontId="17" fillId="0" borderId="5" xfId="0" applyNumberFormat="1" applyFont="1" applyBorder="1" applyAlignment="1">
      <alignment shrinkToFit="1"/>
    </xf>
    <xf numFmtId="0" fontId="20" fillId="20" borderId="0" xfId="0" applyFont="1" applyFill="1" applyAlignment="1">
      <alignment horizontal="right" vertical="center"/>
    </xf>
    <xf numFmtId="172" fontId="3" fillId="0" borderId="1" xfId="0" applyNumberFormat="1" applyFont="1" applyBorder="1" applyAlignment="1">
      <alignment horizontal="center" vertical="center" shrinkToFit="1"/>
    </xf>
    <xf numFmtId="174" fontId="3" fillId="0" borderId="1" xfId="0" applyNumberFormat="1" applyFont="1" applyBorder="1" applyAlignment="1">
      <alignment horizontal="center" vertical="center" shrinkToFit="1"/>
    </xf>
    <xf numFmtId="172" fontId="10" fillId="3" borderId="1" xfId="0" applyNumberFormat="1" applyFont="1" applyFill="1" applyBorder="1" applyAlignment="1">
      <alignment horizontal="center" vertical="center" shrinkToFit="1"/>
    </xf>
    <xf numFmtId="172" fontId="3" fillId="3" borderId="1" xfId="0" applyNumberFormat="1" applyFont="1" applyFill="1" applyBorder="1" applyAlignment="1">
      <alignment horizontal="center" vertical="center" shrinkToFit="1"/>
    </xf>
    <xf numFmtId="174" fontId="3" fillId="3" borderId="1" xfId="0" applyNumberFormat="1" applyFont="1" applyFill="1" applyBorder="1" applyAlignment="1">
      <alignment horizontal="center" vertical="center" shrinkToFit="1"/>
    </xf>
    <xf numFmtId="2" fontId="33" fillId="23" borderId="15" xfId="0" applyNumberFormat="1" applyFont="1" applyFill="1" applyBorder="1" applyAlignment="1">
      <alignment horizontal="center" vertical="center"/>
    </xf>
    <xf numFmtId="0" fontId="5" fillId="0" borderId="5" xfId="0" applyFont="1" applyBorder="1" applyAlignment="1">
      <alignment horizontal="right" vertical="center" indent="1"/>
    </xf>
    <xf numFmtId="2" fontId="18" fillId="9" borderId="5" xfId="0" applyNumberFormat="1" applyFont="1" applyFill="1" applyBorder="1" applyAlignment="1">
      <alignment horizontal="center" vertical="center" shrinkToFit="1"/>
    </xf>
    <xf numFmtId="0" fontId="7" fillId="0" borderId="5" xfId="0" applyFont="1" applyBorder="1" applyAlignment="1"/>
    <xf numFmtId="2" fontId="3" fillId="0" borderId="0" xfId="0" applyNumberFormat="1" applyFont="1" applyAlignment="1">
      <alignment horizontal="center" vertical="center" shrinkToFit="1"/>
    </xf>
    <xf numFmtId="0" fontId="9" fillId="5" borderId="5" xfId="0" applyFont="1" applyFill="1" applyBorder="1" applyAlignment="1">
      <alignment horizontal="center" vertical="center" wrapText="1"/>
    </xf>
    <xf numFmtId="0" fontId="7" fillId="5" borderId="5" xfId="0" applyFont="1" applyFill="1" applyBorder="1" applyAlignment="1"/>
    <xf numFmtId="167" fontId="3" fillId="0" borderId="5" xfId="0" applyNumberFormat="1" applyFont="1" applyBorder="1" applyAlignment="1">
      <alignment horizontal="center" vertical="center" shrinkToFit="1"/>
    </xf>
    <xf numFmtId="1" fontId="3" fillId="0" borderId="5" xfId="0" applyNumberFormat="1" applyFont="1" applyBorder="1" applyAlignment="1">
      <alignment horizontal="center" vertical="center" shrinkToFit="1"/>
    </xf>
    <xf numFmtId="170" fontId="3" fillId="0" borderId="5" xfId="0" applyNumberFormat="1" applyFont="1" applyBorder="1" applyAlignment="1">
      <alignment horizontal="center" vertical="center" shrinkToFit="1"/>
    </xf>
    <xf numFmtId="2" fontId="3" fillId="0" borderId="5" xfId="0" applyNumberFormat="1" applyFont="1" applyBorder="1" applyAlignment="1">
      <alignment horizontal="center" vertical="center" shrinkToFit="1"/>
    </xf>
    <xf numFmtId="49" fontId="3" fillId="0" borderId="5" xfId="0" applyNumberFormat="1" applyFont="1" applyBorder="1" applyAlignment="1">
      <alignment horizontal="center" vertical="center"/>
    </xf>
    <xf numFmtId="167" fontId="3" fillId="3" borderId="5" xfId="0" applyNumberFormat="1" applyFont="1" applyFill="1" applyBorder="1" applyAlignment="1">
      <alignment horizontal="center" vertical="center" shrinkToFit="1"/>
    </xf>
    <xf numFmtId="1" fontId="3" fillId="3" borderId="5" xfId="0" applyNumberFormat="1" applyFont="1" applyFill="1" applyBorder="1" applyAlignment="1">
      <alignment horizontal="center" vertical="center" shrinkToFit="1"/>
    </xf>
    <xf numFmtId="170" fontId="3" fillId="3" borderId="5" xfId="0" applyNumberFormat="1" applyFont="1" applyFill="1" applyBorder="1" applyAlignment="1">
      <alignment horizontal="center" vertical="center" shrinkToFit="1"/>
    </xf>
    <xf numFmtId="2" fontId="3" fillId="3" borderId="5" xfId="0" applyNumberFormat="1" applyFont="1" applyFill="1" applyBorder="1" applyAlignment="1">
      <alignment horizontal="center" vertical="center" shrinkToFit="1"/>
    </xf>
    <xf numFmtId="49" fontId="3" fillId="3" borderId="5" xfId="0" applyNumberFormat="1" applyFont="1" applyFill="1" applyBorder="1" applyAlignment="1">
      <alignment horizontal="center" vertical="center"/>
    </xf>
    <xf numFmtId="0" fontId="7" fillId="3" borderId="5" xfId="0" applyFont="1" applyFill="1" applyBorder="1" applyAlignment="1"/>
    <xf numFmtId="49" fontId="3" fillId="3" borderId="5" xfId="0" applyNumberFormat="1" applyFont="1" applyFill="1" applyBorder="1" applyAlignment="1">
      <alignment horizontal="center" vertical="center" shrinkToFit="1"/>
    </xf>
    <xf numFmtId="49" fontId="3" fillId="0" borderId="5" xfId="0" applyNumberFormat="1" applyFont="1" applyBorder="1" applyAlignment="1">
      <alignment horizontal="center" vertical="center" shrinkToFit="1"/>
    </xf>
    <xf numFmtId="0" fontId="26" fillId="0" borderId="0" xfId="0" applyFont="1" applyAlignment="1">
      <alignment shrinkToFit="1"/>
    </xf>
    <xf numFmtId="0" fontId="21" fillId="25" borderId="16" xfId="0" applyFont="1" applyFill="1" applyBorder="1" applyAlignment="1">
      <alignment horizontal="center" vertical="center" wrapText="1"/>
    </xf>
    <xf numFmtId="168" fontId="21" fillId="25" borderId="16" xfId="0" applyNumberFormat="1" applyFont="1" applyFill="1" applyBorder="1" applyAlignment="1">
      <alignment horizontal="center" vertical="center" wrapText="1"/>
    </xf>
    <xf numFmtId="0" fontId="35" fillId="0" borderId="16" xfId="0" applyFont="1" applyBorder="1" applyAlignment="1">
      <alignment horizontal="center" vertical="center"/>
    </xf>
    <xf numFmtId="0" fontId="35" fillId="0" borderId="16" xfId="0" applyFont="1" applyBorder="1" applyAlignment="1">
      <alignment horizontal="center" vertical="center" shrinkToFit="1"/>
    </xf>
    <xf numFmtId="0" fontId="35" fillId="0" borderId="16" xfId="0" applyFont="1" applyBorder="1" applyAlignment="1">
      <alignment horizontal="left" vertical="center" shrinkToFit="1"/>
    </xf>
    <xf numFmtId="1" fontId="35" fillId="0" borderId="16" xfId="0" applyNumberFormat="1" applyFont="1" applyBorder="1" applyAlignment="1">
      <alignment horizontal="center" vertical="center" shrinkToFit="1"/>
    </xf>
    <xf numFmtId="170" fontId="35" fillId="0" borderId="16" xfId="0" applyNumberFormat="1" applyFont="1" applyBorder="1" applyAlignment="1">
      <alignment horizontal="center" vertical="center" shrinkToFit="1"/>
    </xf>
    <xf numFmtId="2" fontId="35" fillId="0" borderId="16" xfId="0" applyNumberFormat="1" applyFont="1" applyBorder="1" applyAlignment="1">
      <alignment horizontal="center" vertical="center" shrinkToFit="1"/>
    </xf>
    <xf numFmtId="0" fontId="35" fillId="24" borderId="16" xfId="0" applyFont="1" applyFill="1" applyBorder="1" applyAlignment="1">
      <alignment horizontal="center" vertical="center"/>
    </xf>
    <xf numFmtId="0" fontId="35" fillId="24" borderId="16" xfId="0" applyFont="1" applyFill="1" applyBorder="1" applyAlignment="1">
      <alignment horizontal="center" vertical="center" shrinkToFit="1"/>
    </xf>
    <xf numFmtId="0" fontId="35" fillId="24" borderId="16" xfId="0" applyFont="1" applyFill="1" applyBorder="1" applyAlignment="1">
      <alignment horizontal="left" vertical="center" shrinkToFit="1"/>
    </xf>
    <xf numFmtId="1" fontId="35" fillId="24" borderId="16" xfId="0" applyNumberFormat="1" applyFont="1" applyFill="1" applyBorder="1" applyAlignment="1">
      <alignment horizontal="center" vertical="center" shrinkToFit="1"/>
    </xf>
    <xf numFmtId="170" fontId="35" fillId="24" borderId="16" xfId="0" applyNumberFormat="1" applyFont="1" applyFill="1" applyBorder="1" applyAlignment="1">
      <alignment horizontal="center" vertical="center" shrinkToFit="1"/>
    </xf>
    <xf numFmtId="165" fontId="35" fillId="0" borderId="16" xfId="0" applyNumberFormat="1" applyFont="1" applyBorder="1" applyAlignment="1">
      <alignment horizontal="center" vertical="center" shrinkToFit="1"/>
    </xf>
    <xf numFmtId="166" fontId="35" fillId="0" borderId="16" xfId="0" applyNumberFormat="1" applyFont="1" applyBorder="1" applyAlignment="1">
      <alignment horizontal="center" vertical="center" shrinkToFit="1"/>
    </xf>
    <xf numFmtId="164" fontId="35" fillId="0" borderId="16" xfId="0" applyNumberFormat="1" applyFont="1" applyBorder="1" applyAlignment="1">
      <alignment horizontal="left" vertical="center" shrinkToFit="1"/>
    </xf>
    <xf numFmtId="2" fontId="35" fillId="24" borderId="16" xfId="0" applyNumberFormat="1" applyFont="1" applyFill="1" applyBorder="1" applyAlignment="1">
      <alignment horizontal="center" vertical="center" shrinkToFit="1"/>
    </xf>
    <xf numFmtId="167" fontId="35" fillId="0" borderId="16" xfId="0" applyNumberFormat="1" applyFont="1" applyBorder="1" applyAlignment="1">
      <alignment horizontal="center" vertical="center" shrinkToFit="1"/>
    </xf>
    <xf numFmtId="167" fontId="35" fillId="24" borderId="16" xfId="0" applyNumberFormat="1" applyFont="1" applyFill="1" applyBorder="1" applyAlignment="1">
      <alignment horizontal="center" vertical="center" shrinkToFit="1"/>
    </xf>
    <xf numFmtId="177" fontId="10" fillId="4" borderId="1" xfId="0" applyNumberFormat="1" applyFont="1" applyFill="1" applyBorder="1" applyAlignment="1">
      <alignment horizontal="center" vertical="center"/>
    </xf>
    <xf numFmtId="0" fontId="10" fillId="4" borderId="1" xfId="0" applyFont="1" applyFill="1" applyBorder="1" applyAlignment="1">
      <alignment horizontal="center" vertical="center" wrapText="1"/>
    </xf>
    <xf numFmtId="0" fontId="10" fillId="4" borderId="1" xfId="0" applyFont="1" applyFill="1" applyBorder="1" applyAlignment="1">
      <alignment horizontal="left" vertical="top" wrapText="1"/>
    </xf>
    <xf numFmtId="177" fontId="10" fillId="3" borderId="1" xfId="0" applyNumberFormat="1" applyFont="1" applyFill="1" applyBorder="1" applyAlignment="1">
      <alignment horizontal="center" vertical="center"/>
    </xf>
    <xf numFmtId="0" fontId="10" fillId="3" borderId="1" xfId="0" applyFont="1" applyFill="1" applyBorder="1" applyAlignment="1">
      <alignment horizontal="center" vertical="center" wrapText="1"/>
    </xf>
    <xf numFmtId="0" fontId="10" fillId="3" borderId="1" xfId="0" applyFont="1" applyFill="1" applyBorder="1" applyAlignment="1">
      <alignment horizontal="left" vertical="top" wrapText="1"/>
    </xf>
    <xf numFmtId="0" fontId="1" fillId="4" borderId="1" xfId="0" applyFont="1" applyFill="1" applyBorder="1" applyAlignment="1">
      <alignment horizontal="left" vertical="center" indent="1" shrinkToFit="1"/>
    </xf>
    <xf numFmtId="1" fontId="10" fillId="0" borderId="1" xfId="0" applyNumberFormat="1" applyFont="1" applyBorder="1" applyAlignment="1">
      <alignment horizontal="center" vertical="center" shrinkToFit="1"/>
    </xf>
    <xf numFmtId="1" fontId="3" fillId="0" borderId="1" xfId="0" applyNumberFormat="1" applyFont="1" applyBorder="1" applyAlignment="1">
      <alignment horizontal="center" vertical="center" shrinkToFit="1"/>
    </xf>
    <xf numFmtId="1" fontId="10" fillId="3" borderId="1" xfId="0" applyNumberFormat="1" applyFont="1" applyFill="1" applyBorder="1" applyAlignment="1">
      <alignment horizontal="center" vertical="center" shrinkToFit="1"/>
    </xf>
    <xf numFmtId="1" fontId="3" fillId="3" borderId="1" xfId="0" applyNumberFormat="1" applyFont="1" applyFill="1" applyBorder="1" applyAlignment="1">
      <alignment horizontal="center" vertical="center" shrinkToFit="1"/>
    </xf>
    <xf numFmtId="0" fontId="46" fillId="0" borderId="12" xfId="0" applyFont="1" applyBorder="1" applyAlignment="1">
      <alignment horizontal="center" vertical="center"/>
    </xf>
    <xf numFmtId="0" fontId="0" fillId="0" borderId="0" xfId="0"/>
    <xf numFmtId="0" fontId="40" fillId="0" borderId="12" xfId="0" applyFont="1" applyBorder="1" applyAlignment="1">
      <alignment horizontal="left" vertical="top" wrapText="1" indent="1"/>
    </xf>
    <xf numFmtId="0" fontId="39" fillId="0" borderId="12" xfId="0" applyFont="1" applyBorder="1" applyAlignment="1">
      <alignment horizontal="left" vertical="top" wrapText="1" indent="1"/>
    </xf>
    <xf numFmtId="0" fontId="38" fillId="0" borderId="17" xfId="0" applyFont="1" applyBorder="1" applyAlignment="1">
      <alignment horizontal="left" indent="1"/>
    </xf>
    <xf numFmtId="0" fontId="0" fillId="0" borderId="17" xfId="0" applyBorder="1"/>
    <xf numFmtId="0" fontId="36" fillId="0" borderId="12" xfId="0" applyFont="1" applyBorder="1" applyAlignment="1">
      <alignment horizontal="left" vertical="center" indent="1"/>
    </xf>
    <xf numFmtId="0" fontId="42" fillId="24" borderId="12" xfId="0" applyFont="1" applyFill="1" applyBorder="1" applyAlignment="1">
      <alignment horizontal="center" vertical="center"/>
    </xf>
    <xf numFmtId="0" fontId="43" fillId="24" borderId="12" xfId="0" applyFont="1" applyFill="1" applyBorder="1" applyAlignment="1">
      <alignment horizontal="left" vertical="center" wrapText="1" indent="1"/>
    </xf>
    <xf numFmtId="0" fontId="41" fillId="25" borderId="12" xfId="0" applyFont="1" applyFill="1" applyBorder="1" applyAlignment="1">
      <alignment horizontal="left" vertical="center" indent="1"/>
    </xf>
    <xf numFmtId="0" fontId="37" fillId="0" borderId="12" xfId="0" applyFont="1" applyBorder="1" applyAlignment="1">
      <alignment horizontal="left" vertical="center" wrapText="1" indent="1"/>
    </xf>
    <xf numFmtId="0" fontId="41" fillId="25" borderId="12" xfId="0" applyFont="1" applyFill="1" applyBorder="1" applyAlignment="1">
      <alignment horizontal="center" vertical="center"/>
    </xf>
    <xf numFmtId="0" fontId="45" fillId="0" borderId="12" xfId="0" applyFont="1" applyBorder="1" applyAlignment="1">
      <alignment horizontal="center" vertical="center" wrapText="1"/>
    </xf>
    <xf numFmtId="0" fontId="39" fillId="0" borderId="12" xfId="0" applyFont="1" applyBorder="1" applyAlignment="1">
      <alignment horizontal="left" vertical="center" wrapText="1" indent="1"/>
    </xf>
    <xf numFmtId="0" fontId="40" fillId="0" borderId="12" xfId="0" applyFont="1" applyBorder="1" applyAlignment="1">
      <alignment horizontal="left" vertical="center" wrapText="1" indent="1"/>
    </xf>
    <xf numFmtId="0" fontId="2" fillId="2" borderId="0" xfId="0" applyFont="1" applyFill="1" applyAlignment="1">
      <alignment horizontal="center" vertical="center"/>
    </xf>
    <xf numFmtId="0" fontId="0" fillId="0" borderId="0" xfId="0" applyAlignment="1"/>
    <xf numFmtId="0" fontId="8" fillId="5" borderId="0" xfId="0" applyFont="1" applyFill="1" applyAlignment="1">
      <alignment horizontal="center" vertical="center" wrapText="1"/>
    </xf>
    <xf numFmtId="0" fontId="25" fillId="19" borderId="0" xfId="0" applyFont="1" applyFill="1" applyAlignment="1">
      <alignment horizontal="center" vertical="center"/>
    </xf>
    <xf numFmtId="167" fontId="1" fillId="9" borderId="1" xfId="0" applyNumberFormat="1" applyFont="1" applyFill="1" applyBorder="1" applyAlignment="1">
      <alignment horizontal="left" vertical="center" wrapText="1" indent="1"/>
    </xf>
    <xf numFmtId="0" fontId="0" fillId="0" borderId="3" xfId="0" applyBorder="1"/>
    <xf numFmtId="0" fontId="0" fillId="0" borderId="4" xfId="0" applyBorder="1"/>
    <xf numFmtId="0" fontId="1" fillId="4" borderId="1" xfId="0" applyFont="1" applyFill="1" applyBorder="1" applyAlignment="1">
      <alignment horizontal="left" vertical="center" wrapText="1" indent="1"/>
    </xf>
    <xf numFmtId="0" fontId="6" fillId="2" borderId="0" xfId="0" applyFont="1" applyFill="1" applyAlignment="1">
      <alignment horizontal="center" vertical="center"/>
    </xf>
    <xf numFmtId="169" fontId="1" fillId="9" borderId="1" xfId="0" applyNumberFormat="1" applyFont="1" applyFill="1" applyBorder="1" applyAlignment="1">
      <alignment horizontal="left" vertical="center" wrapText="1" indent="1"/>
    </xf>
    <xf numFmtId="0" fontId="34" fillId="17" borderId="15" xfId="0" applyFont="1" applyFill="1" applyBorder="1" applyAlignment="1">
      <alignment horizontal="left" vertical="center"/>
    </xf>
    <xf numFmtId="0" fontId="0" fillId="0" borderId="15" xfId="0" applyBorder="1"/>
    <xf numFmtId="0" fontId="48" fillId="20" borderId="0" xfId="0" applyFont="1" applyFill="1" applyAlignment="1">
      <alignment horizontal="center" vertical="center" wrapText="1"/>
    </xf>
    <xf numFmtId="168" fontId="1" fillId="9" borderId="1" xfId="0" applyNumberFormat="1" applyFont="1" applyFill="1" applyBorder="1" applyAlignment="1">
      <alignment horizontal="left" vertical="center" wrapText="1" indent="1"/>
    </xf>
    <xf numFmtId="0" fontId="1" fillId="9" borderId="1" xfId="0" applyFont="1" applyFill="1" applyBorder="1" applyAlignment="1">
      <alignment horizontal="left" vertical="center" wrapText="1" indent="1"/>
    </xf>
    <xf numFmtId="0" fontId="1" fillId="11" borderId="1" xfId="0" applyFont="1" applyFill="1" applyBorder="1" applyAlignment="1">
      <alignment horizontal="left" vertical="center" wrapText="1" indent="1"/>
    </xf>
    <xf numFmtId="0" fontId="2" fillId="20" borderId="0" xfId="0" applyFont="1" applyFill="1" applyAlignment="1">
      <alignment horizontal="right" vertical="center"/>
    </xf>
    <xf numFmtId="173" fontId="23" fillId="20" borderId="0" xfId="0" applyNumberFormat="1" applyFont="1" applyFill="1" applyAlignment="1">
      <alignment horizontal="left" vertical="center" shrinkToFit="1"/>
    </xf>
    <xf numFmtId="1" fontId="1" fillId="11" borderId="1" xfId="0" applyNumberFormat="1" applyFont="1" applyFill="1" applyBorder="1" applyAlignment="1">
      <alignment horizontal="left" vertical="center" wrapText="1" indent="1"/>
    </xf>
    <xf numFmtId="177" fontId="1" fillId="11" borderId="1" xfId="0" applyNumberFormat="1" applyFont="1" applyFill="1" applyBorder="1" applyAlignment="1">
      <alignment horizontal="left" vertical="center" wrapText="1" indent="1"/>
    </xf>
    <xf numFmtId="174" fontId="23" fillId="20" borderId="0" xfId="0" applyNumberFormat="1" applyFont="1" applyFill="1" applyAlignment="1">
      <alignment horizontal="left" vertical="center" shrinkToFit="1"/>
    </xf>
    <xf numFmtId="0" fontId="8" fillId="2" borderId="0" xfId="0" applyFont="1" applyFill="1" applyAlignment="1">
      <alignment horizontal="center" vertical="center" wrapText="1"/>
    </xf>
    <xf numFmtId="0" fontId="11" fillId="0" borderId="0" xfId="0" applyFont="1" applyAlignment="1"/>
    <xf numFmtId="0" fontId="27" fillId="21" borderId="0" xfId="0" applyFont="1" applyFill="1" applyAlignment="1">
      <alignment horizontal="center" vertical="center"/>
    </xf>
    <xf numFmtId="0" fontId="2" fillId="5" borderId="0" xfId="0" applyFont="1" applyFill="1" applyAlignment="1">
      <alignment horizontal="center" vertical="center"/>
    </xf>
    <xf numFmtId="0" fontId="12" fillId="0" borderId="0" xfId="0" applyFont="1" applyAlignment="1">
      <alignment horizontal="left" vertical="center" wrapText="1"/>
    </xf>
    <xf numFmtId="175" fontId="29" fillId="21" borderId="6" xfId="0" applyNumberFormat="1" applyFont="1" applyFill="1" applyBorder="1" applyAlignment="1">
      <alignment horizontal="center" vertical="center" shrinkToFit="1"/>
    </xf>
    <xf numFmtId="0" fontId="0" fillId="0" borderId="8" xfId="0" applyBorder="1"/>
    <xf numFmtId="0" fontId="0" fillId="0" borderId="7" xfId="0" applyBorder="1"/>
    <xf numFmtId="0" fontId="0" fillId="0" borderId="9" xfId="0" applyBorder="1"/>
    <xf numFmtId="0" fontId="0" fillId="0" borderId="10" xfId="0" applyBorder="1"/>
    <xf numFmtId="0" fontId="0" fillId="0" borderId="11" xfId="0" applyBorder="1"/>
    <xf numFmtId="0" fontId="30" fillId="21" borderId="0" xfId="0" applyFont="1" applyFill="1" applyAlignment="1">
      <alignment horizontal="right" vertical="center" wrapText="1"/>
    </xf>
    <xf numFmtId="2" fontId="33" fillId="23" borderId="15" xfId="0" applyNumberFormat="1" applyFont="1" applyFill="1" applyBorder="1" applyAlignment="1">
      <alignment horizontal="center" vertical="center" shrinkToFit="1"/>
    </xf>
    <xf numFmtId="0" fontId="0" fillId="0" borderId="13" xfId="0" applyBorder="1"/>
    <xf numFmtId="0" fontId="0" fillId="0" borderId="14" xfId="0" applyBorder="1"/>
    <xf numFmtId="0" fontId="13" fillId="0" borderId="0" xfId="0" applyFont="1" applyAlignment="1">
      <alignment horizontal="left" vertical="center" wrapText="1"/>
    </xf>
    <xf numFmtId="164" fontId="1" fillId="9" borderId="1" xfId="0" applyNumberFormat="1" applyFont="1" applyFill="1" applyBorder="1" applyAlignment="1">
      <alignment horizontal="left" vertical="center" wrapText="1" indent="1"/>
    </xf>
    <xf numFmtId="172" fontId="23" fillId="20" borderId="0" xfId="0" applyNumberFormat="1" applyFont="1" applyFill="1" applyAlignment="1">
      <alignment horizontal="left" vertical="center" shrinkToFit="1"/>
    </xf>
    <xf numFmtId="0" fontId="19" fillId="3" borderId="0" xfId="0" applyFont="1" applyFill="1" applyAlignment="1">
      <alignment horizontal="left" vertical="top" wrapText="1" indent="1"/>
    </xf>
    <xf numFmtId="0" fontId="4" fillId="4" borderId="0" xfId="0" applyFont="1" applyFill="1" applyAlignment="1">
      <alignment horizontal="left" vertical="top" wrapText="1" indent="1"/>
    </xf>
    <xf numFmtId="0" fontId="20" fillId="16" borderId="0" xfId="0" applyFont="1" applyFill="1" applyAlignment="1">
      <alignment horizontal="left" vertical="center" indent="1"/>
    </xf>
    <xf numFmtId="0" fontId="0" fillId="16" borderId="0" xfId="0" applyFill="1"/>
    <xf numFmtId="0" fontId="19" fillId="3" borderId="0" xfId="0" applyFont="1" applyFill="1" applyAlignment="1">
      <alignment horizontal="center" vertical="center" wrapText="1"/>
    </xf>
    <xf numFmtId="0" fontId="9" fillId="6" borderId="0" xfId="0" applyFont="1" applyFill="1" applyAlignment="1">
      <alignment horizontal="center" vertical="center" wrapText="1"/>
    </xf>
    <xf numFmtId="0" fontId="9" fillId="15" borderId="0" xfId="0" applyFont="1" applyFill="1" applyAlignment="1">
      <alignment horizontal="center" vertical="center" wrapText="1"/>
    </xf>
    <xf numFmtId="0" fontId="9" fillId="2" borderId="0" xfId="0" applyFont="1" applyFill="1" applyAlignment="1">
      <alignment horizontal="center" vertical="center" wrapText="1"/>
    </xf>
    <xf numFmtId="0" fontId="2" fillId="2" borderId="0" xfId="0" applyFont="1" applyFill="1" applyAlignment="1">
      <alignment horizontal="center" vertical="center" shrinkToFit="1"/>
    </xf>
    <xf numFmtId="0" fontId="10" fillId="9" borderId="1" xfId="0" applyFont="1" applyFill="1" applyBorder="1" applyAlignment="1">
      <alignment horizontal="left" vertical="center"/>
    </xf>
    <xf numFmtId="170" fontId="20" fillId="26" borderId="2" xfId="0" applyNumberFormat="1" applyFont="1" applyFill="1" applyBorder="1" applyAlignment="1">
      <alignment horizontal="center" vertical="center" wrapText="1"/>
    </xf>
    <xf numFmtId="0" fontId="1" fillId="4" borderId="1" xfId="0" applyFont="1" applyFill="1" applyBorder="1" applyAlignment="1">
      <alignment horizontal="left" vertical="center" shrinkToFit="1"/>
    </xf>
    <xf numFmtId="0" fontId="47" fillId="27" borderId="0" xfId="0" applyFont="1" applyFill="1" applyAlignment="1">
      <alignment horizontal="center" vertical="center" wrapText="1"/>
    </xf>
  </cellXfs>
  <cellStyles count="1">
    <cellStyle name="Normal" xfId="0" builtinId="0"/>
  </cellStyles>
  <dxfs count="6">
    <dxf>
      <font>
        <color rgb="FFFFFFFF"/>
      </font>
    </dxf>
    <dxf>
      <font>
        <color rgb="FFFFFFFF"/>
      </font>
    </dxf>
    <dxf>
      <font>
        <color rgb="FFFFFFFF"/>
      </font>
    </dxf>
    <dxf>
      <font>
        <color rgb="FFFFFFFF"/>
      </font>
    </dxf>
    <dxf>
      <font>
        <color rgb="FFFFFFFF"/>
      </font>
    </dxf>
    <dxf>
      <font>
        <color rgb="FFFFFFFF"/>
      </font>
    </dxf>
  </dxfs>
  <tableStyles count="0" defaultTableStyle="TableStyleMedium2" defaultPivotStyle="PivotStyleLight16"/>
  <colors>
    <indexedColors>
      <rgbColor rgb="FF000000"/>
      <rgbColor rgb="FFFFFFFF"/>
      <rgbColor rgb="FFC00000"/>
      <rgbColor rgb="FF00FF00"/>
      <rgbColor rgb="FF0000FF"/>
      <rgbColor rgb="FFF5F5F5"/>
      <rgbColor rgb="FFFF00FF"/>
      <rgbColor rgb="FF00FFFF"/>
      <rgbColor rgb="FF800000"/>
      <rgbColor rgb="FF008000"/>
      <rgbColor rgb="FF000080"/>
      <rgbColor rgb="FFA98C2A"/>
      <rgbColor rgb="FF7B1FA2"/>
      <rgbColor rgb="FF008080"/>
      <rgbColor rgb="FFB7B7B7"/>
      <rgbColor rgb="FF808080"/>
      <rgbColor rgb="FF93A9CE"/>
      <rgbColor rgb="FF9D3E3B"/>
      <rgbColor rgb="FFFFF8E1"/>
      <rgbColor rgb="FFE3F2FD"/>
      <rgbColor rgb="FF660066"/>
      <rgbColor rgb="FFD9D9D9"/>
      <rgbColor rgb="FF1976D2"/>
      <rgbColor rgb="FFBBDEFB"/>
      <rgbColor rgb="FF000080"/>
      <rgbColor rgb="FFFF00FF"/>
      <rgbColor rgb="FFF3E5F5"/>
      <rgbColor rgb="FF00FFFF"/>
      <rgbColor rgb="FF800080"/>
      <rgbColor rgb="FF800000"/>
      <rgbColor rgb="FF008080"/>
      <rgbColor rgb="FF0000FF"/>
      <rgbColor rgb="FF00CCFF"/>
      <rgbColor rgb="FFE8F5E9"/>
      <rgbColor rgb="FFF2F2F2"/>
      <rgbColor rgb="FFFFF2CC"/>
      <rgbColor rgb="FFA5D6A7"/>
      <rgbColor rgb="FFD4A5A4"/>
      <rgbColor rgb="FFB0B0B0"/>
      <rgbColor rgb="FFFFE082"/>
      <rgbColor rgb="FF4672A8"/>
      <rgbColor rgb="FF33CCCC"/>
      <rgbColor rgb="FF98B855"/>
      <rgbColor rgb="FFFFE0B2"/>
      <rgbColor rgb="FFFF9900"/>
      <rgbColor rgb="FFE65100"/>
      <rgbColor rgb="FF757575"/>
      <rgbColor rgb="FF8B8B8B"/>
      <rgbColor rgb="FF1F4E78"/>
      <rgbColor rgb="FF2E7D32"/>
      <rgbColor rgb="FF003300"/>
      <rgbColor rgb="FF333300"/>
      <rgbColor rgb="FF7F1D1D"/>
      <rgbColor rgb="FFBE4B48"/>
      <rgbColor rgb="FF305496"/>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sz="1300" b="0" strike="noStrike">
                <a:solidFill>
                  <a:srgbClr val="757575"/>
                </a:solidFill>
                <a:uFillTx/>
                <a:latin typeface="Arial"/>
                <a:ea typeface="Calibri"/>
              </a:rPr>
              <a:t>Velocity vs. Powder Charge</a:t>
            </a:r>
          </a:p>
        </c:rich>
      </c:tx>
      <c:overlay val="0"/>
      <c:spPr>
        <a:noFill/>
        <a:ln w="0">
          <a:noFill/>
          <a:prstDash val="solid"/>
        </a:ln>
      </c:spPr>
    </c:title>
    <c:autoTitleDeleted val="0"/>
    <c:plotArea>
      <c:layout/>
      <c:scatterChart>
        <c:scatterStyle val="lineMarker"/>
        <c:varyColors val="0"/>
        <c:ser>
          <c:idx val="0"/>
          <c:order val="0"/>
          <c:tx>
            <c:v>Avg Velocity</c:v>
          </c:tx>
          <c:spPr>
            <a:ln w="0">
              <a:solidFill>
                <a:srgbClr val="305496"/>
              </a:solidFill>
              <a:prstDash val="solid"/>
            </a:ln>
          </c:spPr>
          <c:marker>
            <c:symbol val="circle"/>
            <c:size val="7"/>
            <c:spPr>
              <a:solidFill>
                <a:srgbClr val="305496"/>
              </a:solidFill>
              <a:ln>
                <a:prstDash val="solid"/>
              </a:ln>
            </c:spPr>
          </c:marker>
          <c:dLbls>
            <c:spPr>
              <a:noFill/>
              <a:ln>
                <a:noFill/>
              </a:ln>
              <a:effectLst/>
            </c:spPr>
            <c:txPr>
              <a:bodyPr wrap="square"/>
              <a:lstStyle/>
              <a:p>
                <a:pPr>
                  <a:defRPr sz="1000" b="0" strike="noStrike">
                    <a:solidFill>
                      <a:srgbClr val="000000"/>
                    </a:solidFill>
                    <a:uFillTx/>
                    <a:latin typeface="Calibri"/>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Charts!$T$18:$T$25</c:f>
              <c:numCache>
                <c:formatCode>General</c:formatCode>
                <c:ptCount val="8"/>
                <c:pt idx="0">
                  <c:v>41.5</c:v>
                </c:pt>
                <c:pt idx="1">
                  <c:v>41.8</c:v>
                </c:pt>
                <c:pt idx="2">
                  <c:v>42.1</c:v>
                </c:pt>
                <c:pt idx="3">
                  <c:v>42.4</c:v>
                </c:pt>
                <c:pt idx="4">
                  <c:v>42.7</c:v>
                </c:pt>
                <c:pt idx="5">
                  <c:v>#N/A</c:v>
                </c:pt>
                <c:pt idx="6">
                  <c:v>#N/A</c:v>
                </c:pt>
                <c:pt idx="7">
                  <c:v>#N/A</c:v>
                </c:pt>
              </c:numCache>
            </c:numRef>
          </c:xVal>
          <c:yVal>
            <c:numRef>
              <c:f>Charts!$U$18:$U$25</c:f>
              <c:numCache>
                <c:formatCode>General</c:formatCode>
                <c:ptCount val="8"/>
                <c:pt idx="0">
                  <c:v>2715</c:v>
                </c:pt>
                <c:pt idx="1">
                  <c:v>2737</c:v>
                </c:pt>
                <c:pt idx="2">
                  <c:v>2760</c:v>
                </c:pt>
                <c:pt idx="3">
                  <c:v>2780</c:v>
                </c:pt>
                <c:pt idx="4">
                  <c:v>2803</c:v>
                </c:pt>
                <c:pt idx="5">
                  <c:v>#N/A</c:v>
                </c:pt>
                <c:pt idx="6">
                  <c:v>#N/A</c:v>
                </c:pt>
                <c:pt idx="7">
                  <c:v>#N/A</c:v>
                </c:pt>
              </c:numCache>
            </c:numRef>
          </c:yVal>
          <c:smooth val="0"/>
          <c:extLst>
            <c:ext xmlns:c16="http://schemas.microsoft.com/office/drawing/2014/chart" uri="{C3380CC4-5D6E-409C-BE32-E72D297353CC}">
              <c16:uniqueId val="{00000000-893D-E449-81C5-02366DBA7B46}"/>
            </c:ext>
          </c:extLst>
        </c:ser>
        <c:dLbls>
          <c:showLegendKey val="0"/>
          <c:showVal val="0"/>
          <c:showCatName val="0"/>
          <c:showSerName val="0"/>
          <c:showPercent val="0"/>
          <c:showBubbleSize val="0"/>
        </c:dLbls>
        <c:axId val="7170067"/>
        <c:axId val="69099073"/>
      </c:scatterChart>
      <c:valAx>
        <c:axId val="7170067"/>
        <c:scaling>
          <c:orientation val="minMax"/>
        </c:scaling>
        <c:delete val="0"/>
        <c:axPos val="b"/>
        <c:majorGridlines>
          <c:spPr>
            <a:ln w="6480">
              <a:solidFill>
                <a:srgbClr val="B7B7B7"/>
              </a:solidFill>
              <a:prstDash val="solid"/>
              <a:round/>
            </a:ln>
          </c:spPr>
        </c:majorGridlines>
        <c:title>
          <c:tx>
            <c:rich>
              <a:bodyPr rot="0"/>
              <a:lstStyle/>
              <a:p>
                <a:pPr>
                  <a:defRPr sz="1300" b="0" strike="noStrike">
                    <a:uFillTx/>
                    <a:latin typeface="Arial"/>
                  </a:defRPr>
                </a:pPr>
                <a:r>
                  <a:rPr sz="1300" b="0" strike="noStrike">
                    <a:solidFill>
                      <a:srgbClr val="000000"/>
                    </a:solidFill>
                    <a:uFillTx/>
                    <a:latin typeface="Arial"/>
                    <a:ea typeface="Calibri"/>
                  </a:rPr>
                  <a:t>Powder Charge (gr)</a:t>
                </a:r>
              </a:p>
            </c:rich>
          </c:tx>
          <c:overlay val="0"/>
          <c:spPr>
            <a:noFill/>
            <a:ln w="0">
              <a:noFill/>
              <a:prstDash val="solid"/>
            </a:ln>
          </c:spPr>
        </c:title>
        <c:numFmt formatCode="0.0" sourceLinked="0"/>
        <c:majorTickMark val="none"/>
        <c:minorTickMark val="none"/>
        <c:tickLblPos val="nextTo"/>
        <c:spPr>
          <a:ln w="6480">
            <a:solidFill>
              <a:srgbClr val="8B8B8B"/>
            </a:solidFill>
            <a:prstDash val="solid"/>
            <a:round/>
          </a:ln>
        </c:spPr>
        <c:txPr>
          <a:bodyPr/>
          <a:lstStyle/>
          <a:p>
            <a:pPr>
              <a:defRPr sz="1000" b="0" strike="noStrike">
                <a:solidFill>
                  <a:srgbClr val="000000"/>
                </a:solidFill>
                <a:uFillTx/>
                <a:latin typeface="Calibri"/>
                <a:ea typeface="Calibri"/>
              </a:defRPr>
            </a:pPr>
            <a:endParaRPr lang="en-US"/>
          </a:p>
        </c:txPr>
        <c:crossAx val="69099073"/>
        <c:crosses val="autoZero"/>
        <c:crossBetween val="midCat"/>
      </c:valAx>
      <c:valAx>
        <c:axId val="69099073"/>
        <c:scaling>
          <c:orientation val="minMax"/>
        </c:scaling>
        <c:delete val="0"/>
        <c:axPos val="l"/>
        <c:majorGridlines>
          <c:spPr>
            <a:ln w="6480">
              <a:solidFill>
                <a:srgbClr val="B7B7B7"/>
              </a:solidFill>
              <a:prstDash val="solid"/>
              <a:round/>
            </a:ln>
          </c:spPr>
        </c:majorGridlines>
        <c:title>
          <c:tx>
            <c:rich>
              <a:bodyPr rot="-5400000"/>
              <a:lstStyle/>
              <a:p>
                <a:pPr>
                  <a:defRPr sz="1300" b="0" strike="noStrike">
                    <a:uFillTx/>
                    <a:latin typeface="Arial"/>
                  </a:defRPr>
                </a:pPr>
                <a:r>
                  <a:rPr sz="1300" b="0" strike="noStrike">
                    <a:solidFill>
                      <a:srgbClr val="000000"/>
                    </a:solidFill>
                    <a:uFillTx/>
                    <a:latin typeface="Arial"/>
                    <a:ea typeface="Calibri"/>
                  </a:rPr>
                  <a:t>Average Velocity (fps)</a:t>
                </a:r>
              </a:p>
            </c:rich>
          </c:tx>
          <c:overlay val="0"/>
          <c:spPr>
            <a:noFill/>
            <a:ln w="0">
              <a:noFill/>
              <a:prstDash val="solid"/>
            </a:ln>
          </c:spPr>
        </c:title>
        <c:numFmt formatCode="0" sourceLinked="0"/>
        <c:majorTickMark val="none"/>
        <c:minorTickMark val="none"/>
        <c:tickLblPos val="nextTo"/>
        <c:spPr>
          <a:ln w="6480">
            <a:solidFill>
              <a:srgbClr val="8B8B8B"/>
            </a:solidFill>
            <a:prstDash val="solid"/>
            <a:round/>
          </a:ln>
        </c:spPr>
        <c:txPr>
          <a:bodyPr/>
          <a:lstStyle/>
          <a:p>
            <a:pPr>
              <a:defRPr sz="1000" b="0" strike="noStrike">
                <a:solidFill>
                  <a:srgbClr val="000000"/>
                </a:solidFill>
                <a:uFillTx/>
                <a:latin typeface="Calibri"/>
                <a:ea typeface="Calibri"/>
              </a:defRPr>
            </a:pPr>
            <a:endParaRPr lang="en-US"/>
          </a:p>
        </c:txPr>
        <c:crossAx val="7170067"/>
        <c:crosses val="autoZero"/>
        <c:crossBetween val="midCat"/>
      </c:valAx>
    </c:plotArea>
    <c:legend>
      <c:legendPos val="r"/>
      <c:overlay val="0"/>
      <c:spPr>
        <a:noFill/>
        <a:ln w="0">
          <a:noFill/>
          <a:prstDash val="solid"/>
        </a:ln>
      </c:spPr>
      <c:txPr>
        <a:bodyPr/>
        <a:lstStyle/>
        <a:p>
          <a:pPr>
            <a:defRPr sz="1000" b="0" strike="noStrike">
              <a:solidFill>
                <a:srgbClr val="000000"/>
              </a:solidFill>
              <a:uFillTx/>
              <a:latin typeface="Calibri"/>
              <a:ea typeface="Calibri"/>
            </a:defRPr>
          </a:pPr>
          <a:endParaRPr lang="en-US"/>
        </a:p>
      </c:txPr>
    </c:legend>
    <c:plotVisOnly val="0"/>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sz="1300" b="0" strike="noStrike">
                <a:solidFill>
                  <a:srgbClr val="757575"/>
                </a:solidFill>
                <a:uFillTx/>
                <a:latin typeface="Arial"/>
                <a:ea typeface="Calibri"/>
              </a:rPr>
              <a:t>ES and SD by Powder Charge</a:t>
            </a:r>
          </a:p>
        </c:rich>
      </c:tx>
      <c:overlay val="0"/>
      <c:spPr>
        <a:noFill/>
        <a:ln w="0">
          <a:noFill/>
          <a:prstDash val="solid"/>
        </a:ln>
      </c:spPr>
    </c:title>
    <c:autoTitleDeleted val="0"/>
    <c:plotArea>
      <c:layout/>
      <c:barChart>
        <c:barDir val="col"/>
        <c:grouping val="clustered"/>
        <c:varyColors val="0"/>
        <c:ser>
          <c:idx val="0"/>
          <c:order val="0"/>
          <c:tx>
            <c:v>ES</c:v>
          </c:tx>
          <c:spPr>
            <a:solidFill>
              <a:srgbClr val="4672A8"/>
            </a:solidFill>
            <a:ln w="12600">
              <a:solidFill>
                <a:srgbClr val="000000"/>
              </a:solidFill>
              <a:prstDash val="solid"/>
              <a:round/>
            </a:ln>
          </c:spPr>
          <c:invertIfNegative val="0"/>
          <c:dLbls>
            <c:spPr>
              <a:noFill/>
              <a:ln>
                <a:noFill/>
              </a:ln>
              <a:effectLst/>
            </c:spPr>
            <c:txPr>
              <a:bodyPr wrap="square"/>
              <a:lstStyle/>
              <a:p>
                <a:pPr>
                  <a:defRPr sz="1000" b="0" strike="noStrike">
                    <a:solidFill>
                      <a:srgbClr val="000000"/>
                    </a:solidFill>
                    <a:uFillTx/>
                    <a:latin typeface="Arial"/>
                    <a:ea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'Powder Charge Log'!$B$16:$B$25</c:f>
              <c:numCache>
                <c:formatCode>[=0]"";0.0</c:formatCode>
                <c:ptCount val="10"/>
                <c:pt idx="0">
                  <c:v>41.5</c:v>
                </c:pt>
                <c:pt idx="1">
                  <c:v>41.8</c:v>
                </c:pt>
                <c:pt idx="2">
                  <c:v>42.1</c:v>
                </c:pt>
                <c:pt idx="3">
                  <c:v>42.4</c:v>
                </c:pt>
                <c:pt idx="4">
                  <c:v>42.7</c:v>
                </c:pt>
                <c:pt idx="5">
                  <c:v>#N/A</c:v>
                </c:pt>
                <c:pt idx="6">
                  <c:v>#N/A</c:v>
                </c:pt>
                <c:pt idx="7">
                  <c:v>#N/A</c:v>
                </c:pt>
                <c:pt idx="8">
                  <c:v>#N/A</c:v>
                </c:pt>
                <c:pt idx="9">
                  <c:v>#N/A</c:v>
                </c:pt>
              </c:numCache>
            </c:numRef>
          </c:cat>
          <c:val>
            <c:numRef>
              <c:f>'Powder Charge Log'!$I$16:$I$25</c:f>
              <c:numCache>
                <c:formatCode>[=0]"";General</c:formatCode>
                <c:ptCount val="10"/>
                <c:pt idx="0">
                  <c:v>19</c:v>
                </c:pt>
                <c:pt idx="1">
                  <c:v>23</c:v>
                </c:pt>
                <c:pt idx="2">
                  <c:v>20</c:v>
                </c:pt>
                <c:pt idx="3">
                  <c:v>8</c:v>
                </c:pt>
                <c:pt idx="4">
                  <c:v>17</c:v>
                </c:pt>
                <c:pt idx="5">
                  <c:v>0</c:v>
                </c:pt>
                <c:pt idx="6">
                  <c:v>0</c:v>
                </c:pt>
                <c:pt idx="7">
                  <c:v>0</c:v>
                </c:pt>
                <c:pt idx="8">
                  <c:v>0</c:v>
                </c:pt>
                <c:pt idx="9">
                  <c:v>0</c:v>
                </c:pt>
              </c:numCache>
            </c:numRef>
          </c:val>
          <c:extLst>
            <c:ext xmlns:c16="http://schemas.microsoft.com/office/drawing/2014/chart" uri="{C3380CC4-5D6E-409C-BE32-E72D297353CC}">
              <c16:uniqueId val="{00000000-9693-4749-B81A-E74CF15B3297}"/>
            </c:ext>
          </c:extLst>
        </c:ser>
        <c:ser>
          <c:idx val="1"/>
          <c:order val="1"/>
          <c:tx>
            <c:v>SD</c:v>
          </c:tx>
          <c:spPr>
            <a:solidFill>
              <a:srgbClr val="93A9CE"/>
            </a:solidFill>
            <a:ln w="12600">
              <a:solidFill>
                <a:srgbClr val="000000"/>
              </a:solidFill>
              <a:prstDash val="solid"/>
              <a:round/>
            </a:ln>
          </c:spPr>
          <c:invertIfNegative val="0"/>
          <c:dLbls>
            <c:spPr>
              <a:noFill/>
              <a:ln>
                <a:noFill/>
              </a:ln>
              <a:effectLst/>
            </c:spPr>
            <c:txPr>
              <a:bodyPr wrap="square"/>
              <a:lstStyle/>
              <a:p>
                <a:pPr>
                  <a:defRPr sz="1000" b="0" strike="noStrike">
                    <a:solidFill>
                      <a:srgbClr val="000000"/>
                    </a:solidFill>
                    <a:uFillTx/>
                    <a:latin typeface="Arial"/>
                    <a:ea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'Powder Charge Log'!$B$16:$B$25</c:f>
              <c:numCache>
                <c:formatCode>[=0]"";0.0</c:formatCode>
                <c:ptCount val="10"/>
                <c:pt idx="0">
                  <c:v>41.5</c:v>
                </c:pt>
                <c:pt idx="1">
                  <c:v>41.8</c:v>
                </c:pt>
                <c:pt idx="2">
                  <c:v>42.1</c:v>
                </c:pt>
                <c:pt idx="3">
                  <c:v>42.4</c:v>
                </c:pt>
                <c:pt idx="4">
                  <c:v>42.7</c:v>
                </c:pt>
                <c:pt idx="5">
                  <c:v>#N/A</c:v>
                </c:pt>
                <c:pt idx="6">
                  <c:v>#N/A</c:v>
                </c:pt>
                <c:pt idx="7">
                  <c:v>#N/A</c:v>
                </c:pt>
                <c:pt idx="8">
                  <c:v>#N/A</c:v>
                </c:pt>
                <c:pt idx="9">
                  <c:v>#N/A</c:v>
                </c:pt>
              </c:numCache>
            </c:numRef>
          </c:cat>
          <c:val>
            <c:numRef>
              <c:f>'Powder Charge Log'!$J$16:$J$25</c:f>
              <c:numCache>
                <c:formatCode>[=0]"";General</c:formatCode>
                <c:ptCount val="10"/>
                <c:pt idx="0">
                  <c:v>6.7</c:v>
                </c:pt>
                <c:pt idx="1">
                  <c:v>7.8</c:v>
                </c:pt>
                <c:pt idx="2">
                  <c:v>6.4</c:v>
                </c:pt>
                <c:pt idx="3">
                  <c:v>2.5</c:v>
                </c:pt>
                <c:pt idx="4">
                  <c:v>5.6</c:v>
                </c:pt>
                <c:pt idx="5">
                  <c:v>#N/A</c:v>
                </c:pt>
                <c:pt idx="6">
                  <c:v>#N/A</c:v>
                </c:pt>
                <c:pt idx="7">
                  <c:v>#N/A</c:v>
                </c:pt>
                <c:pt idx="8">
                  <c:v>#N/A</c:v>
                </c:pt>
                <c:pt idx="9">
                  <c:v>#N/A</c:v>
                </c:pt>
              </c:numCache>
            </c:numRef>
          </c:val>
          <c:extLst>
            <c:ext xmlns:c16="http://schemas.microsoft.com/office/drawing/2014/chart" uri="{C3380CC4-5D6E-409C-BE32-E72D297353CC}">
              <c16:uniqueId val="{00000001-9693-4749-B81A-E74CF15B3297}"/>
            </c:ext>
          </c:extLst>
        </c:ser>
        <c:dLbls>
          <c:showLegendKey val="0"/>
          <c:showVal val="0"/>
          <c:showCatName val="0"/>
          <c:showSerName val="0"/>
          <c:showPercent val="0"/>
          <c:showBubbleSize val="0"/>
        </c:dLbls>
        <c:gapWidth val="150"/>
        <c:axId val="97721715"/>
        <c:axId val="96260851"/>
      </c:barChart>
      <c:catAx>
        <c:axId val="97721715"/>
        <c:scaling>
          <c:orientation val="minMax"/>
        </c:scaling>
        <c:delete val="0"/>
        <c:axPos val="b"/>
        <c:title>
          <c:tx>
            <c:rich>
              <a:bodyPr rot="0"/>
              <a:lstStyle/>
              <a:p>
                <a:pPr>
                  <a:defRPr sz="1300" b="0" strike="noStrike">
                    <a:uFillTx/>
                    <a:latin typeface="Arial"/>
                  </a:defRPr>
                </a:pPr>
                <a:r>
                  <a:rPr sz="1300" b="0" strike="noStrike">
                    <a:solidFill>
                      <a:srgbClr val="000000"/>
                    </a:solidFill>
                    <a:uFillTx/>
                    <a:latin typeface="Arial"/>
                    <a:ea typeface="Calibri"/>
                  </a:rPr>
                  <a:t>Powder Charge (gr)</a:t>
                </a:r>
              </a:p>
            </c:rich>
          </c:tx>
          <c:overlay val="0"/>
          <c:spPr>
            <a:noFill/>
            <a:ln w="0">
              <a:noFill/>
              <a:prstDash val="solid"/>
            </a:ln>
          </c:spPr>
        </c:title>
        <c:numFmt formatCode="0.0" sourceLinked="0"/>
        <c:majorTickMark val="none"/>
        <c:minorTickMark val="none"/>
        <c:tickLblPos val="nextTo"/>
        <c:spPr>
          <a:ln w="6480">
            <a:solidFill>
              <a:srgbClr val="8B8B8B"/>
            </a:solidFill>
            <a:prstDash val="solid"/>
            <a:round/>
          </a:ln>
        </c:spPr>
        <c:txPr>
          <a:bodyPr/>
          <a:lstStyle/>
          <a:p>
            <a:pPr>
              <a:defRPr sz="1000" b="0" strike="noStrike">
                <a:solidFill>
                  <a:srgbClr val="000000"/>
                </a:solidFill>
                <a:uFillTx/>
                <a:latin typeface="Calibri"/>
                <a:ea typeface="Calibri"/>
              </a:defRPr>
            </a:pPr>
            <a:endParaRPr lang="en-US"/>
          </a:p>
        </c:txPr>
        <c:crossAx val="96260851"/>
        <c:crosses val="autoZero"/>
        <c:auto val="1"/>
        <c:lblAlgn val="ctr"/>
        <c:lblOffset val="100"/>
        <c:noMultiLvlLbl val="0"/>
      </c:catAx>
      <c:valAx>
        <c:axId val="96260851"/>
        <c:scaling>
          <c:orientation val="minMax"/>
        </c:scaling>
        <c:delete val="0"/>
        <c:axPos val="l"/>
        <c:majorGridlines>
          <c:spPr>
            <a:ln w="6480">
              <a:solidFill>
                <a:srgbClr val="B7B7B7"/>
              </a:solidFill>
              <a:prstDash val="solid"/>
              <a:round/>
            </a:ln>
          </c:spPr>
        </c:majorGridlines>
        <c:title>
          <c:tx>
            <c:rich>
              <a:bodyPr rot="-5400000"/>
              <a:lstStyle/>
              <a:p>
                <a:pPr>
                  <a:defRPr sz="1300" b="0" strike="noStrike">
                    <a:uFillTx/>
                    <a:latin typeface="Arial"/>
                  </a:defRPr>
                </a:pPr>
                <a:r>
                  <a:rPr sz="1300" b="0" strike="noStrike">
                    <a:solidFill>
                      <a:srgbClr val="000000"/>
                    </a:solidFill>
                    <a:uFillTx/>
                    <a:latin typeface="Arial"/>
                    <a:ea typeface="Calibri"/>
                  </a:rPr>
                  <a:t>fps</a:t>
                </a:r>
              </a:p>
            </c:rich>
          </c:tx>
          <c:overlay val="0"/>
          <c:spPr>
            <a:noFill/>
            <a:ln w="0">
              <a:noFill/>
              <a:prstDash val="solid"/>
            </a:ln>
          </c:spPr>
        </c:title>
        <c:numFmt formatCode="0" sourceLinked="0"/>
        <c:majorTickMark val="none"/>
        <c:minorTickMark val="none"/>
        <c:tickLblPos val="nextTo"/>
        <c:spPr>
          <a:ln w="6480">
            <a:solidFill>
              <a:srgbClr val="8B8B8B"/>
            </a:solidFill>
            <a:prstDash val="solid"/>
            <a:round/>
          </a:ln>
        </c:spPr>
        <c:txPr>
          <a:bodyPr/>
          <a:lstStyle/>
          <a:p>
            <a:pPr>
              <a:defRPr sz="1000" b="0" strike="noStrike">
                <a:solidFill>
                  <a:srgbClr val="000000"/>
                </a:solidFill>
                <a:uFillTx/>
                <a:latin typeface="Calibri"/>
                <a:ea typeface="Calibri"/>
              </a:defRPr>
            </a:pPr>
            <a:endParaRPr lang="en-US"/>
          </a:p>
        </c:txPr>
        <c:crossAx val="97721715"/>
        <c:crosses val="autoZero"/>
        <c:crossBetween val="between"/>
      </c:valAx>
    </c:plotArea>
    <c:legend>
      <c:legendPos val="r"/>
      <c:overlay val="0"/>
      <c:spPr>
        <a:noFill/>
        <a:ln w="0">
          <a:noFill/>
          <a:prstDash val="solid"/>
        </a:ln>
      </c:spPr>
      <c:txPr>
        <a:bodyPr/>
        <a:lstStyle/>
        <a:p>
          <a:pPr>
            <a:defRPr sz="1000" b="0" strike="noStrike">
              <a:solidFill>
                <a:srgbClr val="000000"/>
              </a:solidFill>
              <a:uFillTx/>
              <a:latin typeface="Calibri"/>
              <a:ea typeface="Calibri"/>
            </a:defRPr>
          </a:pPr>
          <a:endParaRPr lang="en-US"/>
        </a:p>
      </c:txPr>
    </c:legend>
    <c:plotVisOnly val="0"/>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sz="1300" b="0" strike="noStrike">
                <a:solidFill>
                  <a:srgbClr val="757575"/>
                </a:solidFill>
                <a:uFillTx/>
                <a:latin typeface="Arial"/>
                <a:ea typeface="Calibri"/>
              </a:rPr>
              <a:t>Accuracy Node Finder — Velocity, SD, and Group Size</a:t>
            </a:r>
          </a:p>
        </c:rich>
      </c:tx>
      <c:overlay val="0"/>
      <c:spPr>
        <a:noFill/>
        <a:ln w="0">
          <a:noFill/>
          <a:prstDash val="solid"/>
        </a:ln>
      </c:spPr>
    </c:title>
    <c:autoTitleDeleted val="0"/>
    <c:plotArea>
      <c:layout/>
      <c:lineChart>
        <c:grouping val="standard"/>
        <c:varyColors val="0"/>
        <c:ser>
          <c:idx val="0"/>
          <c:order val="0"/>
          <c:tx>
            <c:v>Avg Vel</c:v>
          </c:tx>
          <c:spPr>
            <a:ln w="12600">
              <a:solidFill>
                <a:srgbClr val="1F4E78"/>
              </a:solidFill>
              <a:prstDash val="solid"/>
              <a:round/>
            </a:ln>
          </c:spPr>
          <c:marker>
            <c:symbol val="circle"/>
            <c:size val="8"/>
            <c:spPr>
              <a:solidFill>
                <a:srgbClr val="1F4E78"/>
              </a:solidFill>
              <a:ln>
                <a:prstDash val="solid"/>
              </a:ln>
            </c:spPr>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'Powder Charge Log'!$B$16:$B$25</c:f>
              <c:numCache>
                <c:formatCode>[=0]"";0.0</c:formatCode>
                <c:ptCount val="10"/>
                <c:pt idx="0">
                  <c:v>41.5</c:v>
                </c:pt>
                <c:pt idx="1">
                  <c:v>41.8</c:v>
                </c:pt>
                <c:pt idx="2">
                  <c:v>42.1</c:v>
                </c:pt>
                <c:pt idx="3">
                  <c:v>42.4</c:v>
                </c:pt>
                <c:pt idx="4">
                  <c:v>42.7</c:v>
                </c:pt>
                <c:pt idx="5">
                  <c:v>#N/A</c:v>
                </c:pt>
                <c:pt idx="6">
                  <c:v>#N/A</c:v>
                </c:pt>
                <c:pt idx="7">
                  <c:v>#N/A</c:v>
                </c:pt>
                <c:pt idx="8">
                  <c:v>#N/A</c:v>
                </c:pt>
                <c:pt idx="9">
                  <c:v>#N/A</c:v>
                </c:pt>
              </c:numCache>
            </c:numRef>
          </c:cat>
          <c:val>
            <c:numRef>
              <c:f>'Powder Charge Log'!$H$16:$H$25</c:f>
              <c:numCache>
                <c:formatCode>[=0]"";General</c:formatCode>
                <c:ptCount val="10"/>
                <c:pt idx="0">
                  <c:v>2715</c:v>
                </c:pt>
                <c:pt idx="1">
                  <c:v>2737</c:v>
                </c:pt>
                <c:pt idx="2">
                  <c:v>2760</c:v>
                </c:pt>
                <c:pt idx="3">
                  <c:v>2780</c:v>
                </c:pt>
                <c:pt idx="4">
                  <c:v>2803</c:v>
                </c:pt>
                <c:pt idx="5">
                  <c:v>#N/A</c:v>
                </c:pt>
                <c:pt idx="6">
                  <c:v>#N/A</c:v>
                </c:pt>
                <c:pt idx="7">
                  <c:v>#N/A</c:v>
                </c:pt>
                <c:pt idx="8">
                  <c:v>#N/A</c:v>
                </c:pt>
                <c:pt idx="9">
                  <c:v>#N/A</c:v>
                </c:pt>
              </c:numCache>
            </c:numRef>
          </c:val>
          <c:smooth val="0"/>
          <c:extLst>
            <c:ext xmlns:c16="http://schemas.microsoft.com/office/drawing/2014/chart" uri="{C3380CC4-5D6E-409C-BE32-E72D297353CC}">
              <c16:uniqueId val="{00000000-70C9-8645-A849-9AA53618CE49}"/>
            </c:ext>
          </c:extLst>
        </c:ser>
        <c:ser>
          <c:idx val="1"/>
          <c:order val="1"/>
          <c:tx>
            <c:v>Group (MOA)</c:v>
          </c:tx>
          <c:spPr>
            <a:ln w="12600">
              <a:solidFill>
                <a:srgbClr val="FFFFFF"/>
              </a:solidFill>
              <a:prstDash val="solid"/>
              <a:roun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'Powder Charge Log'!$B$16:$B$25</c:f>
              <c:numCache>
                <c:formatCode>[=0]"";0.0</c:formatCode>
                <c:ptCount val="10"/>
                <c:pt idx="0">
                  <c:v>41.5</c:v>
                </c:pt>
                <c:pt idx="1">
                  <c:v>41.8</c:v>
                </c:pt>
                <c:pt idx="2">
                  <c:v>42.1</c:v>
                </c:pt>
                <c:pt idx="3">
                  <c:v>42.4</c:v>
                </c:pt>
                <c:pt idx="4">
                  <c:v>42.7</c:v>
                </c:pt>
                <c:pt idx="5">
                  <c:v>#N/A</c:v>
                </c:pt>
                <c:pt idx="6">
                  <c:v>#N/A</c:v>
                </c:pt>
                <c:pt idx="7">
                  <c:v>#N/A</c:v>
                </c:pt>
                <c:pt idx="8">
                  <c:v>#N/A</c:v>
                </c:pt>
                <c:pt idx="9">
                  <c:v>#N/A</c:v>
                </c:pt>
              </c:numCache>
            </c:numRef>
          </c:cat>
          <c:val>
            <c:numRef>
              <c:f>'Powder Charge Log'!$K$16:$K$25</c:f>
              <c:numCache>
                <c:formatCode>[=0]"";General</c:formatCode>
                <c:ptCount val="10"/>
                <c:pt idx="0">
                  <c:v>0.62</c:v>
                </c:pt>
                <c:pt idx="1">
                  <c:v>0.81</c:v>
                </c:pt>
                <c:pt idx="2">
                  <c:v>0.45</c:v>
                </c:pt>
                <c:pt idx="3">
                  <c:v>0.38</c:v>
                </c:pt>
                <c:pt idx="4">
                  <c:v>0.57999999999999996</c:v>
                </c:pt>
                <c:pt idx="5">
                  <c:v>#N/A</c:v>
                </c:pt>
                <c:pt idx="6">
                  <c:v>#N/A</c:v>
                </c:pt>
                <c:pt idx="7">
                  <c:v>#N/A</c:v>
                </c:pt>
                <c:pt idx="8">
                  <c:v>#N/A</c:v>
                </c:pt>
                <c:pt idx="9">
                  <c:v>#N/A</c:v>
                </c:pt>
              </c:numCache>
            </c:numRef>
          </c:val>
          <c:smooth val="0"/>
          <c:extLst>
            <c:ext xmlns:c16="http://schemas.microsoft.com/office/drawing/2014/chart" uri="{C3380CC4-5D6E-409C-BE32-E72D297353CC}">
              <c16:uniqueId val="{00000001-70C9-8645-A849-9AA53618CE49}"/>
            </c:ext>
          </c:extLst>
        </c:ser>
        <c:ser>
          <c:idx val="2"/>
          <c:order val="2"/>
          <c:tx>
            <c:v>SD</c:v>
          </c:tx>
          <c:spPr>
            <a:ln w="12600">
              <a:solidFill>
                <a:srgbClr val="FFFFFF"/>
              </a:solidFill>
              <a:prstDash val="solid"/>
              <a:roun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'Powder Charge Log'!$B$16:$B$25</c:f>
              <c:numCache>
                <c:formatCode>[=0]"";0.0</c:formatCode>
                <c:ptCount val="10"/>
                <c:pt idx="0">
                  <c:v>41.5</c:v>
                </c:pt>
                <c:pt idx="1">
                  <c:v>41.8</c:v>
                </c:pt>
                <c:pt idx="2">
                  <c:v>42.1</c:v>
                </c:pt>
                <c:pt idx="3">
                  <c:v>42.4</c:v>
                </c:pt>
                <c:pt idx="4">
                  <c:v>42.7</c:v>
                </c:pt>
                <c:pt idx="5">
                  <c:v>#N/A</c:v>
                </c:pt>
                <c:pt idx="6">
                  <c:v>#N/A</c:v>
                </c:pt>
                <c:pt idx="7">
                  <c:v>#N/A</c:v>
                </c:pt>
                <c:pt idx="8">
                  <c:v>#N/A</c:v>
                </c:pt>
                <c:pt idx="9">
                  <c:v>#N/A</c:v>
                </c:pt>
              </c:numCache>
            </c:numRef>
          </c:cat>
          <c:val>
            <c:numRef>
              <c:f>'Powder Charge Log'!$J$16:$J$25</c:f>
              <c:numCache>
                <c:formatCode>[=0]"";General</c:formatCode>
                <c:ptCount val="10"/>
                <c:pt idx="0">
                  <c:v>6.7</c:v>
                </c:pt>
                <c:pt idx="1">
                  <c:v>7.8</c:v>
                </c:pt>
                <c:pt idx="2">
                  <c:v>6.4</c:v>
                </c:pt>
                <c:pt idx="3">
                  <c:v>2.5</c:v>
                </c:pt>
                <c:pt idx="4">
                  <c:v>5.6</c:v>
                </c:pt>
                <c:pt idx="5">
                  <c:v>#N/A</c:v>
                </c:pt>
                <c:pt idx="6">
                  <c:v>#N/A</c:v>
                </c:pt>
                <c:pt idx="7">
                  <c:v>#N/A</c:v>
                </c:pt>
                <c:pt idx="8">
                  <c:v>#N/A</c:v>
                </c:pt>
                <c:pt idx="9">
                  <c:v>#N/A</c:v>
                </c:pt>
              </c:numCache>
            </c:numRef>
          </c:val>
          <c:smooth val="0"/>
          <c:extLst>
            <c:ext xmlns:c16="http://schemas.microsoft.com/office/drawing/2014/chart" uri="{C3380CC4-5D6E-409C-BE32-E72D297353CC}">
              <c16:uniqueId val="{00000002-70C9-8645-A849-9AA53618CE49}"/>
            </c:ext>
          </c:extLst>
        </c:ser>
        <c:dLbls>
          <c:showLegendKey val="0"/>
          <c:showVal val="0"/>
          <c:showCatName val="0"/>
          <c:showSerName val="0"/>
          <c:showPercent val="0"/>
          <c:showBubbleSize val="0"/>
        </c:dLbls>
        <c:hiLowLines>
          <c:spPr>
            <a:ln w="0">
              <a:noFill/>
              <a:prstDash val="solid"/>
            </a:ln>
          </c:spPr>
        </c:hiLowLines>
        <c:marker val="1"/>
        <c:smooth val="0"/>
        <c:axId val="61755240"/>
        <c:axId val="44721967"/>
      </c:lineChart>
      <c:catAx>
        <c:axId val="61755240"/>
        <c:scaling>
          <c:orientation val="minMax"/>
        </c:scaling>
        <c:delete val="0"/>
        <c:axPos val="b"/>
        <c:title>
          <c:tx>
            <c:rich>
              <a:bodyPr rot="0"/>
              <a:lstStyle/>
              <a:p>
                <a:pPr>
                  <a:defRPr sz="1300" b="0" strike="noStrike">
                    <a:uFillTx/>
                    <a:latin typeface="Arial"/>
                  </a:defRPr>
                </a:pPr>
                <a:r>
                  <a:rPr sz="1300" b="0" strike="noStrike">
                    <a:solidFill>
                      <a:srgbClr val="000000"/>
                    </a:solidFill>
                    <a:uFillTx/>
                    <a:latin typeface="Arial"/>
                    <a:ea typeface="Calibri"/>
                  </a:rPr>
                  <a:t>Powder Charge (gr)</a:t>
                </a:r>
              </a:p>
            </c:rich>
          </c:tx>
          <c:overlay val="0"/>
          <c:spPr>
            <a:noFill/>
            <a:ln w="0">
              <a:noFill/>
              <a:prstDash val="solid"/>
            </a:ln>
          </c:spPr>
        </c:title>
        <c:numFmt formatCode="0.0" sourceLinked="0"/>
        <c:majorTickMark val="none"/>
        <c:minorTickMark val="none"/>
        <c:tickLblPos val="nextTo"/>
        <c:spPr>
          <a:ln w="6480">
            <a:solidFill>
              <a:srgbClr val="8B8B8B"/>
            </a:solidFill>
            <a:prstDash val="solid"/>
            <a:round/>
          </a:ln>
        </c:spPr>
        <c:txPr>
          <a:bodyPr/>
          <a:lstStyle/>
          <a:p>
            <a:pPr>
              <a:defRPr sz="1000" b="0" strike="noStrike">
                <a:solidFill>
                  <a:srgbClr val="000000"/>
                </a:solidFill>
                <a:uFillTx/>
                <a:latin typeface="Calibri"/>
                <a:ea typeface="Calibri"/>
              </a:defRPr>
            </a:pPr>
            <a:endParaRPr lang="en-US"/>
          </a:p>
        </c:txPr>
        <c:crossAx val="44721967"/>
        <c:crosses val="autoZero"/>
        <c:auto val="1"/>
        <c:lblAlgn val="ctr"/>
        <c:lblOffset val="100"/>
        <c:noMultiLvlLbl val="0"/>
      </c:catAx>
      <c:valAx>
        <c:axId val="44721967"/>
        <c:scaling>
          <c:orientation val="minMax"/>
        </c:scaling>
        <c:delete val="0"/>
        <c:axPos val="l"/>
        <c:majorGridlines>
          <c:spPr>
            <a:ln w="6480">
              <a:solidFill>
                <a:srgbClr val="B7B7B7"/>
              </a:solidFill>
              <a:prstDash val="solid"/>
              <a:round/>
            </a:ln>
          </c:spPr>
        </c:majorGridlines>
        <c:title>
          <c:tx>
            <c:rich>
              <a:bodyPr rot="-5400000"/>
              <a:lstStyle/>
              <a:p>
                <a:pPr>
                  <a:defRPr sz="1300" b="0" strike="noStrike">
                    <a:uFillTx/>
                    <a:latin typeface="Arial"/>
                  </a:defRPr>
                </a:pPr>
                <a:r>
                  <a:rPr sz="1300" b="0" strike="noStrike">
                    <a:solidFill>
                      <a:srgbClr val="000000"/>
                    </a:solidFill>
                    <a:uFillTx/>
                    <a:latin typeface="Arial"/>
                    <a:ea typeface="Calibri"/>
                  </a:rPr>
                  <a:t>Velocity (fps)</a:t>
                </a:r>
              </a:p>
            </c:rich>
          </c:tx>
          <c:overlay val="0"/>
          <c:spPr>
            <a:noFill/>
            <a:ln w="0">
              <a:noFill/>
              <a:prstDash val="solid"/>
            </a:ln>
          </c:spPr>
        </c:title>
        <c:numFmt formatCode="0" sourceLinked="0"/>
        <c:majorTickMark val="none"/>
        <c:minorTickMark val="none"/>
        <c:tickLblPos val="nextTo"/>
        <c:spPr>
          <a:ln w="6480">
            <a:solidFill>
              <a:srgbClr val="8B8B8B"/>
            </a:solidFill>
            <a:prstDash val="solid"/>
            <a:round/>
          </a:ln>
        </c:spPr>
        <c:txPr>
          <a:bodyPr/>
          <a:lstStyle/>
          <a:p>
            <a:pPr>
              <a:defRPr sz="1000" b="0" strike="noStrike">
                <a:solidFill>
                  <a:srgbClr val="000000"/>
                </a:solidFill>
                <a:uFillTx/>
                <a:latin typeface="Calibri"/>
                <a:ea typeface="Calibri"/>
              </a:defRPr>
            </a:pPr>
            <a:endParaRPr lang="en-US"/>
          </a:p>
        </c:txPr>
        <c:crossAx val="61755240"/>
        <c:crosses val="autoZero"/>
        <c:crossBetween val="between"/>
      </c:valAx>
    </c:plotArea>
    <c:legend>
      <c:legendPos val="r"/>
      <c:overlay val="0"/>
      <c:spPr>
        <a:noFill/>
        <a:ln w="0">
          <a:noFill/>
          <a:prstDash val="solid"/>
        </a:ln>
      </c:spPr>
      <c:txPr>
        <a:bodyPr/>
        <a:lstStyle/>
        <a:p>
          <a:pPr>
            <a:defRPr sz="1000" b="0" strike="noStrike">
              <a:solidFill>
                <a:srgbClr val="000000"/>
              </a:solidFill>
              <a:uFillTx/>
              <a:latin typeface="Calibri"/>
              <a:ea typeface="Calibri"/>
            </a:defRPr>
          </a:pPr>
          <a:endParaRPr lang="en-US"/>
        </a:p>
      </c:txPr>
    </c:legend>
    <c:plotVisOnly val="0"/>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sz="1300" b="0" strike="noStrike">
                <a:solidFill>
                  <a:srgbClr val="757575"/>
                </a:solidFill>
                <a:uFillTx/>
                <a:latin typeface="Arial"/>
                <a:ea typeface="Calibri"/>
              </a:rPr>
              <a:t>Velocity vs. Powder Charge</a:t>
            </a:r>
          </a:p>
        </c:rich>
      </c:tx>
      <c:overlay val="0"/>
      <c:spPr>
        <a:noFill/>
        <a:ln w="0">
          <a:noFill/>
          <a:prstDash val="solid"/>
        </a:ln>
      </c:spPr>
    </c:title>
    <c:autoTitleDeleted val="0"/>
    <c:plotArea>
      <c:layout/>
      <c:scatterChart>
        <c:scatterStyle val="lineMarker"/>
        <c:varyColors val="0"/>
        <c:ser>
          <c:idx val="0"/>
          <c:order val="0"/>
          <c:tx>
            <c:v>Avg Velocity</c:v>
          </c:tx>
          <c:spPr>
            <a:ln w="0">
              <a:solidFill>
                <a:srgbClr val="98B855"/>
              </a:solidFill>
              <a:prstDash val="solid"/>
            </a:ln>
          </c:spPr>
          <c:marker>
            <c:symbol val="circle"/>
            <c:size val="7"/>
            <c:spPr>
              <a:solidFill>
                <a:srgbClr val="98B855"/>
              </a:solidFill>
              <a:ln>
                <a:prstDash val="solid"/>
              </a:ln>
            </c:spPr>
          </c:marker>
          <c:dLbls>
            <c:spPr>
              <a:noFill/>
              <a:ln>
                <a:noFill/>
              </a:ln>
              <a:effectLst/>
            </c:spPr>
            <c:txPr>
              <a:bodyPr wrap="square"/>
              <a:lstStyle/>
              <a:p>
                <a:pPr>
                  <a:defRPr sz="1000" b="0" strike="noStrike">
                    <a:solidFill>
                      <a:srgbClr val="000000"/>
                    </a:solidFill>
                    <a:uFillTx/>
                    <a:latin typeface="Calibri"/>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Charts!$T$18:$T$25</c:f>
              <c:numCache>
                <c:formatCode>General</c:formatCode>
                <c:ptCount val="8"/>
                <c:pt idx="0">
                  <c:v>41.5</c:v>
                </c:pt>
                <c:pt idx="1">
                  <c:v>41.8</c:v>
                </c:pt>
                <c:pt idx="2">
                  <c:v>42.1</c:v>
                </c:pt>
                <c:pt idx="3">
                  <c:v>42.4</c:v>
                </c:pt>
                <c:pt idx="4">
                  <c:v>42.7</c:v>
                </c:pt>
                <c:pt idx="5">
                  <c:v>#N/A</c:v>
                </c:pt>
                <c:pt idx="6">
                  <c:v>#N/A</c:v>
                </c:pt>
                <c:pt idx="7">
                  <c:v>#N/A</c:v>
                </c:pt>
              </c:numCache>
            </c:numRef>
          </c:xVal>
          <c:yVal>
            <c:numRef>
              <c:f>Charts!$U$18:$U$25</c:f>
              <c:numCache>
                <c:formatCode>General</c:formatCode>
                <c:ptCount val="8"/>
                <c:pt idx="0">
                  <c:v>2715</c:v>
                </c:pt>
                <c:pt idx="1">
                  <c:v>2737</c:v>
                </c:pt>
                <c:pt idx="2">
                  <c:v>2760</c:v>
                </c:pt>
                <c:pt idx="3">
                  <c:v>2780</c:v>
                </c:pt>
                <c:pt idx="4">
                  <c:v>2803</c:v>
                </c:pt>
                <c:pt idx="5">
                  <c:v>#N/A</c:v>
                </c:pt>
                <c:pt idx="6">
                  <c:v>#N/A</c:v>
                </c:pt>
                <c:pt idx="7">
                  <c:v>#N/A</c:v>
                </c:pt>
              </c:numCache>
            </c:numRef>
          </c:yVal>
          <c:smooth val="0"/>
          <c:extLst>
            <c:ext xmlns:c16="http://schemas.microsoft.com/office/drawing/2014/chart" uri="{C3380CC4-5D6E-409C-BE32-E72D297353CC}">
              <c16:uniqueId val="{00000000-B86E-124D-9A1D-B62D9ADB2C05}"/>
            </c:ext>
          </c:extLst>
        </c:ser>
        <c:dLbls>
          <c:showLegendKey val="0"/>
          <c:showVal val="0"/>
          <c:showCatName val="0"/>
          <c:showSerName val="0"/>
          <c:showPercent val="0"/>
          <c:showBubbleSize val="0"/>
        </c:dLbls>
        <c:axId val="26706432"/>
        <c:axId val="5966923"/>
      </c:scatterChart>
      <c:valAx>
        <c:axId val="26706432"/>
        <c:scaling>
          <c:orientation val="minMax"/>
        </c:scaling>
        <c:delete val="0"/>
        <c:axPos val="b"/>
        <c:majorGridlines>
          <c:spPr>
            <a:ln w="6480">
              <a:solidFill>
                <a:srgbClr val="B7B7B7"/>
              </a:solidFill>
              <a:prstDash val="solid"/>
              <a:round/>
            </a:ln>
          </c:spPr>
        </c:majorGridlines>
        <c:title>
          <c:tx>
            <c:rich>
              <a:bodyPr rot="0"/>
              <a:lstStyle/>
              <a:p>
                <a:pPr>
                  <a:defRPr sz="1300" b="0" strike="noStrike">
                    <a:uFillTx/>
                    <a:latin typeface="Arial"/>
                  </a:defRPr>
                </a:pPr>
                <a:r>
                  <a:rPr sz="1300" b="0" strike="noStrike">
                    <a:solidFill>
                      <a:srgbClr val="000000"/>
                    </a:solidFill>
                    <a:uFillTx/>
                    <a:latin typeface="Arial"/>
                    <a:ea typeface="Calibri"/>
                  </a:rPr>
                  <a:t>Powder Charge (gr)</a:t>
                </a:r>
              </a:p>
            </c:rich>
          </c:tx>
          <c:overlay val="0"/>
          <c:spPr>
            <a:noFill/>
            <a:ln w="0">
              <a:noFill/>
              <a:prstDash val="solid"/>
            </a:ln>
          </c:spPr>
        </c:title>
        <c:numFmt formatCode="0.0" sourceLinked="0"/>
        <c:majorTickMark val="none"/>
        <c:minorTickMark val="none"/>
        <c:tickLblPos val="nextTo"/>
        <c:spPr>
          <a:ln w="6480">
            <a:solidFill>
              <a:srgbClr val="8B8B8B"/>
            </a:solidFill>
            <a:prstDash val="solid"/>
            <a:round/>
          </a:ln>
        </c:spPr>
        <c:txPr>
          <a:bodyPr/>
          <a:lstStyle/>
          <a:p>
            <a:pPr>
              <a:defRPr sz="1000" b="0" strike="noStrike">
                <a:solidFill>
                  <a:srgbClr val="000000"/>
                </a:solidFill>
                <a:uFillTx/>
                <a:latin typeface="Calibri"/>
                <a:ea typeface="Calibri"/>
              </a:defRPr>
            </a:pPr>
            <a:endParaRPr lang="en-US"/>
          </a:p>
        </c:txPr>
        <c:crossAx val="5966923"/>
        <c:crosses val="autoZero"/>
        <c:crossBetween val="midCat"/>
      </c:valAx>
      <c:valAx>
        <c:axId val="5966923"/>
        <c:scaling>
          <c:orientation val="minMax"/>
        </c:scaling>
        <c:delete val="0"/>
        <c:axPos val="l"/>
        <c:majorGridlines>
          <c:spPr>
            <a:ln w="6480">
              <a:solidFill>
                <a:srgbClr val="B7B7B7"/>
              </a:solidFill>
              <a:prstDash val="solid"/>
              <a:round/>
            </a:ln>
          </c:spPr>
        </c:majorGridlines>
        <c:title>
          <c:tx>
            <c:rich>
              <a:bodyPr rot="-5400000"/>
              <a:lstStyle/>
              <a:p>
                <a:pPr>
                  <a:defRPr sz="1300" b="0" strike="noStrike">
                    <a:uFillTx/>
                    <a:latin typeface="Arial"/>
                  </a:defRPr>
                </a:pPr>
                <a:r>
                  <a:rPr sz="1300" b="0" strike="noStrike">
                    <a:solidFill>
                      <a:srgbClr val="000000"/>
                    </a:solidFill>
                    <a:uFillTx/>
                    <a:latin typeface="Arial"/>
                    <a:ea typeface="Calibri"/>
                  </a:rPr>
                  <a:t>Average Velocity (fps)</a:t>
                </a:r>
              </a:p>
            </c:rich>
          </c:tx>
          <c:overlay val="0"/>
          <c:spPr>
            <a:noFill/>
            <a:ln w="0">
              <a:noFill/>
              <a:prstDash val="solid"/>
            </a:ln>
          </c:spPr>
        </c:title>
        <c:numFmt formatCode="0" sourceLinked="0"/>
        <c:majorTickMark val="none"/>
        <c:minorTickMark val="none"/>
        <c:tickLblPos val="nextTo"/>
        <c:spPr>
          <a:ln w="6480">
            <a:solidFill>
              <a:srgbClr val="8B8B8B"/>
            </a:solidFill>
            <a:prstDash val="solid"/>
            <a:round/>
          </a:ln>
        </c:spPr>
        <c:txPr>
          <a:bodyPr/>
          <a:lstStyle/>
          <a:p>
            <a:pPr>
              <a:defRPr sz="1000" b="0" strike="noStrike">
                <a:solidFill>
                  <a:srgbClr val="000000"/>
                </a:solidFill>
                <a:uFillTx/>
                <a:latin typeface="Calibri"/>
                <a:ea typeface="Calibri"/>
              </a:defRPr>
            </a:pPr>
            <a:endParaRPr lang="en-US"/>
          </a:p>
        </c:txPr>
        <c:crossAx val="26706432"/>
        <c:crosses val="autoZero"/>
        <c:crossBetween val="midCat"/>
      </c:valAx>
    </c:plotArea>
    <c:legend>
      <c:legendPos val="r"/>
      <c:overlay val="0"/>
      <c:spPr>
        <a:noFill/>
        <a:ln w="0">
          <a:noFill/>
          <a:prstDash val="solid"/>
        </a:ln>
      </c:spPr>
      <c:txPr>
        <a:bodyPr/>
        <a:lstStyle/>
        <a:p>
          <a:pPr>
            <a:defRPr sz="1000" b="0" strike="noStrike">
              <a:solidFill>
                <a:srgbClr val="000000"/>
              </a:solidFill>
              <a:uFillTx/>
              <a:latin typeface="Calibri"/>
              <a:ea typeface="Calibri"/>
            </a:defRPr>
          </a:pPr>
          <a:endParaRPr lang="en-US"/>
        </a:p>
      </c:txPr>
    </c:legend>
    <c:plotVisOnly val="0"/>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sz="1300" b="0" strike="noStrike">
                <a:solidFill>
                  <a:srgbClr val="757575"/>
                </a:solidFill>
                <a:uFillTx/>
                <a:latin typeface="Arial"/>
                <a:ea typeface="Calibri"/>
              </a:rPr>
              <a:t>ES and SD by Powder Charge</a:t>
            </a:r>
          </a:p>
        </c:rich>
      </c:tx>
      <c:overlay val="0"/>
      <c:spPr>
        <a:noFill/>
        <a:ln w="0">
          <a:noFill/>
          <a:prstDash val="solid"/>
        </a:ln>
      </c:spPr>
    </c:title>
    <c:autoTitleDeleted val="0"/>
    <c:plotArea>
      <c:layout/>
      <c:barChart>
        <c:barDir val="col"/>
        <c:grouping val="clustered"/>
        <c:varyColors val="0"/>
        <c:ser>
          <c:idx val="0"/>
          <c:order val="0"/>
          <c:tx>
            <c:v>ES</c:v>
          </c:tx>
          <c:spPr>
            <a:solidFill>
              <a:srgbClr val="4672A8"/>
            </a:solidFill>
            <a:ln w="12600">
              <a:solidFill>
                <a:srgbClr val="000000"/>
              </a:solidFill>
              <a:prstDash val="solid"/>
              <a:round/>
            </a:ln>
          </c:spPr>
          <c:invertIfNegative val="0"/>
          <c:dLbls>
            <c:spPr>
              <a:noFill/>
              <a:ln>
                <a:noFill/>
              </a:ln>
              <a:effectLst/>
            </c:spPr>
            <c:txPr>
              <a:bodyPr wrap="square"/>
              <a:lstStyle/>
              <a:p>
                <a:pPr>
                  <a:defRPr sz="1000" b="0" strike="noStrike">
                    <a:solidFill>
                      <a:srgbClr val="000000"/>
                    </a:solidFill>
                    <a:uFillTx/>
                    <a:latin typeface="Arial"/>
                    <a:ea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'Powder Charge Log'!$B$16:$B$25</c:f>
              <c:numCache>
                <c:formatCode>[=0]"";0.0</c:formatCode>
                <c:ptCount val="10"/>
                <c:pt idx="0">
                  <c:v>41.5</c:v>
                </c:pt>
                <c:pt idx="1">
                  <c:v>41.8</c:v>
                </c:pt>
                <c:pt idx="2">
                  <c:v>42.1</c:v>
                </c:pt>
                <c:pt idx="3">
                  <c:v>42.4</c:v>
                </c:pt>
                <c:pt idx="4">
                  <c:v>42.7</c:v>
                </c:pt>
                <c:pt idx="5">
                  <c:v>#N/A</c:v>
                </c:pt>
                <c:pt idx="6">
                  <c:v>#N/A</c:v>
                </c:pt>
                <c:pt idx="7">
                  <c:v>#N/A</c:v>
                </c:pt>
                <c:pt idx="8">
                  <c:v>#N/A</c:v>
                </c:pt>
                <c:pt idx="9">
                  <c:v>#N/A</c:v>
                </c:pt>
              </c:numCache>
            </c:numRef>
          </c:cat>
          <c:val>
            <c:numRef>
              <c:f>'Powder Charge Log'!$I$16:$I$25</c:f>
              <c:numCache>
                <c:formatCode>[=0]"";General</c:formatCode>
                <c:ptCount val="10"/>
                <c:pt idx="0">
                  <c:v>19</c:v>
                </c:pt>
                <c:pt idx="1">
                  <c:v>23</c:v>
                </c:pt>
                <c:pt idx="2">
                  <c:v>20</c:v>
                </c:pt>
                <c:pt idx="3">
                  <c:v>8</c:v>
                </c:pt>
                <c:pt idx="4">
                  <c:v>17</c:v>
                </c:pt>
                <c:pt idx="5">
                  <c:v>0</c:v>
                </c:pt>
                <c:pt idx="6">
                  <c:v>0</c:v>
                </c:pt>
                <c:pt idx="7">
                  <c:v>0</c:v>
                </c:pt>
                <c:pt idx="8">
                  <c:v>0</c:v>
                </c:pt>
                <c:pt idx="9">
                  <c:v>0</c:v>
                </c:pt>
              </c:numCache>
            </c:numRef>
          </c:val>
          <c:extLst>
            <c:ext xmlns:c16="http://schemas.microsoft.com/office/drawing/2014/chart" uri="{C3380CC4-5D6E-409C-BE32-E72D297353CC}">
              <c16:uniqueId val="{00000000-F333-AE46-A215-94DF9B5C4165}"/>
            </c:ext>
          </c:extLst>
        </c:ser>
        <c:ser>
          <c:idx val="1"/>
          <c:order val="1"/>
          <c:tx>
            <c:v>SD</c:v>
          </c:tx>
          <c:spPr>
            <a:solidFill>
              <a:srgbClr val="93A9CE"/>
            </a:solidFill>
            <a:ln w="12600">
              <a:solidFill>
                <a:srgbClr val="000000"/>
              </a:solidFill>
              <a:prstDash val="solid"/>
              <a:round/>
            </a:ln>
          </c:spPr>
          <c:invertIfNegative val="0"/>
          <c:dLbls>
            <c:spPr>
              <a:noFill/>
              <a:ln>
                <a:noFill/>
              </a:ln>
              <a:effectLst/>
            </c:spPr>
            <c:txPr>
              <a:bodyPr wrap="square"/>
              <a:lstStyle/>
              <a:p>
                <a:pPr>
                  <a:defRPr sz="1000" b="0" strike="noStrike">
                    <a:solidFill>
                      <a:srgbClr val="000000"/>
                    </a:solidFill>
                    <a:uFillTx/>
                    <a:latin typeface="Arial"/>
                    <a:ea typeface="Calibri"/>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'Powder Charge Log'!$B$16:$B$25</c:f>
              <c:numCache>
                <c:formatCode>[=0]"";0.0</c:formatCode>
                <c:ptCount val="10"/>
                <c:pt idx="0">
                  <c:v>41.5</c:v>
                </c:pt>
                <c:pt idx="1">
                  <c:v>41.8</c:v>
                </c:pt>
                <c:pt idx="2">
                  <c:v>42.1</c:v>
                </c:pt>
                <c:pt idx="3">
                  <c:v>42.4</c:v>
                </c:pt>
                <c:pt idx="4">
                  <c:v>42.7</c:v>
                </c:pt>
                <c:pt idx="5">
                  <c:v>#N/A</c:v>
                </c:pt>
                <c:pt idx="6">
                  <c:v>#N/A</c:v>
                </c:pt>
                <c:pt idx="7">
                  <c:v>#N/A</c:v>
                </c:pt>
                <c:pt idx="8">
                  <c:v>#N/A</c:v>
                </c:pt>
                <c:pt idx="9">
                  <c:v>#N/A</c:v>
                </c:pt>
              </c:numCache>
            </c:numRef>
          </c:cat>
          <c:val>
            <c:numRef>
              <c:f>'Powder Charge Log'!$J$16:$J$25</c:f>
              <c:numCache>
                <c:formatCode>[=0]"";General</c:formatCode>
                <c:ptCount val="10"/>
                <c:pt idx="0">
                  <c:v>6.7</c:v>
                </c:pt>
                <c:pt idx="1">
                  <c:v>7.8</c:v>
                </c:pt>
                <c:pt idx="2">
                  <c:v>6.4</c:v>
                </c:pt>
                <c:pt idx="3">
                  <c:v>2.5</c:v>
                </c:pt>
                <c:pt idx="4">
                  <c:v>5.6</c:v>
                </c:pt>
                <c:pt idx="5">
                  <c:v>#N/A</c:v>
                </c:pt>
                <c:pt idx="6">
                  <c:v>#N/A</c:v>
                </c:pt>
                <c:pt idx="7">
                  <c:v>#N/A</c:v>
                </c:pt>
                <c:pt idx="8">
                  <c:v>#N/A</c:v>
                </c:pt>
                <c:pt idx="9">
                  <c:v>#N/A</c:v>
                </c:pt>
              </c:numCache>
            </c:numRef>
          </c:val>
          <c:extLst>
            <c:ext xmlns:c16="http://schemas.microsoft.com/office/drawing/2014/chart" uri="{C3380CC4-5D6E-409C-BE32-E72D297353CC}">
              <c16:uniqueId val="{00000001-F333-AE46-A215-94DF9B5C4165}"/>
            </c:ext>
          </c:extLst>
        </c:ser>
        <c:dLbls>
          <c:showLegendKey val="0"/>
          <c:showVal val="0"/>
          <c:showCatName val="0"/>
          <c:showSerName val="0"/>
          <c:showPercent val="0"/>
          <c:showBubbleSize val="0"/>
        </c:dLbls>
        <c:gapWidth val="150"/>
        <c:axId val="74671604"/>
        <c:axId val="67938676"/>
      </c:barChart>
      <c:catAx>
        <c:axId val="74671604"/>
        <c:scaling>
          <c:orientation val="minMax"/>
        </c:scaling>
        <c:delete val="0"/>
        <c:axPos val="b"/>
        <c:title>
          <c:tx>
            <c:rich>
              <a:bodyPr rot="0"/>
              <a:lstStyle/>
              <a:p>
                <a:pPr>
                  <a:defRPr sz="1300" b="0" strike="noStrike">
                    <a:uFillTx/>
                    <a:latin typeface="Arial"/>
                  </a:defRPr>
                </a:pPr>
                <a:r>
                  <a:rPr sz="1300" b="0" strike="noStrike">
                    <a:solidFill>
                      <a:srgbClr val="000000"/>
                    </a:solidFill>
                    <a:uFillTx/>
                    <a:latin typeface="Arial"/>
                    <a:ea typeface="Calibri"/>
                  </a:rPr>
                  <a:t>Powder Charge (gr)</a:t>
                </a:r>
              </a:p>
            </c:rich>
          </c:tx>
          <c:overlay val="0"/>
          <c:spPr>
            <a:noFill/>
            <a:ln w="0">
              <a:noFill/>
              <a:prstDash val="solid"/>
            </a:ln>
          </c:spPr>
        </c:title>
        <c:numFmt formatCode="0.0" sourceLinked="0"/>
        <c:majorTickMark val="none"/>
        <c:minorTickMark val="none"/>
        <c:tickLblPos val="nextTo"/>
        <c:spPr>
          <a:ln w="6480">
            <a:solidFill>
              <a:srgbClr val="8B8B8B"/>
            </a:solidFill>
            <a:prstDash val="solid"/>
            <a:round/>
          </a:ln>
        </c:spPr>
        <c:txPr>
          <a:bodyPr/>
          <a:lstStyle/>
          <a:p>
            <a:pPr>
              <a:defRPr sz="1000" b="0" strike="noStrike">
                <a:solidFill>
                  <a:srgbClr val="000000"/>
                </a:solidFill>
                <a:uFillTx/>
                <a:latin typeface="Calibri"/>
                <a:ea typeface="Calibri"/>
              </a:defRPr>
            </a:pPr>
            <a:endParaRPr lang="en-US"/>
          </a:p>
        </c:txPr>
        <c:crossAx val="67938676"/>
        <c:crosses val="autoZero"/>
        <c:auto val="1"/>
        <c:lblAlgn val="ctr"/>
        <c:lblOffset val="100"/>
        <c:noMultiLvlLbl val="0"/>
      </c:catAx>
      <c:valAx>
        <c:axId val="67938676"/>
        <c:scaling>
          <c:orientation val="minMax"/>
        </c:scaling>
        <c:delete val="0"/>
        <c:axPos val="l"/>
        <c:majorGridlines>
          <c:spPr>
            <a:ln w="6480">
              <a:solidFill>
                <a:srgbClr val="B7B7B7"/>
              </a:solidFill>
              <a:prstDash val="solid"/>
              <a:round/>
            </a:ln>
          </c:spPr>
        </c:majorGridlines>
        <c:title>
          <c:tx>
            <c:rich>
              <a:bodyPr rot="-5400000"/>
              <a:lstStyle/>
              <a:p>
                <a:pPr>
                  <a:defRPr sz="1300" b="0" strike="noStrike">
                    <a:uFillTx/>
                    <a:latin typeface="Arial"/>
                  </a:defRPr>
                </a:pPr>
                <a:r>
                  <a:rPr sz="1300" b="0" strike="noStrike">
                    <a:solidFill>
                      <a:srgbClr val="000000"/>
                    </a:solidFill>
                    <a:uFillTx/>
                    <a:latin typeface="Arial"/>
                    <a:ea typeface="Calibri"/>
                  </a:rPr>
                  <a:t>fps</a:t>
                </a:r>
              </a:p>
            </c:rich>
          </c:tx>
          <c:overlay val="0"/>
          <c:spPr>
            <a:noFill/>
            <a:ln w="0">
              <a:noFill/>
              <a:prstDash val="solid"/>
            </a:ln>
          </c:spPr>
        </c:title>
        <c:numFmt formatCode="0" sourceLinked="0"/>
        <c:majorTickMark val="none"/>
        <c:minorTickMark val="none"/>
        <c:tickLblPos val="nextTo"/>
        <c:spPr>
          <a:ln w="6480">
            <a:solidFill>
              <a:srgbClr val="8B8B8B"/>
            </a:solidFill>
            <a:prstDash val="solid"/>
            <a:round/>
          </a:ln>
        </c:spPr>
        <c:txPr>
          <a:bodyPr/>
          <a:lstStyle/>
          <a:p>
            <a:pPr>
              <a:defRPr sz="1000" b="0" strike="noStrike">
                <a:solidFill>
                  <a:srgbClr val="000000"/>
                </a:solidFill>
                <a:uFillTx/>
                <a:latin typeface="Calibri"/>
                <a:ea typeface="Calibri"/>
              </a:defRPr>
            </a:pPr>
            <a:endParaRPr lang="en-US"/>
          </a:p>
        </c:txPr>
        <c:crossAx val="74671604"/>
        <c:crosses val="autoZero"/>
        <c:crossBetween val="between"/>
      </c:valAx>
    </c:plotArea>
    <c:legend>
      <c:legendPos val="r"/>
      <c:overlay val="0"/>
      <c:spPr>
        <a:noFill/>
        <a:ln w="0">
          <a:noFill/>
          <a:prstDash val="solid"/>
        </a:ln>
      </c:spPr>
      <c:txPr>
        <a:bodyPr/>
        <a:lstStyle/>
        <a:p>
          <a:pPr>
            <a:defRPr sz="1000" b="0" strike="noStrike">
              <a:solidFill>
                <a:srgbClr val="000000"/>
              </a:solidFill>
              <a:uFillTx/>
              <a:latin typeface="Calibri"/>
              <a:ea typeface="Calibri"/>
            </a:defRPr>
          </a:pPr>
          <a:endParaRPr lang="en-US"/>
        </a:p>
      </c:txPr>
    </c:legend>
    <c:plotVisOnly val="0"/>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sz="1300" b="0" strike="noStrike">
                <a:solidFill>
                  <a:srgbClr val="757575"/>
                </a:solidFill>
                <a:uFillTx/>
                <a:latin typeface="Arial"/>
                <a:ea typeface="Calibri"/>
              </a:rPr>
              <a:t>Accuracy Node Finder — Velocity, SD, and Group Size</a:t>
            </a:r>
          </a:p>
        </c:rich>
      </c:tx>
      <c:overlay val="0"/>
      <c:spPr>
        <a:noFill/>
        <a:ln w="0">
          <a:noFill/>
          <a:prstDash val="solid"/>
        </a:ln>
      </c:spPr>
    </c:title>
    <c:autoTitleDeleted val="0"/>
    <c:plotArea>
      <c:layout/>
      <c:lineChart>
        <c:grouping val="standard"/>
        <c:varyColors val="0"/>
        <c:ser>
          <c:idx val="0"/>
          <c:order val="0"/>
          <c:tx>
            <c:v>Avg Vel</c:v>
          </c:tx>
          <c:spPr>
            <a:ln w="9360">
              <a:solidFill>
                <a:srgbClr val="9D3E3B"/>
              </a:solidFill>
              <a:prstDash val="solid"/>
              <a:round/>
            </a:ln>
          </c:spPr>
          <c:marker>
            <c:symbol val="circle"/>
            <c:size val="7"/>
            <c:spPr>
              <a:solidFill>
                <a:srgbClr val="9D3E3B"/>
              </a:solidFill>
              <a:ln>
                <a:prstDash val="solid"/>
              </a:ln>
            </c:spPr>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'Powder Charge Log'!$B$16:$B$25</c:f>
              <c:numCache>
                <c:formatCode>[=0]"";0.0</c:formatCode>
                <c:ptCount val="10"/>
                <c:pt idx="0">
                  <c:v>41.5</c:v>
                </c:pt>
                <c:pt idx="1">
                  <c:v>41.8</c:v>
                </c:pt>
                <c:pt idx="2">
                  <c:v>42.1</c:v>
                </c:pt>
                <c:pt idx="3">
                  <c:v>42.4</c:v>
                </c:pt>
                <c:pt idx="4">
                  <c:v>42.7</c:v>
                </c:pt>
                <c:pt idx="5">
                  <c:v>#N/A</c:v>
                </c:pt>
                <c:pt idx="6">
                  <c:v>#N/A</c:v>
                </c:pt>
                <c:pt idx="7">
                  <c:v>#N/A</c:v>
                </c:pt>
                <c:pt idx="8">
                  <c:v>#N/A</c:v>
                </c:pt>
                <c:pt idx="9">
                  <c:v>#N/A</c:v>
                </c:pt>
              </c:numCache>
            </c:numRef>
          </c:cat>
          <c:val>
            <c:numRef>
              <c:f>'Powder Charge Log'!$H$16:$H$25</c:f>
              <c:numCache>
                <c:formatCode>[=0]"";General</c:formatCode>
                <c:ptCount val="10"/>
                <c:pt idx="0">
                  <c:v>2715</c:v>
                </c:pt>
                <c:pt idx="1">
                  <c:v>2737</c:v>
                </c:pt>
                <c:pt idx="2">
                  <c:v>2760</c:v>
                </c:pt>
                <c:pt idx="3">
                  <c:v>2780</c:v>
                </c:pt>
                <c:pt idx="4">
                  <c:v>2803</c:v>
                </c:pt>
                <c:pt idx="5">
                  <c:v>#N/A</c:v>
                </c:pt>
                <c:pt idx="6">
                  <c:v>#N/A</c:v>
                </c:pt>
                <c:pt idx="7">
                  <c:v>#N/A</c:v>
                </c:pt>
                <c:pt idx="8">
                  <c:v>#N/A</c:v>
                </c:pt>
                <c:pt idx="9">
                  <c:v>#N/A</c:v>
                </c:pt>
              </c:numCache>
            </c:numRef>
          </c:val>
          <c:smooth val="0"/>
          <c:extLst>
            <c:ext xmlns:c16="http://schemas.microsoft.com/office/drawing/2014/chart" uri="{C3380CC4-5D6E-409C-BE32-E72D297353CC}">
              <c16:uniqueId val="{00000000-0C8F-1642-ABCE-20C873EEEEC1}"/>
            </c:ext>
          </c:extLst>
        </c:ser>
        <c:ser>
          <c:idx val="1"/>
          <c:order val="1"/>
          <c:tx>
            <c:v>Group (MOA)</c:v>
          </c:tx>
          <c:spPr>
            <a:ln w="9360">
              <a:solidFill>
                <a:srgbClr val="BE4B48"/>
              </a:solidFill>
              <a:prstDash val="solid"/>
              <a:roun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'Powder Charge Log'!$B$16:$B$25</c:f>
              <c:numCache>
                <c:formatCode>[=0]"";0.0</c:formatCode>
                <c:ptCount val="10"/>
                <c:pt idx="0">
                  <c:v>41.5</c:v>
                </c:pt>
                <c:pt idx="1">
                  <c:v>41.8</c:v>
                </c:pt>
                <c:pt idx="2">
                  <c:v>42.1</c:v>
                </c:pt>
                <c:pt idx="3">
                  <c:v>42.4</c:v>
                </c:pt>
                <c:pt idx="4">
                  <c:v>42.7</c:v>
                </c:pt>
                <c:pt idx="5">
                  <c:v>#N/A</c:v>
                </c:pt>
                <c:pt idx="6">
                  <c:v>#N/A</c:v>
                </c:pt>
                <c:pt idx="7">
                  <c:v>#N/A</c:v>
                </c:pt>
                <c:pt idx="8">
                  <c:v>#N/A</c:v>
                </c:pt>
                <c:pt idx="9">
                  <c:v>#N/A</c:v>
                </c:pt>
              </c:numCache>
            </c:numRef>
          </c:cat>
          <c:val>
            <c:numRef>
              <c:f>'Powder Charge Log'!$K$16:$K$25</c:f>
              <c:numCache>
                <c:formatCode>[=0]"";General</c:formatCode>
                <c:ptCount val="10"/>
                <c:pt idx="0">
                  <c:v>0.62</c:v>
                </c:pt>
                <c:pt idx="1">
                  <c:v>0.81</c:v>
                </c:pt>
                <c:pt idx="2">
                  <c:v>0.45</c:v>
                </c:pt>
                <c:pt idx="3">
                  <c:v>0.38</c:v>
                </c:pt>
                <c:pt idx="4">
                  <c:v>0.57999999999999996</c:v>
                </c:pt>
                <c:pt idx="5">
                  <c:v>#N/A</c:v>
                </c:pt>
                <c:pt idx="6">
                  <c:v>#N/A</c:v>
                </c:pt>
                <c:pt idx="7">
                  <c:v>#N/A</c:v>
                </c:pt>
                <c:pt idx="8">
                  <c:v>#N/A</c:v>
                </c:pt>
                <c:pt idx="9">
                  <c:v>#N/A</c:v>
                </c:pt>
              </c:numCache>
            </c:numRef>
          </c:val>
          <c:smooth val="0"/>
          <c:extLst>
            <c:ext xmlns:c16="http://schemas.microsoft.com/office/drawing/2014/chart" uri="{C3380CC4-5D6E-409C-BE32-E72D297353CC}">
              <c16:uniqueId val="{00000001-0C8F-1642-ABCE-20C873EEEEC1}"/>
            </c:ext>
          </c:extLst>
        </c:ser>
        <c:ser>
          <c:idx val="2"/>
          <c:order val="2"/>
          <c:tx>
            <c:v>SD</c:v>
          </c:tx>
          <c:spPr>
            <a:ln w="9360">
              <a:solidFill>
                <a:srgbClr val="D4A5A4"/>
              </a:solidFill>
              <a:prstDash val="solid"/>
              <a:round/>
            </a:ln>
          </c:spPr>
          <c:marker>
            <c:symbol val="none"/>
          </c:marker>
          <c:dLbls>
            <c:spPr>
              <a:noFill/>
              <a:ln>
                <a:noFill/>
              </a:ln>
              <a:effectLst/>
            </c:spPr>
            <c:txPr>
              <a:bodyPr wrap="square"/>
              <a:lstStyle/>
              <a:p>
                <a:pPr>
                  <a:defRPr sz="1000" b="0" strike="noStrike">
                    <a:solidFill>
                      <a:srgbClr val="000000"/>
                    </a:solidFill>
                    <a:uFillTx/>
                    <a:latin typeface="Arial"/>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'Powder Charge Log'!$B$16:$B$25</c:f>
              <c:numCache>
                <c:formatCode>[=0]"";0.0</c:formatCode>
                <c:ptCount val="10"/>
                <c:pt idx="0">
                  <c:v>41.5</c:v>
                </c:pt>
                <c:pt idx="1">
                  <c:v>41.8</c:v>
                </c:pt>
                <c:pt idx="2">
                  <c:v>42.1</c:v>
                </c:pt>
                <c:pt idx="3">
                  <c:v>42.4</c:v>
                </c:pt>
                <c:pt idx="4">
                  <c:v>42.7</c:v>
                </c:pt>
                <c:pt idx="5">
                  <c:v>#N/A</c:v>
                </c:pt>
                <c:pt idx="6">
                  <c:v>#N/A</c:v>
                </c:pt>
                <c:pt idx="7">
                  <c:v>#N/A</c:v>
                </c:pt>
                <c:pt idx="8">
                  <c:v>#N/A</c:v>
                </c:pt>
                <c:pt idx="9">
                  <c:v>#N/A</c:v>
                </c:pt>
              </c:numCache>
            </c:numRef>
          </c:cat>
          <c:val>
            <c:numRef>
              <c:f>'Powder Charge Log'!$J$16:$J$25</c:f>
              <c:numCache>
                <c:formatCode>[=0]"";General</c:formatCode>
                <c:ptCount val="10"/>
                <c:pt idx="0">
                  <c:v>6.7</c:v>
                </c:pt>
                <c:pt idx="1">
                  <c:v>7.8</c:v>
                </c:pt>
                <c:pt idx="2">
                  <c:v>6.4</c:v>
                </c:pt>
                <c:pt idx="3">
                  <c:v>2.5</c:v>
                </c:pt>
                <c:pt idx="4">
                  <c:v>5.6</c:v>
                </c:pt>
                <c:pt idx="5">
                  <c:v>#N/A</c:v>
                </c:pt>
                <c:pt idx="6">
                  <c:v>#N/A</c:v>
                </c:pt>
                <c:pt idx="7">
                  <c:v>#N/A</c:v>
                </c:pt>
                <c:pt idx="8">
                  <c:v>#N/A</c:v>
                </c:pt>
                <c:pt idx="9">
                  <c:v>#N/A</c:v>
                </c:pt>
              </c:numCache>
            </c:numRef>
          </c:val>
          <c:smooth val="0"/>
          <c:extLst>
            <c:ext xmlns:c16="http://schemas.microsoft.com/office/drawing/2014/chart" uri="{C3380CC4-5D6E-409C-BE32-E72D297353CC}">
              <c16:uniqueId val="{00000002-0C8F-1642-ABCE-20C873EEEEC1}"/>
            </c:ext>
          </c:extLst>
        </c:ser>
        <c:dLbls>
          <c:showLegendKey val="0"/>
          <c:showVal val="0"/>
          <c:showCatName val="0"/>
          <c:showSerName val="0"/>
          <c:showPercent val="0"/>
          <c:showBubbleSize val="0"/>
        </c:dLbls>
        <c:hiLowLines>
          <c:spPr>
            <a:ln w="0">
              <a:noFill/>
              <a:prstDash val="solid"/>
            </a:ln>
          </c:spPr>
        </c:hiLowLines>
        <c:marker val="1"/>
        <c:smooth val="0"/>
        <c:axId val="47015463"/>
        <c:axId val="70465987"/>
      </c:lineChart>
      <c:catAx>
        <c:axId val="47015463"/>
        <c:scaling>
          <c:orientation val="minMax"/>
        </c:scaling>
        <c:delete val="0"/>
        <c:axPos val="b"/>
        <c:title>
          <c:tx>
            <c:rich>
              <a:bodyPr rot="0"/>
              <a:lstStyle/>
              <a:p>
                <a:pPr>
                  <a:defRPr sz="1300" b="0" strike="noStrike">
                    <a:uFillTx/>
                    <a:latin typeface="Arial"/>
                  </a:defRPr>
                </a:pPr>
                <a:r>
                  <a:rPr sz="1300" b="0" strike="noStrike">
                    <a:solidFill>
                      <a:srgbClr val="000000"/>
                    </a:solidFill>
                    <a:uFillTx/>
                    <a:latin typeface="Arial"/>
                    <a:ea typeface="Calibri"/>
                  </a:rPr>
                  <a:t>Powder Charge (gr)</a:t>
                </a:r>
              </a:p>
            </c:rich>
          </c:tx>
          <c:overlay val="0"/>
          <c:spPr>
            <a:noFill/>
            <a:ln w="0">
              <a:noFill/>
              <a:prstDash val="solid"/>
            </a:ln>
          </c:spPr>
        </c:title>
        <c:numFmt formatCode="0.0" sourceLinked="0"/>
        <c:majorTickMark val="none"/>
        <c:minorTickMark val="none"/>
        <c:tickLblPos val="nextTo"/>
        <c:spPr>
          <a:ln w="6480">
            <a:solidFill>
              <a:srgbClr val="8B8B8B"/>
            </a:solidFill>
            <a:prstDash val="solid"/>
            <a:round/>
          </a:ln>
        </c:spPr>
        <c:txPr>
          <a:bodyPr/>
          <a:lstStyle/>
          <a:p>
            <a:pPr>
              <a:defRPr sz="1000" b="0" strike="noStrike">
                <a:solidFill>
                  <a:srgbClr val="000000"/>
                </a:solidFill>
                <a:uFillTx/>
                <a:latin typeface="Calibri"/>
                <a:ea typeface="Calibri"/>
              </a:defRPr>
            </a:pPr>
            <a:endParaRPr lang="en-US"/>
          </a:p>
        </c:txPr>
        <c:crossAx val="70465987"/>
        <c:crosses val="autoZero"/>
        <c:auto val="1"/>
        <c:lblAlgn val="ctr"/>
        <c:lblOffset val="100"/>
        <c:noMultiLvlLbl val="0"/>
      </c:catAx>
      <c:valAx>
        <c:axId val="70465987"/>
        <c:scaling>
          <c:orientation val="minMax"/>
        </c:scaling>
        <c:delete val="0"/>
        <c:axPos val="l"/>
        <c:majorGridlines>
          <c:spPr>
            <a:ln w="6480">
              <a:solidFill>
                <a:srgbClr val="B7B7B7"/>
              </a:solidFill>
              <a:prstDash val="solid"/>
              <a:round/>
            </a:ln>
          </c:spPr>
        </c:majorGridlines>
        <c:title>
          <c:tx>
            <c:rich>
              <a:bodyPr rot="-5400000"/>
              <a:lstStyle/>
              <a:p>
                <a:pPr>
                  <a:defRPr sz="1300" b="0" strike="noStrike">
                    <a:uFillTx/>
                    <a:latin typeface="Arial"/>
                  </a:defRPr>
                </a:pPr>
                <a:r>
                  <a:rPr sz="1300" b="0" strike="noStrike">
                    <a:solidFill>
                      <a:srgbClr val="000000"/>
                    </a:solidFill>
                    <a:uFillTx/>
                    <a:latin typeface="Arial"/>
                    <a:ea typeface="Calibri"/>
                  </a:rPr>
                  <a:t>Velocity (fps)</a:t>
                </a:r>
              </a:p>
            </c:rich>
          </c:tx>
          <c:overlay val="0"/>
          <c:spPr>
            <a:noFill/>
            <a:ln w="0">
              <a:noFill/>
              <a:prstDash val="solid"/>
            </a:ln>
          </c:spPr>
        </c:title>
        <c:numFmt formatCode="0" sourceLinked="0"/>
        <c:majorTickMark val="none"/>
        <c:minorTickMark val="none"/>
        <c:tickLblPos val="nextTo"/>
        <c:spPr>
          <a:ln w="6480">
            <a:solidFill>
              <a:srgbClr val="8B8B8B"/>
            </a:solidFill>
            <a:prstDash val="solid"/>
            <a:round/>
          </a:ln>
        </c:spPr>
        <c:txPr>
          <a:bodyPr/>
          <a:lstStyle/>
          <a:p>
            <a:pPr>
              <a:defRPr sz="1000" b="0" strike="noStrike">
                <a:solidFill>
                  <a:srgbClr val="000000"/>
                </a:solidFill>
                <a:uFillTx/>
                <a:latin typeface="Calibri"/>
                <a:ea typeface="Calibri"/>
              </a:defRPr>
            </a:pPr>
            <a:endParaRPr lang="en-US"/>
          </a:p>
        </c:txPr>
        <c:crossAx val="47015463"/>
        <c:crosses val="autoZero"/>
        <c:crossBetween val="between"/>
      </c:valAx>
    </c:plotArea>
    <c:legend>
      <c:legendPos val="r"/>
      <c:overlay val="0"/>
      <c:spPr>
        <a:noFill/>
        <a:ln w="0">
          <a:noFill/>
          <a:prstDash val="solid"/>
        </a:ln>
      </c:spPr>
      <c:txPr>
        <a:bodyPr/>
        <a:lstStyle/>
        <a:p>
          <a:pPr>
            <a:defRPr sz="1000" b="0" strike="noStrike">
              <a:solidFill>
                <a:srgbClr val="000000"/>
              </a:solidFill>
              <a:uFillTx/>
              <a:latin typeface="Calibri"/>
              <a:ea typeface="Calibri"/>
            </a:defRPr>
          </a:pPr>
          <a:endParaRPr lang="en-US"/>
        </a:p>
      </c:txPr>
    </c:legend>
    <c:plotVisOnly val="0"/>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sz="1300" b="0" strike="noStrike">
                <a:solidFill>
                  <a:srgbClr val="757575"/>
                </a:solidFill>
                <a:uFillTx/>
                <a:latin typeface="Arial"/>
                <a:ea typeface="Calibri"/>
              </a:rPr>
              <a:t>Group Size (in) vs. Jump</a:t>
            </a:r>
          </a:p>
        </c:rich>
      </c:tx>
      <c:overlay val="0"/>
      <c:spPr>
        <a:noFill/>
        <a:ln w="0">
          <a:noFill/>
          <a:prstDash val="solid"/>
        </a:ln>
      </c:spPr>
    </c:title>
    <c:autoTitleDeleted val="0"/>
    <c:plotArea>
      <c:layout/>
      <c:scatterChart>
        <c:scatterStyle val="lineMarker"/>
        <c:varyColors val="0"/>
        <c:ser>
          <c:idx val="0"/>
          <c:order val="0"/>
          <c:tx>
            <c:v>Group Size vs. Jump</c:v>
          </c:tx>
          <c:spPr>
            <a:ln w="0">
              <a:solidFill>
                <a:srgbClr val="C00000"/>
              </a:solidFill>
              <a:prstDash val="solid"/>
            </a:ln>
          </c:spPr>
          <c:marker>
            <c:symbol val="circle"/>
            <c:size val="7"/>
            <c:spPr>
              <a:solidFill>
                <a:srgbClr val="C00000"/>
              </a:solidFill>
              <a:ln>
                <a:prstDash val="solid"/>
              </a:ln>
            </c:spPr>
          </c:marker>
          <c:dLbls>
            <c:spPr>
              <a:noFill/>
              <a:ln>
                <a:noFill/>
              </a:ln>
              <a:effectLst/>
            </c:spPr>
            <c:txPr>
              <a:bodyPr wrap="square"/>
              <a:lstStyle/>
              <a:p>
                <a:pPr>
                  <a:defRPr sz="1000" b="0" strike="noStrike">
                    <a:solidFill>
                      <a:srgbClr val="000000"/>
                    </a:solidFill>
                    <a:uFillTx/>
                    <a:latin typeface="Calibri"/>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'Seating Depth Log'!$B$16:$B$25</c:f>
              <c:numCache>
                <c:formatCode>[=0]"";0.000</c:formatCode>
                <c:ptCount val="10"/>
                <c:pt idx="0">
                  <c:v>5.0000000000000001E-3</c:v>
                </c:pt>
                <c:pt idx="1">
                  <c:v>0.02</c:v>
                </c:pt>
                <c:pt idx="2">
                  <c:v>3.5000000000000003E-2</c:v>
                </c:pt>
                <c:pt idx="3">
                  <c:v>0.05</c:v>
                </c:pt>
                <c:pt idx="4">
                  <c:v>6.5000000000000002E-2</c:v>
                </c:pt>
                <c:pt idx="5">
                  <c:v>#N/A</c:v>
                </c:pt>
                <c:pt idx="6">
                  <c:v>#N/A</c:v>
                </c:pt>
                <c:pt idx="7">
                  <c:v>#N/A</c:v>
                </c:pt>
                <c:pt idx="8">
                  <c:v>#N/A</c:v>
                </c:pt>
                <c:pt idx="9">
                  <c:v>#N/A</c:v>
                </c:pt>
              </c:numCache>
            </c:numRef>
          </c:xVal>
          <c:yVal>
            <c:numRef>
              <c:f>'Seating Depth Log'!$L$16:$L$25</c:f>
              <c:numCache>
                <c:formatCode>[=0]"";General</c:formatCode>
                <c:ptCount val="10"/>
                <c:pt idx="0">
                  <c:v>0.55000000000000004</c:v>
                </c:pt>
                <c:pt idx="1">
                  <c:v>0.41</c:v>
                </c:pt>
                <c:pt idx="2">
                  <c:v>0.32</c:v>
                </c:pt>
                <c:pt idx="3">
                  <c:v>0.48</c:v>
                </c:pt>
                <c:pt idx="4">
                  <c:v>0.62</c:v>
                </c:pt>
                <c:pt idx="5">
                  <c:v>0</c:v>
                </c:pt>
                <c:pt idx="6">
                  <c:v>0</c:v>
                </c:pt>
                <c:pt idx="7">
                  <c:v>0</c:v>
                </c:pt>
                <c:pt idx="8">
                  <c:v>0</c:v>
                </c:pt>
                <c:pt idx="9">
                  <c:v>0</c:v>
                </c:pt>
              </c:numCache>
            </c:numRef>
          </c:yVal>
          <c:smooth val="0"/>
          <c:extLst>
            <c:ext xmlns:c16="http://schemas.microsoft.com/office/drawing/2014/chart" uri="{C3380CC4-5D6E-409C-BE32-E72D297353CC}">
              <c16:uniqueId val="{00000000-8980-984E-ABC9-E87E1E417311}"/>
            </c:ext>
          </c:extLst>
        </c:ser>
        <c:dLbls>
          <c:showLegendKey val="0"/>
          <c:showVal val="0"/>
          <c:showCatName val="0"/>
          <c:showSerName val="0"/>
          <c:showPercent val="0"/>
          <c:showBubbleSize val="0"/>
        </c:dLbls>
        <c:axId val="33525579"/>
        <c:axId val="148052"/>
      </c:scatterChart>
      <c:valAx>
        <c:axId val="33525579"/>
        <c:scaling>
          <c:orientation val="minMax"/>
        </c:scaling>
        <c:delete val="0"/>
        <c:axPos val="b"/>
        <c:majorGridlines>
          <c:spPr>
            <a:ln w="6480">
              <a:solidFill>
                <a:srgbClr val="B7B7B7"/>
              </a:solidFill>
              <a:prstDash val="solid"/>
              <a:round/>
            </a:ln>
          </c:spPr>
        </c:majorGridlines>
        <c:title>
          <c:tx>
            <c:rich>
              <a:bodyPr rot="0"/>
              <a:lstStyle/>
              <a:p>
                <a:pPr>
                  <a:defRPr sz="1300" b="0" strike="noStrike">
                    <a:uFillTx/>
                    <a:latin typeface="Arial"/>
                  </a:defRPr>
                </a:pPr>
                <a:r>
                  <a:rPr sz="1300" b="0" strike="noStrike">
                    <a:solidFill>
                      <a:srgbClr val="000000"/>
                    </a:solidFill>
                    <a:uFillTx/>
                    <a:latin typeface="Arial"/>
                    <a:ea typeface="Calibri"/>
                  </a:rPr>
                  <a:t>Jump (in, off the lands)</a:t>
                </a:r>
              </a:p>
            </c:rich>
          </c:tx>
          <c:overlay val="0"/>
          <c:spPr>
            <a:noFill/>
            <a:ln w="0">
              <a:noFill/>
              <a:prstDash val="solid"/>
            </a:ln>
          </c:spPr>
        </c:title>
        <c:numFmt formatCode="0.000" sourceLinked="0"/>
        <c:majorTickMark val="none"/>
        <c:minorTickMark val="none"/>
        <c:tickLblPos val="nextTo"/>
        <c:spPr>
          <a:ln w="6480">
            <a:solidFill>
              <a:srgbClr val="8B8B8B"/>
            </a:solidFill>
            <a:prstDash val="solid"/>
            <a:round/>
          </a:ln>
        </c:spPr>
        <c:txPr>
          <a:bodyPr/>
          <a:lstStyle/>
          <a:p>
            <a:pPr>
              <a:defRPr sz="1000" b="0" strike="noStrike">
                <a:solidFill>
                  <a:srgbClr val="000000"/>
                </a:solidFill>
                <a:uFillTx/>
                <a:latin typeface="Calibri"/>
                <a:ea typeface="Calibri"/>
              </a:defRPr>
            </a:pPr>
            <a:endParaRPr lang="en-US"/>
          </a:p>
        </c:txPr>
        <c:crossAx val="148052"/>
        <c:crosses val="autoZero"/>
        <c:crossBetween val="midCat"/>
      </c:valAx>
      <c:valAx>
        <c:axId val="148052"/>
        <c:scaling>
          <c:orientation val="minMax"/>
        </c:scaling>
        <c:delete val="0"/>
        <c:axPos val="l"/>
        <c:majorGridlines>
          <c:spPr>
            <a:ln w="6480">
              <a:solidFill>
                <a:srgbClr val="B7B7B7"/>
              </a:solidFill>
              <a:prstDash val="solid"/>
              <a:round/>
            </a:ln>
          </c:spPr>
        </c:majorGridlines>
        <c:title>
          <c:tx>
            <c:rich>
              <a:bodyPr rot="-5400000"/>
              <a:lstStyle/>
              <a:p>
                <a:pPr>
                  <a:defRPr sz="1300" b="0" strike="noStrike">
                    <a:uFillTx/>
                    <a:latin typeface="Arial"/>
                  </a:defRPr>
                </a:pPr>
                <a:r>
                  <a:rPr sz="1300" b="0" strike="noStrike">
                    <a:solidFill>
                      <a:srgbClr val="000000"/>
                    </a:solidFill>
                    <a:uFillTx/>
                    <a:latin typeface="Arial"/>
                    <a:ea typeface="Calibri"/>
                  </a:rPr>
                  <a:t>Group (in)</a:t>
                </a:r>
              </a:p>
            </c:rich>
          </c:tx>
          <c:overlay val="0"/>
          <c:spPr>
            <a:noFill/>
            <a:ln w="0">
              <a:noFill/>
              <a:prstDash val="solid"/>
            </a:ln>
          </c:spPr>
        </c:title>
        <c:numFmt formatCode="0.00" sourceLinked="0"/>
        <c:majorTickMark val="none"/>
        <c:minorTickMark val="none"/>
        <c:tickLblPos val="nextTo"/>
        <c:spPr>
          <a:ln w="6480">
            <a:solidFill>
              <a:srgbClr val="8B8B8B"/>
            </a:solidFill>
            <a:prstDash val="solid"/>
            <a:round/>
          </a:ln>
        </c:spPr>
        <c:txPr>
          <a:bodyPr/>
          <a:lstStyle/>
          <a:p>
            <a:pPr>
              <a:defRPr sz="1000" b="0" strike="noStrike">
                <a:solidFill>
                  <a:srgbClr val="000000"/>
                </a:solidFill>
                <a:uFillTx/>
                <a:latin typeface="Calibri"/>
                <a:ea typeface="Calibri"/>
              </a:defRPr>
            </a:pPr>
            <a:endParaRPr lang="en-US"/>
          </a:p>
        </c:txPr>
        <c:crossAx val="33525579"/>
        <c:crosses val="autoZero"/>
        <c:crossBetween val="midCat"/>
      </c:valAx>
    </c:plotArea>
    <c:plotVisOnly val="0"/>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sz="1300" b="0" strike="noStrike">
                <a:solidFill>
                  <a:srgbClr val="757575"/>
                </a:solidFill>
                <a:uFillTx/>
                <a:latin typeface="Arial"/>
                <a:ea typeface="Calibri"/>
              </a:rPr>
              <a:t>SD vs. Jump</a:t>
            </a:r>
          </a:p>
        </c:rich>
      </c:tx>
      <c:overlay val="0"/>
      <c:spPr>
        <a:noFill/>
        <a:ln w="0">
          <a:noFill/>
          <a:prstDash val="solid"/>
        </a:ln>
      </c:spPr>
    </c:title>
    <c:autoTitleDeleted val="0"/>
    <c:plotArea>
      <c:layout/>
      <c:scatterChart>
        <c:scatterStyle val="lineMarker"/>
        <c:varyColors val="0"/>
        <c:ser>
          <c:idx val="0"/>
          <c:order val="0"/>
          <c:tx>
            <c:v>SD vs. Jump</c:v>
          </c:tx>
          <c:spPr>
            <a:ln w="0">
              <a:solidFill>
                <a:srgbClr val="305496"/>
              </a:solidFill>
              <a:prstDash val="solid"/>
            </a:ln>
          </c:spPr>
          <c:marker>
            <c:symbol val="circle"/>
            <c:size val="7"/>
            <c:spPr>
              <a:solidFill>
                <a:srgbClr val="305496"/>
              </a:solidFill>
              <a:ln>
                <a:prstDash val="solid"/>
              </a:ln>
            </c:spPr>
          </c:marker>
          <c:dLbls>
            <c:spPr>
              <a:noFill/>
              <a:ln>
                <a:noFill/>
              </a:ln>
              <a:effectLst/>
            </c:spPr>
            <c:txPr>
              <a:bodyPr wrap="square"/>
              <a:lstStyle/>
              <a:p>
                <a:pPr>
                  <a:defRPr sz="1000" b="0" strike="noStrike">
                    <a:solidFill>
                      <a:srgbClr val="000000"/>
                    </a:solidFill>
                    <a:uFillTx/>
                    <a:latin typeface="Calibri"/>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'Seating Depth Log'!$B$16:$B$25</c:f>
              <c:numCache>
                <c:formatCode>[=0]"";0.000</c:formatCode>
                <c:ptCount val="10"/>
                <c:pt idx="0">
                  <c:v>5.0000000000000001E-3</c:v>
                </c:pt>
                <c:pt idx="1">
                  <c:v>0.02</c:v>
                </c:pt>
                <c:pt idx="2">
                  <c:v>3.5000000000000003E-2</c:v>
                </c:pt>
                <c:pt idx="3">
                  <c:v>0.05</c:v>
                </c:pt>
                <c:pt idx="4">
                  <c:v>6.5000000000000002E-2</c:v>
                </c:pt>
                <c:pt idx="5">
                  <c:v>#N/A</c:v>
                </c:pt>
                <c:pt idx="6">
                  <c:v>#N/A</c:v>
                </c:pt>
                <c:pt idx="7">
                  <c:v>#N/A</c:v>
                </c:pt>
                <c:pt idx="8">
                  <c:v>#N/A</c:v>
                </c:pt>
                <c:pt idx="9">
                  <c:v>#N/A</c:v>
                </c:pt>
              </c:numCache>
            </c:numRef>
          </c:xVal>
          <c:yVal>
            <c:numRef>
              <c:f>'Seating Depth Log'!$K$16:$K$25</c:f>
              <c:numCache>
                <c:formatCode>[=0]"";General</c:formatCode>
                <c:ptCount val="10"/>
                <c:pt idx="0">
                  <c:v>2.2000000000000002</c:v>
                </c:pt>
                <c:pt idx="1">
                  <c:v>2.4</c:v>
                </c:pt>
                <c:pt idx="2">
                  <c:v>0.8</c:v>
                </c:pt>
                <c:pt idx="3">
                  <c:v>3.4</c:v>
                </c:pt>
                <c:pt idx="4">
                  <c:v>5.0999999999999996</c:v>
                </c:pt>
                <c:pt idx="5">
                  <c:v>0</c:v>
                </c:pt>
                <c:pt idx="6">
                  <c:v>0</c:v>
                </c:pt>
                <c:pt idx="7">
                  <c:v>0</c:v>
                </c:pt>
                <c:pt idx="8">
                  <c:v>0</c:v>
                </c:pt>
                <c:pt idx="9">
                  <c:v>0</c:v>
                </c:pt>
              </c:numCache>
            </c:numRef>
          </c:yVal>
          <c:smooth val="0"/>
          <c:extLst>
            <c:ext xmlns:c16="http://schemas.microsoft.com/office/drawing/2014/chart" uri="{C3380CC4-5D6E-409C-BE32-E72D297353CC}">
              <c16:uniqueId val="{00000000-B865-3A42-8EFC-467F750E5454}"/>
            </c:ext>
          </c:extLst>
        </c:ser>
        <c:dLbls>
          <c:showLegendKey val="0"/>
          <c:showVal val="0"/>
          <c:showCatName val="0"/>
          <c:showSerName val="0"/>
          <c:showPercent val="0"/>
          <c:showBubbleSize val="0"/>
        </c:dLbls>
        <c:axId val="61859044"/>
        <c:axId val="61461940"/>
      </c:scatterChart>
      <c:valAx>
        <c:axId val="61859044"/>
        <c:scaling>
          <c:orientation val="minMax"/>
        </c:scaling>
        <c:delete val="0"/>
        <c:axPos val="b"/>
        <c:majorGridlines>
          <c:spPr>
            <a:ln w="6480">
              <a:solidFill>
                <a:srgbClr val="B7B7B7"/>
              </a:solidFill>
              <a:prstDash val="solid"/>
              <a:round/>
            </a:ln>
          </c:spPr>
        </c:majorGridlines>
        <c:title>
          <c:tx>
            <c:rich>
              <a:bodyPr rot="0"/>
              <a:lstStyle/>
              <a:p>
                <a:pPr>
                  <a:defRPr sz="1300" b="0" strike="noStrike">
                    <a:uFillTx/>
                    <a:latin typeface="Arial"/>
                  </a:defRPr>
                </a:pPr>
                <a:r>
                  <a:rPr sz="1300" b="0" strike="noStrike">
                    <a:solidFill>
                      <a:srgbClr val="000000"/>
                    </a:solidFill>
                    <a:uFillTx/>
                    <a:latin typeface="Arial"/>
                    <a:ea typeface="Calibri"/>
                  </a:rPr>
                  <a:t>Jump (in, off the lands)</a:t>
                </a:r>
              </a:p>
            </c:rich>
          </c:tx>
          <c:overlay val="0"/>
          <c:spPr>
            <a:noFill/>
            <a:ln w="0">
              <a:noFill/>
              <a:prstDash val="solid"/>
            </a:ln>
          </c:spPr>
        </c:title>
        <c:numFmt formatCode="0.000" sourceLinked="0"/>
        <c:majorTickMark val="none"/>
        <c:minorTickMark val="none"/>
        <c:tickLblPos val="nextTo"/>
        <c:spPr>
          <a:ln w="6480">
            <a:solidFill>
              <a:srgbClr val="8B8B8B"/>
            </a:solidFill>
            <a:prstDash val="solid"/>
            <a:round/>
          </a:ln>
        </c:spPr>
        <c:txPr>
          <a:bodyPr/>
          <a:lstStyle/>
          <a:p>
            <a:pPr>
              <a:defRPr sz="1000" b="0" strike="noStrike">
                <a:solidFill>
                  <a:srgbClr val="000000"/>
                </a:solidFill>
                <a:uFillTx/>
                <a:latin typeface="Calibri"/>
                <a:ea typeface="Calibri"/>
              </a:defRPr>
            </a:pPr>
            <a:endParaRPr lang="en-US"/>
          </a:p>
        </c:txPr>
        <c:crossAx val="61461940"/>
        <c:crosses val="autoZero"/>
        <c:crossBetween val="midCat"/>
      </c:valAx>
      <c:valAx>
        <c:axId val="61461940"/>
        <c:scaling>
          <c:orientation val="minMax"/>
        </c:scaling>
        <c:delete val="0"/>
        <c:axPos val="l"/>
        <c:majorGridlines>
          <c:spPr>
            <a:ln w="6480">
              <a:solidFill>
                <a:srgbClr val="B7B7B7"/>
              </a:solidFill>
              <a:prstDash val="solid"/>
              <a:round/>
            </a:ln>
          </c:spPr>
        </c:majorGridlines>
        <c:title>
          <c:tx>
            <c:rich>
              <a:bodyPr rot="-5400000"/>
              <a:lstStyle/>
              <a:p>
                <a:pPr>
                  <a:defRPr sz="1300" b="0" strike="noStrike">
                    <a:uFillTx/>
                    <a:latin typeface="Arial"/>
                  </a:defRPr>
                </a:pPr>
                <a:r>
                  <a:rPr sz="1300" b="0" strike="noStrike">
                    <a:solidFill>
                      <a:srgbClr val="000000"/>
                    </a:solidFill>
                    <a:uFillTx/>
                    <a:latin typeface="Arial"/>
                    <a:ea typeface="Calibri"/>
                  </a:rPr>
                  <a:t>SD (fps)</a:t>
                </a:r>
              </a:p>
            </c:rich>
          </c:tx>
          <c:overlay val="0"/>
          <c:spPr>
            <a:noFill/>
            <a:ln w="0">
              <a:noFill/>
              <a:prstDash val="solid"/>
            </a:ln>
          </c:spPr>
        </c:title>
        <c:numFmt formatCode="0.0" sourceLinked="0"/>
        <c:majorTickMark val="none"/>
        <c:minorTickMark val="none"/>
        <c:tickLblPos val="nextTo"/>
        <c:spPr>
          <a:ln w="6480">
            <a:solidFill>
              <a:srgbClr val="8B8B8B"/>
            </a:solidFill>
            <a:prstDash val="solid"/>
            <a:round/>
          </a:ln>
        </c:spPr>
        <c:txPr>
          <a:bodyPr/>
          <a:lstStyle/>
          <a:p>
            <a:pPr>
              <a:defRPr sz="1000" b="0" strike="noStrike">
                <a:solidFill>
                  <a:srgbClr val="000000"/>
                </a:solidFill>
                <a:uFillTx/>
                <a:latin typeface="Calibri"/>
                <a:ea typeface="Calibri"/>
              </a:defRPr>
            </a:pPr>
            <a:endParaRPr lang="en-US"/>
          </a:p>
        </c:txPr>
        <c:crossAx val="61859044"/>
        <c:crosses val="autoZero"/>
        <c:crossBetween val="midCat"/>
      </c:valAx>
    </c:plotArea>
    <c:plotVisOnly val="0"/>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sz="1300" b="0" strike="noStrike">
                <a:solidFill>
                  <a:srgbClr val="757575"/>
                </a:solidFill>
                <a:uFillTx/>
                <a:latin typeface="Arial"/>
                <a:ea typeface="Calibri"/>
              </a:rPr>
              <a:t>Avg Velocity vs. Jump (sanity check — should be flat)</a:t>
            </a:r>
          </a:p>
        </c:rich>
      </c:tx>
      <c:overlay val="0"/>
      <c:spPr>
        <a:noFill/>
        <a:ln w="0">
          <a:noFill/>
          <a:prstDash val="solid"/>
        </a:ln>
      </c:spPr>
    </c:title>
    <c:autoTitleDeleted val="0"/>
    <c:plotArea>
      <c:layout/>
      <c:scatterChart>
        <c:scatterStyle val="lineMarker"/>
        <c:varyColors val="0"/>
        <c:ser>
          <c:idx val="0"/>
          <c:order val="0"/>
          <c:tx>
            <c:v>Avg Velocity vs. Jump (sanity check — should be flat)</c:v>
          </c:tx>
          <c:spPr>
            <a:ln w="0">
              <a:solidFill>
                <a:srgbClr val="2E7D32"/>
              </a:solidFill>
              <a:prstDash val="solid"/>
            </a:ln>
          </c:spPr>
          <c:marker>
            <c:symbol val="circle"/>
            <c:size val="7"/>
            <c:spPr>
              <a:solidFill>
                <a:srgbClr val="2E7D32"/>
              </a:solidFill>
              <a:ln>
                <a:prstDash val="solid"/>
              </a:ln>
            </c:spPr>
          </c:marker>
          <c:dLbls>
            <c:spPr>
              <a:noFill/>
              <a:ln>
                <a:noFill/>
              </a:ln>
              <a:effectLst/>
            </c:spPr>
            <c:txPr>
              <a:bodyPr wrap="square"/>
              <a:lstStyle/>
              <a:p>
                <a:pPr>
                  <a:defRPr sz="1000" b="0" strike="noStrike">
                    <a:solidFill>
                      <a:srgbClr val="000000"/>
                    </a:solidFill>
                    <a:uFillTx/>
                    <a:latin typeface="Calibri"/>
                    <a:ea typeface="Calibri"/>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'Seating Depth Log'!$B$16:$B$25</c:f>
              <c:numCache>
                <c:formatCode>[=0]"";0.000</c:formatCode>
                <c:ptCount val="10"/>
                <c:pt idx="0">
                  <c:v>5.0000000000000001E-3</c:v>
                </c:pt>
                <c:pt idx="1">
                  <c:v>0.02</c:v>
                </c:pt>
                <c:pt idx="2">
                  <c:v>3.5000000000000003E-2</c:v>
                </c:pt>
                <c:pt idx="3">
                  <c:v>0.05</c:v>
                </c:pt>
                <c:pt idx="4">
                  <c:v>6.5000000000000002E-2</c:v>
                </c:pt>
                <c:pt idx="5">
                  <c:v>#N/A</c:v>
                </c:pt>
                <c:pt idx="6">
                  <c:v>#N/A</c:v>
                </c:pt>
                <c:pt idx="7">
                  <c:v>#N/A</c:v>
                </c:pt>
                <c:pt idx="8">
                  <c:v>#N/A</c:v>
                </c:pt>
                <c:pt idx="9">
                  <c:v>#N/A</c:v>
                </c:pt>
              </c:numCache>
            </c:numRef>
          </c:xVal>
          <c:yVal>
            <c:numRef>
              <c:f>'Seating Depth Log'!$I$16:$I$25</c:f>
              <c:numCache>
                <c:formatCode>[=0]"";General</c:formatCode>
                <c:ptCount val="10"/>
                <c:pt idx="0">
                  <c:v>2781</c:v>
                </c:pt>
                <c:pt idx="1">
                  <c:v>2780</c:v>
                </c:pt>
                <c:pt idx="2">
                  <c:v>2780.6</c:v>
                </c:pt>
                <c:pt idx="3">
                  <c:v>2780</c:v>
                </c:pt>
                <c:pt idx="4">
                  <c:v>2780</c:v>
                </c:pt>
                <c:pt idx="5">
                  <c:v>0</c:v>
                </c:pt>
                <c:pt idx="6">
                  <c:v>0</c:v>
                </c:pt>
                <c:pt idx="7">
                  <c:v>0</c:v>
                </c:pt>
                <c:pt idx="8">
                  <c:v>0</c:v>
                </c:pt>
                <c:pt idx="9">
                  <c:v>0</c:v>
                </c:pt>
              </c:numCache>
            </c:numRef>
          </c:yVal>
          <c:smooth val="0"/>
          <c:extLst>
            <c:ext xmlns:c16="http://schemas.microsoft.com/office/drawing/2014/chart" uri="{C3380CC4-5D6E-409C-BE32-E72D297353CC}">
              <c16:uniqueId val="{00000000-41F6-784B-AD95-5651E22C9EB4}"/>
            </c:ext>
          </c:extLst>
        </c:ser>
        <c:dLbls>
          <c:showLegendKey val="0"/>
          <c:showVal val="0"/>
          <c:showCatName val="0"/>
          <c:showSerName val="0"/>
          <c:showPercent val="0"/>
          <c:showBubbleSize val="0"/>
        </c:dLbls>
        <c:axId val="97085231"/>
        <c:axId val="39632189"/>
      </c:scatterChart>
      <c:valAx>
        <c:axId val="97085231"/>
        <c:scaling>
          <c:orientation val="minMax"/>
        </c:scaling>
        <c:delete val="0"/>
        <c:axPos val="b"/>
        <c:majorGridlines>
          <c:spPr>
            <a:ln w="6480">
              <a:solidFill>
                <a:srgbClr val="B7B7B7"/>
              </a:solidFill>
              <a:prstDash val="solid"/>
              <a:round/>
            </a:ln>
          </c:spPr>
        </c:majorGridlines>
        <c:title>
          <c:tx>
            <c:rich>
              <a:bodyPr rot="0"/>
              <a:lstStyle/>
              <a:p>
                <a:pPr>
                  <a:defRPr sz="1300" b="0" strike="noStrike">
                    <a:uFillTx/>
                    <a:latin typeface="Arial"/>
                  </a:defRPr>
                </a:pPr>
                <a:r>
                  <a:rPr sz="1300" b="0" strike="noStrike">
                    <a:solidFill>
                      <a:srgbClr val="000000"/>
                    </a:solidFill>
                    <a:uFillTx/>
                    <a:latin typeface="Arial"/>
                    <a:ea typeface="Calibri"/>
                  </a:rPr>
                  <a:t>Jump (in, off the lands)</a:t>
                </a:r>
              </a:p>
            </c:rich>
          </c:tx>
          <c:overlay val="0"/>
          <c:spPr>
            <a:noFill/>
            <a:ln w="0">
              <a:noFill/>
              <a:prstDash val="solid"/>
            </a:ln>
          </c:spPr>
        </c:title>
        <c:numFmt formatCode="0.000" sourceLinked="0"/>
        <c:majorTickMark val="none"/>
        <c:minorTickMark val="none"/>
        <c:tickLblPos val="nextTo"/>
        <c:spPr>
          <a:ln w="6480">
            <a:solidFill>
              <a:srgbClr val="8B8B8B"/>
            </a:solidFill>
            <a:prstDash val="solid"/>
            <a:round/>
          </a:ln>
        </c:spPr>
        <c:txPr>
          <a:bodyPr/>
          <a:lstStyle/>
          <a:p>
            <a:pPr>
              <a:defRPr sz="1000" b="0" strike="noStrike">
                <a:solidFill>
                  <a:srgbClr val="000000"/>
                </a:solidFill>
                <a:uFillTx/>
                <a:latin typeface="Calibri"/>
                <a:ea typeface="Calibri"/>
              </a:defRPr>
            </a:pPr>
            <a:endParaRPr lang="en-US"/>
          </a:p>
        </c:txPr>
        <c:crossAx val="39632189"/>
        <c:crosses val="autoZero"/>
        <c:crossBetween val="midCat"/>
      </c:valAx>
      <c:valAx>
        <c:axId val="39632189"/>
        <c:scaling>
          <c:orientation val="minMax"/>
        </c:scaling>
        <c:delete val="0"/>
        <c:axPos val="l"/>
        <c:majorGridlines>
          <c:spPr>
            <a:ln w="6480">
              <a:solidFill>
                <a:srgbClr val="B7B7B7"/>
              </a:solidFill>
              <a:prstDash val="solid"/>
              <a:round/>
            </a:ln>
          </c:spPr>
        </c:majorGridlines>
        <c:title>
          <c:tx>
            <c:rich>
              <a:bodyPr rot="-5400000"/>
              <a:lstStyle/>
              <a:p>
                <a:pPr>
                  <a:defRPr sz="1300" b="0" strike="noStrike">
                    <a:uFillTx/>
                    <a:latin typeface="Arial"/>
                  </a:defRPr>
                </a:pPr>
                <a:r>
                  <a:rPr sz="1300" b="0" strike="noStrike">
                    <a:solidFill>
                      <a:srgbClr val="000000"/>
                    </a:solidFill>
                    <a:uFillTx/>
                    <a:latin typeface="Arial"/>
                    <a:ea typeface="Calibri"/>
                  </a:rPr>
                  <a:t>Avg Velocity (fps)</a:t>
                </a:r>
              </a:p>
            </c:rich>
          </c:tx>
          <c:overlay val="0"/>
          <c:spPr>
            <a:noFill/>
            <a:ln w="0">
              <a:noFill/>
              <a:prstDash val="solid"/>
            </a:ln>
          </c:spPr>
        </c:title>
        <c:numFmt formatCode="0" sourceLinked="0"/>
        <c:majorTickMark val="none"/>
        <c:minorTickMark val="none"/>
        <c:tickLblPos val="nextTo"/>
        <c:spPr>
          <a:ln w="6480">
            <a:solidFill>
              <a:srgbClr val="8B8B8B"/>
            </a:solidFill>
            <a:prstDash val="solid"/>
            <a:round/>
          </a:ln>
        </c:spPr>
        <c:txPr>
          <a:bodyPr/>
          <a:lstStyle/>
          <a:p>
            <a:pPr>
              <a:defRPr sz="1000" b="0" strike="noStrike">
                <a:solidFill>
                  <a:srgbClr val="000000"/>
                </a:solidFill>
                <a:uFillTx/>
                <a:latin typeface="Calibri"/>
                <a:ea typeface="Calibri"/>
              </a:defRPr>
            </a:pPr>
            <a:endParaRPr lang="en-US"/>
          </a:p>
        </c:txPr>
        <c:crossAx val="97085231"/>
        <c:crosses val="autoZero"/>
        <c:crossBetween val="midCat"/>
      </c:valAx>
    </c:plotArea>
    <c:plotVisOnly val="0"/>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28</xdr:row>
      <xdr:rowOff>0</xdr:rowOff>
    </xdr:from>
    <xdr:to>
      <xdr:col>16</xdr:col>
      <xdr:colOff>0</xdr:colOff>
      <xdr:row>44</xdr:row>
      <xdr:rowOff>168840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50</xdr:row>
      <xdr:rowOff>0</xdr:rowOff>
    </xdr:from>
    <xdr:to>
      <xdr:col>16</xdr:col>
      <xdr:colOff>0</xdr:colOff>
      <xdr:row>66</xdr:row>
      <xdr:rowOff>168840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72</xdr:row>
      <xdr:rowOff>0</xdr:rowOff>
    </xdr:from>
    <xdr:to>
      <xdr:col>16</xdr:col>
      <xdr:colOff>0</xdr:colOff>
      <xdr:row>90</xdr:row>
      <xdr:rowOff>149400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31</xdr:row>
      <xdr:rowOff>0</xdr:rowOff>
    </xdr:from>
    <xdr:to>
      <xdr:col>16</xdr:col>
      <xdr:colOff>0</xdr:colOff>
      <xdr:row>49</xdr:row>
      <xdr:rowOff>149400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53</xdr:row>
      <xdr:rowOff>0</xdr:rowOff>
    </xdr:from>
    <xdr:to>
      <xdr:col>16</xdr:col>
      <xdr:colOff>0</xdr:colOff>
      <xdr:row>71</xdr:row>
      <xdr:rowOff>149760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75</xdr:row>
      <xdr:rowOff>0</xdr:rowOff>
    </xdr:from>
    <xdr:to>
      <xdr:col>16</xdr:col>
      <xdr:colOff>0</xdr:colOff>
      <xdr:row>95</xdr:row>
      <xdr:rowOff>130680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38</xdr:row>
      <xdr:rowOff>0</xdr:rowOff>
    </xdr:from>
    <xdr:to>
      <xdr:col>16</xdr:col>
      <xdr:colOff>0</xdr:colOff>
      <xdr:row>54</xdr:row>
      <xdr:rowOff>168840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60</xdr:row>
      <xdr:rowOff>0</xdr:rowOff>
    </xdr:from>
    <xdr:to>
      <xdr:col>16</xdr:col>
      <xdr:colOff>0</xdr:colOff>
      <xdr:row>76</xdr:row>
      <xdr:rowOff>168840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82</xdr:row>
      <xdr:rowOff>0</xdr:rowOff>
    </xdr:from>
    <xdr:to>
      <xdr:col>16</xdr:col>
      <xdr:colOff>0</xdr:colOff>
      <xdr:row>98</xdr:row>
      <xdr:rowOff>168840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upport@loadscope.app?subject=Loadscope%20support%20request"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loadscope.app/launch?action=print-workbook" TargetMode="External"/><Relationship Id="rId2" Type="http://schemas.openxmlformats.org/officeDocument/2006/relationships/hyperlink" Target="https://loadscope.app/launch?action=reset-weights" TargetMode="External"/><Relationship Id="rId1" Type="http://schemas.openxmlformats.org/officeDocument/2006/relationships/hyperlink" Target="https://loadscope.app/launch?action=save-to-library"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loadscope.app/launch?action=reset-weights" TargetMode="External"/><Relationship Id="rId1" Type="http://schemas.openxmlformats.org/officeDocument/2006/relationships/hyperlink" Target="https://loadscope.app/launch?action=save-to-library"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hyperlink" Target="https://loadscope.app/launch?action=print-workbook" TargetMode="External"/><Relationship Id="rId1" Type="http://schemas.openxmlformats.org/officeDocument/2006/relationships/hyperlink" Target="https://loadscope.app/launch?action=print-pocket-card" TargetMode="External"/><Relationship Id="rId4"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59"/>
  <sheetViews>
    <sheetView showGridLines="0" showRowColHeaders="0" tabSelected="1" workbookViewId="0"/>
  </sheetViews>
  <sheetFormatPr baseColWidth="10" defaultColWidth="8.83203125" defaultRowHeight="15"/>
  <cols>
    <col min="1" max="1" width="4" style="2" customWidth="1"/>
    <col min="2" max="8" width="14" style="2" customWidth="1"/>
    <col min="9" max="9" width="4" style="2" customWidth="1"/>
  </cols>
  <sheetData>
    <row r="1" spans="1:10">
      <c r="A1" s="45"/>
      <c r="B1" s="45"/>
      <c r="C1" s="45"/>
      <c r="D1" s="45"/>
      <c r="E1" s="45"/>
      <c r="F1" s="45"/>
      <c r="G1" s="45"/>
      <c r="H1" s="45"/>
      <c r="I1" s="45"/>
      <c r="J1" s="45"/>
    </row>
    <row r="2" spans="1:10" ht="42" customHeight="1">
      <c r="A2" s="45"/>
      <c r="B2" s="159" t="s">
        <v>0</v>
      </c>
      <c r="C2" s="154"/>
      <c r="D2" s="154"/>
      <c r="E2" s="154"/>
      <c r="F2" s="154"/>
      <c r="G2" s="154"/>
      <c r="H2" s="154"/>
      <c r="I2" s="45"/>
      <c r="J2" s="45"/>
    </row>
    <row r="3" spans="1:10" ht="24" customHeight="1">
      <c r="A3" s="45"/>
      <c r="B3" s="163" t="s">
        <v>1</v>
      </c>
      <c r="C3" s="154"/>
      <c r="D3" s="154"/>
      <c r="E3" s="154"/>
      <c r="F3" s="154"/>
      <c r="G3" s="154"/>
      <c r="H3" s="154"/>
      <c r="I3" s="45"/>
      <c r="J3" s="45"/>
    </row>
    <row r="4" spans="1:10">
      <c r="A4" s="45"/>
      <c r="B4" s="45"/>
      <c r="C4" s="45"/>
      <c r="D4" s="45"/>
      <c r="E4" s="45"/>
      <c r="F4" s="45"/>
      <c r="G4" s="45"/>
      <c r="H4" s="45"/>
      <c r="I4" s="45"/>
      <c r="J4" s="45"/>
    </row>
    <row r="5" spans="1:10" ht="28" customHeight="1">
      <c r="A5" s="45"/>
      <c r="B5" s="157" t="s">
        <v>2</v>
      </c>
      <c r="C5" s="158"/>
      <c r="D5" s="158"/>
      <c r="E5" s="158"/>
      <c r="F5" s="158"/>
      <c r="G5" s="158"/>
      <c r="H5" s="158"/>
      <c r="I5" s="45"/>
      <c r="J5" s="45"/>
    </row>
    <row r="6" spans="1:10" ht="42" customHeight="1">
      <c r="A6" s="45"/>
      <c r="B6" s="166" t="s">
        <v>3</v>
      </c>
      <c r="C6" s="154"/>
      <c r="D6" s="154"/>
      <c r="E6" s="154"/>
      <c r="F6" s="154"/>
      <c r="G6" s="154"/>
      <c r="H6" s="154"/>
      <c r="I6" s="45"/>
      <c r="J6" s="45"/>
    </row>
    <row r="7" spans="1:10" ht="28" customHeight="1">
      <c r="A7" s="45"/>
      <c r="B7" s="167" t="s">
        <v>4</v>
      </c>
      <c r="C7" s="154"/>
      <c r="D7" s="154"/>
      <c r="E7" s="154"/>
      <c r="F7" s="154"/>
      <c r="G7" s="154"/>
      <c r="H7" s="154"/>
      <c r="I7" s="45"/>
      <c r="J7" s="45"/>
    </row>
    <row r="8" spans="1:10" ht="22" customHeight="1">
      <c r="A8" s="45"/>
      <c r="B8" s="164" t="s">
        <v>5</v>
      </c>
      <c r="C8" s="154"/>
      <c r="D8" s="162" t="s">
        <v>6</v>
      </c>
      <c r="E8" s="154"/>
      <c r="F8" s="154"/>
      <c r="G8" s="154"/>
      <c r="H8" s="154"/>
      <c r="I8" s="45"/>
      <c r="J8" s="45"/>
    </row>
    <row r="9" spans="1:10" ht="64" customHeight="1">
      <c r="A9" s="45"/>
      <c r="B9" s="160" t="s">
        <v>7</v>
      </c>
      <c r="C9" s="154"/>
      <c r="D9" s="161" t="s">
        <v>8</v>
      </c>
      <c r="E9" s="154"/>
      <c r="F9" s="154"/>
      <c r="G9" s="154"/>
      <c r="H9" s="154"/>
      <c r="I9" s="45"/>
      <c r="J9" s="45"/>
    </row>
    <row r="10" spans="1:10" ht="64" customHeight="1">
      <c r="A10" s="45"/>
      <c r="B10" s="160" t="s">
        <v>9</v>
      </c>
      <c r="C10" s="154"/>
      <c r="D10" s="161" t="s">
        <v>10</v>
      </c>
      <c r="E10" s="154"/>
      <c r="F10" s="154"/>
      <c r="G10" s="154"/>
      <c r="H10" s="154"/>
      <c r="I10" s="45"/>
      <c r="J10" s="45"/>
    </row>
    <row r="11" spans="1:10">
      <c r="A11" s="45"/>
      <c r="B11" s="45"/>
      <c r="C11" s="45"/>
      <c r="D11" s="45"/>
      <c r="E11" s="45"/>
      <c r="F11" s="45"/>
      <c r="G11" s="45"/>
      <c r="H11" s="45"/>
      <c r="I11" s="45"/>
      <c r="J11" s="45"/>
    </row>
    <row r="12" spans="1:10" ht="28" customHeight="1">
      <c r="A12" s="45"/>
      <c r="B12" s="157" t="s">
        <v>11</v>
      </c>
      <c r="C12" s="158"/>
      <c r="D12" s="158"/>
      <c r="E12" s="158"/>
      <c r="F12" s="158"/>
      <c r="G12" s="158"/>
      <c r="H12" s="158"/>
      <c r="I12" s="45"/>
      <c r="J12" s="45"/>
    </row>
    <row r="13" spans="1:10" ht="42" customHeight="1">
      <c r="A13" s="45"/>
      <c r="B13" s="50" t="s">
        <v>12</v>
      </c>
      <c r="C13" s="156" t="s">
        <v>13</v>
      </c>
      <c r="D13" s="154"/>
      <c r="E13" s="154"/>
      <c r="F13" s="154"/>
      <c r="G13" s="154"/>
      <c r="H13" s="154"/>
      <c r="I13" s="45"/>
      <c r="J13" s="45"/>
    </row>
    <row r="14" spans="1:10" ht="42" customHeight="1">
      <c r="A14" s="45"/>
      <c r="B14" s="50" t="s">
        <v>14</v>
      </c>
      <c r="C14" s="156" t="s">
        <v>15</v>
      </c>
      <c r="D14" s="154"/>
      <c r="E14" s="154"/>
      <c r="F14" s="154"/>
      <c r="G14" s="154"/>
      <c r="H14" s="154"/>
      <c r="I14" s="45"/>
      <c r="J14" s="45"/>
    </row>
    <row r="15" spans="1:10" ht="42" customHeight="1">
      <c r="A15" s="45"/>
      <c r="B15" s="50" t="s">
        <v>16</v>
      </c>
      <c r="C15" s="156" t="s">
        <v>17</v>
      </c>
      <c r="D15" s="154"/>
      <c r="E15" s="154"/>
      <c r="F15" s="154"/>
      <c r="G15" s="154"/>
      <c r="H15" s="154"/>
      <c r="I15" s="45"/>
      <c r="J15" s="45"/>
    </row>
    <row r="16" spans="1:10">
      <c r="A16" s="45"/>
      <c r="B16" s="45"/>
      <c r="C16" s="45"/>
      <c r="D16" s="45"/>
      <c r="E16" s="45"/>
      <c r="F16" s="45"/>
      <c r="G16" s="45"/>
      <c r="H16" s="45"/>
      <c r="I16" s="45"/>
      <c r="J16" s="45"/>
    </row>
    <row r="17" spans="1:10" ht="28" customHeight="1">
      <c r="A17" s="45"/>
      <c r="B17" s="157" t="s">
        <v>18</v>
      </c>
      <c r="C17" s="158"/>
      <c r="D17" s="158"/>
      <c r="E17" s="158"/>
      <c r="F17" s="158"/>
      <c r="G17" s="158"/>
      <c r="H17" s="158"/>
      <c r="I17" s="45"/>
      <c r="J17" s="45"/>
    </row>
    <row r="18" spans="1:10" ht="76" customHeight="1">
      <c r="A18" s="45"/>
      <c r="B18" s="51" t="s">
        <v>19</v>
      </c>
      <c r="C18" s="156" t="s">
        <v>20</v>
      </c>
      <c r="D18" s="154"/>
      <c r="E18" s="154"/>
      <c r="F18" s="154"/>
      <c r="G18" s="154"/>
      <c r="H18" s="154"/>
      <c r="I18" s="45"/>
      <c r="J18" s="45"/>
    </row>
    <row r="19" spans="1:10" ht="28" customHeight="1">
      <c r="A19" s="45"/>
      <c r="B19" s="51" t="s">
        <v>21</v>
      </c>
      <c r="C19" s="156" t="s">
        <v>22</v>
      </c>
      <c r="D19" s="154"/>
      <c r="E19" s="154"/>
      <c r="F19" s="154"/>
      <c r="G19" s="154"/>
      <c r="H19" s="154"/>
      <c r="I19" s="45"/>
      <c r="J19" s="45"/>
    </row>
    <row r="20" spans="1:10" ht="40" customHeight="1">
      <c r="A20" s="45"/>
      <c r="B20" s="51" t="s">
        <v>23</v>
      </c>
      <c r="C20" s="156" t="s">
        <v>24</v>
      </c>
      <c r="D20" s="154"/>
      <c r="E20" s="154"/>
      <c r="F20" s="154"/>
      <c r="G20" s="154"/>
      <c r="H20" s="154"/>
      <c r="I20" s="45"/>
      <c r="J20" s="45"/>
    </row>
    <row r="21" spans="1:10" ht="40" customHeight="1">
      <c r="A21" s="45"/>
      <c r="B21" s="51" t="s">
        <v>25</v>
      </c>
      <c r="C21" s="156" t="s">
        <v>26</v>
      </c>
      <c r="D21" s="154"/>
      <c r="E21" s="154"/>
      <c r="F21" s="154"/>
      <c r="G21" s="154"/>
      <c r="H21" s="154"/>
      <c r="I21" s="45"/>
      <c r="J21" s="45"/>
    </row>
    <row r="22" spans="1:10" ht="28" customHeight="1">
      <c r="A22" s="45"/>
      <c r="B22" s="51" t="s">
        <v>27</v>
      </c>
      <c r="C22" s="156" t="s">
        <v>28</v>
      </c>
      <c r="D22" s="154"/>
      <c r="E22" s="154"/>
      <c r="F22" s="154"/>
      <c r="G22" s="154"/>
      <c r="H22" s="154"/>
      <c r="I22" s="45"/>
      <c r="J22" s="45"/>
    </row>
    <row r="23" spans="1:10" ht="40" customHeight="1">
      <c r="A23" s="45"/>
      <c r="B23" s="51" t="s">
        <v>29</v>
      </c>
      <c r="C23" s="156" t="s">
        <v>30</v>
      </c>
      <c r="D23" s="154"/>
      <c r="E23" s="154"/>
      <c r="F23" s="154"/>
      <c r="G23" s="154"/>
      <c r="H23" s="154"/>
      <c r="I23" s="45"/>
      <c r="J23" s="45"/>
    </row>
    <row r="24" spans="1:10">
      <c r="A24" s="45"/>
      <c r="B24" s="45"/>
      <c r="C24" s="45"/>
      <c r="D24" s="45"/>
      <c r="E24" s="45"/>
      <c r="F24" s="45"/>
      <c r="G24" s="45"/>
      <c r="H24" s="45"/>
      <c r="I24" s="45"/>
      <c r="J24" s="45"/>
    </row>
    <row r="25" spans="1:10" ht="28" customHeight="1">
      <c r="A25" s="45"/>
      <c r="B25" s="157" t="s">
        <v>31</v>
      </c>
      <c r="C25" s="158"/>
      <c r="D25" s="158"/>
      <c r="E25" s="158"/>
      <c r="F25" s="158"/>
      <c r="G25" s="158"/>
      <c r="H25" s="158"/>
      <c r="I25" s="45"/>
      <c r="J25" s="45"/>
    </row>
    <row r="26" spans="1:10" ht="72" customHeight="1">
      <c r="A26" s="45"/>
      <c r="B26" s="166" t="s">
        <v>32</v>
      </c>
      <c r="C26" s="154"/>
      <c r="D26" s="154"/>
      <c r="E26" s="154"/>
      <c r="F26" s="154"/>
      <c r="G26" s="154"/>
      <c r="H26" s="154"/>
      <c r="I26" s="45"/>
      <c r="J26" s="45"/>
    </row>
    <row r="27" spans="1:10">
      <c r="A27" s="45"/>
      <c r="B27" s="45"/>
      <c r="C27" s="45"/>
      <c r="D27" s="45"/>
      <c r="E27" s="45"/>
      <c r="F27" s="45"/>
      <c r="G27" s="45"/>
      <c r="H27" s="45"/>
      <c r="I27" s="45"/>
      <c r="J27" s="45"/>
    </row>
    <row r="28" spans="1:10" ht="28" customHeight="1">
      <c r="A28" s="45"/>
      <c r="B28" s="157" t="s">
        <v>33</v>
      </c>
      <c r="C28" s="158"/>
      <c r="D28" s="158"/>
      <c r="E28" s="158"/>
      <c r="F28" s="158"/>
      <c r="G28" s="158"/>
      <c r="H28" s="158"/>
      <c r="I28" s="45"/>
      <c r="J28" s="45"/>
    </row>
    <row r="29" spans="1:10" ht="42" customHeight="1">
      <c r="A29" s="45"/>
      <c r="B29" s="155" t="s">
        <v>34</v>
      </c>
      <c r="C29" s="154"/>
      <c r="D29" s="156" t="s">
        <v>35</v>
      </c>
      <c r="E29" s="154"/>
      <c r="F29" s="154"/>
      <c r="G29" s="154"/>
      <c r="H29" s="154"/>
      <c r="I29" s="45"/>
      <c r="J29" s="45"/>
    </row>
    <row r="30" spans="1:10" ht="42" customHeight="1">
      <c r="A30" s="45"/>
      <c r="B30" s="155" t="s">
        <v>36</v>
      </c>
      <c r="C30" s="154"/>
      <c r="D30" s="156" t="s">
        <v>37</v>
      </c>
      <c r="E30" s="154"/>
      <c r="F30" s="154"/>
      <c r="G30" s="154"/>
      <c r="H30" s="154"/>
      <c r="I30" s="45"/>
      <c r="J30" s="45"/>
    </row>
    <row r="31" spans="1:10" ht="60" customHeight="1">
      <c r="A31" s="45"/>
      <c r="B31" s="155" t="s">
        <v>38</v>
      </c>
      <c r="C31" s="154"/>
      <c r="D31" s="156" t="s">
        <v>39</v>
      </c>
      <c r="E31" s="154"/>
      <c r="F31" s="154"/>
      <c r="G31" s="154"/>
      <c r="H31" s="154"/>
      <c r="I31" s="45"/>
      <c r="J31" s="45"/>
    </row>
    <row r="32" spans="1:10" ht="42" customHeight="1">
      <c r="A32" s="45"/>
      <c r="B32" s="155" t="s">
        <v>40</v>
      </c>
      <c r="C32" s="154"/>
      <c r="D32" s="156" t="s">
        <v>41</v>
      </c>
      <c r="E32" s="154"/>
      <c r="F32" s="154"/>
      <c r="G32" s="154"/>
      <c r="H32" s="154"/>
      <c r="I32" s="45"/>
      <c r="J32" s="45"/>
    </row>
    <row r="33" spans="1:10" ht="42" customHeight="1">
      <c r="A33" s="45"/>
      <c r="B33" s="155" t="s">
        <v>42</v>
      </c>
      <c r="C33" s="154"/>
      <c r="D33" s="156" t="s">
        <v>43</v>
      </c>
      <c r="E33" s="154"/>
      <c r="F33" s="154"/>
      <c r="G33" s="154"/>
      <c r="H33" s="154"/>
      <c r="I33" s="45"/>
      <c r="J33" s="45"/>
    </row>
    <row r="34" spans="1:10" ht="60" customHeight="1">
      <c r="A34" s="45"/>
      <c r="B34" s="155" t="s">
        <v>44</v>
      </c>
      <c r="C34" s="154"/>
      <c r="D34" s="156" t="s">
        <v>45</v>
      </c>
      <c r="E34" s="154"/>
      <c r="F34" s="154"/>
      <c r="G34" s="154"/>
      <c r="H34" s="154"/>
      <c r="I34" s="45"/>
      <c r="J34" s="45"/>
    </row>
    <row r="35" spans="1:10" ht="60" customHeight="1">
      <c r="A35" s="45"/>
      <c r="B35" s="155" t="s">
        <v>46</v>
      </c>
      <c r="C35" s="154"/>
      <c r="D35" s="156" t="s">
        <v>47</v>
      </c>
      <c r="E35" s="154"/>
      <c r="F35" s="154"/>
      <c r="G35" s="154"/>
      <c r="H35" s="154"/>
      <c r="I35" s="45"/>
      <c r="J35" s="45"/>
    </row>
    <row r="36" spans="1:10">
      <c r="A36" s="45"/>
      <c r="B36" s="45"/>
      <c r="C36" s="45"/>
      <c r="D36" s="45"/>
      <c r="E36" s="45"/>
      <c r="F36" s="45"/>
      <c r="G36" s="45"/>
      <c r="H36" s="45"/>
      <c r="I36" s="45"/>
      <c r="J36" s="45"/>
    </row>
    <row r="37" spans="1:10" ht="24" customHeight="1">
      <c r="A37" s="45"/>
      <c r="B37" s="165" t="s">
        <v>48</v>
      </c>
      <c r="C37" s="154"/>
      <c r="D37" s="154"/>
      <c r="E37" s="154"/>
      <c r="F37" s="154"/>
      <c r="G37" s="154"/>
      <c r="H37" s="154"/>
      <c r="I37" s="45"/>
      <c r="J37" s="45"/>
    </row>
    <row r="38" spans="1:10" ht="26" customHeight="1">
      <c r="A38" s="45"/>
      <c r="B38" s="153" t="s">
        <v>49</v>
      </c>
      <c r="C38" s="154"/>
      <c r="D38" s="154"/>
      <c r="E38" s="154"/>
      <c r="F38" s="154"/>
      <c r="G38" s="154"/>
      <c r="H38" s="154"/>
      <c r="I38" s="45"/>
      <c r="J38" s="45"/>
    </row>
    <row r="39" spans="1:10">
      <c r="A39" s="45"/>
      <c r="B39" s="45"/>
      <c r="C39" s="45"/>
      <c r="D39" s="45"/>
      <c r="E39" s="45"/>
      <c r="F39" s="45"/>
      <c r="G39" s="45"/>
      <c r="H39" s="45"/>
      <c r="I39" s="45"/>
      <c r="J39" s="45"/>
    </row>
    <row r="40" spans="1:10">
      <c r="A40" s="45"/>
      <c r="B40" s="45"/>
      <c r="C40" s="45"/>
      <c r="D40" s="45"/>
      <c r="E40" s="45"/>
      <c r="F40" s="45"/>
      <c r="G40" s="45"/>
      <c r="H40" s="45"/>
      <c r="I40" s="45"/>
      <c r="J40" s="45"/>
    </row>
    <row r="41" spans="1:10">
      <c r="A41" s="45"/>
      <c r="B41" s="45"/>
      <c r="C41" s="45"/>
      <c r="D41" s="45"/>
      <c r="E41" s="45"/>
      <c r="F41" s="45"/>
      <c r="G41" s="45"/>
      <c r="H41" s="45"/>
      <c r="I41" s="45"/>
      <c r="J41" s="45"/>
    </row>
    <row r="42" spans="1:10">
      <c r="A42" s="45"/>
      <c r="B42" s="45"/>
      <c r="C42" s="45"/>
      <c r="D42" s="45"/>
      <c r="E42" s="45"/>
      <c r="F42" s="45"/>
      <c r="G42" s="45"/>
      <c r="H42" s="45"/>
      <c r="I42" s="45"/>
      <c r="J42" s="45"/>
    </row>
    <row r="43" spans="1:10">
      <c r="A43" s="45"/>
      <c r="B43" s="45"/>
      <c r="C43" s="45"/>
      <c r="D43" s="45"/>
      <c r="E43" s="45"/>
      <c r="F43" s="45"/>
      <c r="G43" s="45"/>
      <c r="H43" s="45"/>
      <c r="I43" s="45"/>
      <c r="J43" s="45"/>
    </row>
    <row r="44" spans="1:10">
      <c r="A44" s="45"/>
      <c r="B44" s="45"/>
      <c r="C44" s="45"/>
      <c r="D44" s="45"/>
      <c r="E44" s="45"/>
      <c r="F44" s="45"/>
      <c r="G44" s="45"/>
      <c r="H44" s="45"/>
      <c r="I44" s="45"/>
      <c r="J44" s="45"/>
    </row>
    <row r="45" spans="1:10">
      <c r="A45" s="45"/>
      <c r="B45" s="45"/>
      <c r="C45" s="45"/>
      <c r="D45" s="45"/>
      <c r="E45" s="45"/>
      <c r="F45" s="45"/>
      <c r="G45" s="45"/>
      <c r="H45" s="45"/>
      <c r="I45" s="45"/>
      <c r="J45" s="45"/>
    </row>
    <row r="46" spans="1:10">
      <c r="A46" s="45"/>
      <c r="B46" s="45"/>
      <c r="C46" s="45"/>
      <c r="D46" s="45"/>
      <c r="E46" s="45"/>
      <c r="F46" s="45"/>
      <c r="G46" s="45"/>
      <c r="H46" s="45"/>
      <c r="I46" s="45"/>
      <c r="J46" s="45"/>
    </row>
    <row r="47" spans="1:10">
      <c r="A47" s="45"/>
      <c r="B47" s="45"/>
      <c r="C47" s="45"/>
      <c r="D47" s="45"/>
      <c r="E47" s="45"/>
      <c r="F47" s="45"/>
      <c r="G47" s="45"/>
      <c r="H47" s="45"/>
      <c r="I47" s="45"/>
      <c r="J47" s="45"/>
    </row>
    <row r="48" spans="1:10">
      <c r="A48" s="45"/>
      <c r="B48" s="45"/>
      <c r="C48" s="45"/>
      <c r="D48" s="45"/>
      <c r="E48" s="45"/>
      <c r="F48" s="45"/>
      <c r="G48" s="45"/>
      <c r="H48" s="45"/>
      <c r="I48" s="45"/>
      <c r="J48" s="45"/>
    </row>
    <row r="49" spans="1:10">
      <c r="A49" s="45"/>
      <c r="B49" s="45"/>
      <c r="C49" s="45"/>
      <c r="D49" s="45"/>
      <c r="E49" s="45"/>
      <c r="F49" s="45"/>
      <c r="G49" s="45"/>
      <c r="H49" s="45"/>
      <c r="I49" s="45"/>
      <c r="J49" s="45"/>
    </row>
    <row r="50" spans="1:10">
      <c r="A50" s="45"/>
      <c r="B50" s="45"/>
      <c r="C50" s="45"/>
      <c r="D50" s="45"/>
      <c r="E50" s="45"/>
      <c r="F50" s="45"/>
      <c r="G50" s="45"/>
      <c r="H50" s="45"/>
      <c r="I50" s="45"/>
      <c r="J50" s="45"/>
    </row>
    <row r="51" spans="1:10">
      <c r="A51" s="45"/>
      <c r="B51" s="45"/>
      <c r="C51" s="45"/>
      <c r="D51" s="45"/>
      <c r="E51" s="45"/>
      <c r="F51" s="45"/>
      <c r="G51" s="45"/>
      <c r="H51" s="45"/>
      <c r="I51" s="45"/>
      <c r="J51" s="45"/>
    </row>
    <row r="52" spans="1:10">
      <c r="A52" s="45"/>
      <c r="B52" s="45"/>
      <c r="C52" s="45"/>
      <c r="D52" s="45"/>
      <c r="E52" s="45"/>
      <c r="F52" s="45"/>
      <c r="G52" s="45"/>
      <c r="H52" s="45"/>
      <c r="I52" s="45"/>
      <c r="J52" s="45"/>
    </row>
    <row r="53" spans="1:10">
      <c r="A53" s="45"/>
      <c r="B53" s="45"/>
      <c r="C53" s="45"/>
      <c r="D53" s="45"/>
      <c r="E53" s="45"/>
      <c r="F53" s="45"/>
      <c r="G53" s="45"/>
      <c r="H53" s="45"/>
      <c r="I53" s="45"/>
      <c r="J53" s="45"/>
    </row>
    <row r="54" spans="1:10">
      <c r="A54" s="45"/>
      <c r="B54" s="45"/>
      <c r="C54" s="45"/>
      <c r="D54" s="45"/>
      <c r="E54" s="45"/>
      <c r="F54" s="45"/>
      <c r="G54" s="45"/>
      <c r="H54" s="45"/>
      <c r="I54" s="45"/>
      <c r="J54" s="45"/>
    </row>
    <row r="55" spans="1:10">
      <c r="A55" s="45"/>
      <c r="B55" s="45"/>
      <c r="C55" s="45"/>
      <c r="D55" s="45"/>
      <c r="E55" s="45"/>
      <c r="F55" s="45"/>
      <c r="G55" s="45"/>
      <c r="H55" s="45"/>
      <c r="I55" s="45"/>
      <c r="J55" s="45"/>
    </row>
    <row r="56" spans="1:10">
      <c r="A56" s="45"/>
      <c r="B56" s="45"/>
      <c r="C56" s="45"/>
      <c r="D56" s="45"/>
      <c r="E56" s="45"/>
      <c r="F56" s="45"/>
      <c r="G56" s="45"/>
      <c r="H56" s="45"/>
      <c r="I56" s="45"/>
      <c r="J56" s="45"/>
    </row>
    <row r="57" spans="1:10">
      <c r="A57" s="45"/>
      <c r="B57" s="45"/>
      <c r="C57" s="45"/>
      <c r="D57" s="45"/>
      <c r="E57" s="45"/>
      <c r="F57" s="45"/>
      <c r="G57" s="45"/>
      <c r="H57" s="45"/>
      <c r="I57" s="45"/>
      <c r="J57" s="45"/>
    </row>
    <row r="58" spans="1:10">
      <c r="A58" s="45"/>
      <c r="B58" s="45"/>
      <c r="C58" s="45"/>
      <c r="D58" s="45"/>
      <c r="E58" s="45"/>
      <c r="F58" s="45"/>
      <c r="G58" s="45"/>
      <c r="H58" s="45"/>
      <c r="I58" s="45"/>
      <c r="J58" s="45"/>
    </row>
    <row r="59" spans="1:10">
      <c r="A59" s="45"/>
      <c r="B59" s="45"/>
      <c r="C59" s="45"/>
      <c r="D59" s="45"/>
      <c r="E59" s="45"/>
      <c r="F59" s="45"/>
      <c r="G59" s="45"/>
      <c r="H59" s="45"/>
      <c r="I59" s="45"/>
      <c r="J59" s="45"/>
    </row>
  </sheetData>
  <sheetProtection sheet="1" formatCells="0" formatColumns="0" formatRows="0" sort="0" autoFilter="0"/>
  <mergeCells count="41">
    <mergeCell ref="C19:H19"/>
    <mergeCell ref="B29:C29"/>
    <mergeCell ref="C13:H13"/>
    <mergeCell ref="B10:C10"/>
    <mergeCell ref="B12:H12"/>
    <mergeCell ref="D29:H29"/>
    <mergeCell ref="C21:H21"/>
    <mergeCell ref="B26:H26"/>
    <mergeCell ref="C23:H23"/>
    <mergeCell ref="B25:H25"/>
    <mergeCell ref="D10:H10"/>
    <mergeCell ref="C22:H22"/>
    <mergeCell ref="B2:H2"/>
    <mergeCell ref="C18:H18"/>
    <mergeCell ref="B9:C9"/>
    <mergeCell ref="D9:H9"/>
    <mergeCell ref="C15:H15"/>
    <mergeCell ref="D8:H8"/>
    <mergeCell ref="B17:H17"/>
    <mergeCell ref="C14:H14"/>
    <mergeCell ref="B3:H3"/>
    <mergeCell ref="B8:C8"/>
    <mergeCell ref="B5:H5"/>
    <mergeCell ref="B7:H7"/>
    <mergeCell ref="B6:H6"/>
    <mergeCell ref="B38:H38"/>
    <mergeCell ref="B32:C32"/>
    <mergeCell ref="C20:H20"/>
    <mergeCell ref="B35:C35"/>
    <mergeCell ref="B28:H28"/>
    <mergeCell ref="B37:H37"/>
    <mergeCell ref="D32:H32"/>
    <mergeCell ref="B34:C34"/>
    <mergeCell ref="B30:C30"/>
    <mergeCell ref="D30:H30"/>
    <mergeCell ref="B33:C33"/>
    <mergeCell ref="D33:H33"/>
    <mergeCell ref="D35:H35"/>
    <mergeCell ref="D34:H34"/>
    <mergeCell ref="B31:C31"/>
    <mergeCell ref="D31:H31"/>
  </mergeCells>
  <hyperlinks>
    <hyperlink ref="B38" r:id="rId1" xr:uid="{00000000-0004-0000-0000-000000000000}"/>
  </hyperlinks>
  <printOptions horizontalCentered="1"/>
  <pageMargins left="0.4" right="0.4" top="0.4" bottom="0.4" header="0.25" footer="0.25"/>
  <pageSetup fitToHeight="0" orientation="portrait"/>
  <headerFooter>
    <oddHeader>&amp;L&amp;"Calibri,Italic"&amp;8 &amp;"Calibri,Italic"&amp;8 &amp;F&amp;C&amp;"Calibri,Bold"&amp;10 &amp;"Calibri,Bold"&amp;10 &amp;A&amp;R&amp;"Calibri,Italic"&amp;8 &amp;"Calibri,Italic"&amp;8 Page &amp;P of &amp;N</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G1000"/>
  <sheetViews>
    <sheetView zoomScaleNormal="100" workbookViewId="0"/>
  </sheetViews>
  <sheetFormatPr baseColWidth="10" defaultColWidth="14.5" defaultRowHeight="15" customHeight="1"/>
  <cols>
    <col min="1" max="1" width="8" style="1" customWidth="1"/>
    <col min="2" max="2" width="8" style="2" customWidth="1"/>
    <col min="3" max="4" width="7" style="2" customWidth="1"/>
    <col min="5" max="5" width="8" style="2" customWidth="1"/>
    <col min="6" max="6" width="9" style="2" customWidth="1"/>
    <col min="7" max="7" width="7" style="2" customWidth="1"/>
    <col min="8" max="8" width="8" style="1" customWidth="1"/>
    <col min="9" max="9" width="8" style="2" customWidth="1"/>
    <col min="10" max="10" width="6" style="2" customWidth="1"/>
    <col min="11" max="11" width="12" style="2" customWidth="1"/>
    <col min="12" max="12" width="8" style="2" customWidth="1"/>
    <col min="13" max="13" width="10" style="2" customWidth="1"/>
    <col min="14" max="14" width="8" style="2" customWidth="1"/>
    <col min="15" max="15" width="11" style="1" customWidth="1"/>
    <col min="16" max="16" width="15" style="2" customWidth="1"/>
    <col min="17" max="33" width="11" style="1" customWidth="1"/>
  </cols>
  <sheetData>
    <row r="1" spans="1:33" ht="31.5" customHeight="1">
      <c r="A1" s="176" t="s">
        <v>50</v>
      </c>
      <c r="B1" s="154"/>
      <c r="C1" s="154"/>
      <c r="D1" s="154"/>
      <c r="E1" s="154"/>
      <c r="F1" s="154"/>
      <c r="G1" s="154"/>
      <c r="H1" s="169"/>
      <c r="I1" s="154"/>
      <c r="J1" s="154"/>
      <c r="K1" s="154"/>
      <c r="L1" s="154"/>
      <c r="M1" s="154"/>
      <c r="N1" s="154"/>
      <c r="O1" s="169"/>
      <c r="P1" s="154"/>
      <c r="Q1" s="4"/>
      <c r="R1" s="4"/>
      <c r="S1" s="4"/>
      <c r="T1" s="4"/>
      <c r="U1" s="4"/>
      <c r="V1" s="4"/>
      <c r="W1" s="4"/>
      <c r="X1" s="4"/>
      <c r="Y1" s="4"/>
      <c r="Z1" s="4"/>
      <c r="AA1" s="4"/>
      <c r="AB1" s="4"/>
      <c r="AC1" s="4"/>
      <c r="AD1" s="4"/>
      <c r="AE1" s="4"/>
      <c r="AF1" s="4"/>
      <c r="AG1" s="4"/>
    </row>
    <row r="2" spans="1:33" ht="38" customHeight="1">
      <c r="A2" s="184" t="s">
        <v>51</v>
      </c>
      <c r="B2" s="154"/>
      <c r="C2" s="154"/>
      <c r="D2" s="185">
        <v>42.4</v>
      </c>
      <c r="E2" s="154"/>
      <c r="F2" s="52" t="s">
        <v>52</v>
      </c>
      <c r="G2" s="188">
        <v>2780</v>
      </c>
      <c r="H2" s="169"/>
      <c r="I2" s="52" t="s">
        <v>53</v>
      </c>
      <c r="J2" s="53">
        <v>2.5</v>
      </c>
      <c r="K2" s="52" t="s">
        <v>54</v>
      </c>
      <c r="L2" s="54">
        <v>0.18</v>
      </c>
      <c r="M2" s="180" t="s">
        <v>55</v>
      </c>
      <c r="N2" s="154"/>
      <c r="O2" s="169"/>
      <c r="P2" s="154"/>
      <c r="Q2" s="4"/>
      <c r="R2" s="4"/>
      <c r="S2" s="4"/>
      <c r="T2" s="4"/>
      <c r="U2" s="4"/>
      <c r="V2" s="4"/>
      <c r="W2" s="4"/>
      <c r="X2" s="4"/>
      <c r="Y2" s="4"/>
      <c r="Z2" s="4"/>
      <c r="AA2" s="4"/>
      <c r="AB2" s="4"/>
      <c r="AC2" s="4"/>
      <c r="AD2" s="4"/>
      <c r="AE2" s="4"/>
      <c r="AF2" s="4"/>
      <c r="AG2" s="4"/>
    </row>
    <row r="3" spans="1:33" ht="24" customHeight="1">
      <c r="A3" s="171" t="s">
        <v>56</v>
      </c>
      <c r="B3" s="154"/>
      <c r="C3" s="154"/>
      <c r="D3" s="154"/>
      <c r="E3" s="154"/>
      <c r="F3" s="154"/>
      <c r="G3" s="154"/>
      <c r="H3" s="169"/>
      <c r="I3" s="154"/>
      <c r="J3" s="154"/>
      <c r="K3" s="154"/>
      <c r="L3" s="154"/>
      <c r="M3" s="154"/>
      <c r="N3" s="154"/>
      <c r="O3" s="169"/>
      <c r="P3" s="154"/>
      <c r="Q3" s="4"/>
      <c r="R3" s="4"/>
      <c r="S3" s="4"/>
      <c r="T3" s="4"/>
      <c r="U3" s="4"/>
      <c r="V3" s="4"/>
      <c r="W3" s="4"/>
      <c r="X3" s="4"/>
      <c r="Y3" s="4"/>
      <c r="Z3" s="4"/>
      <c r="AA3" s="4"/>
      <c r="AB3" s="4"/>
      <c r="AC3" s="4"/>
      <c r="AD3" s="4"/>
      <c r="AE3" s="4"/>
      <c r="AF3" s="4"/>
      <c r="AG3" s="4"/>
    </row>
    <row r="4" spans="1:33" ht="24" customHeight="1">
      <c r="A4" s="189" t="s">
        <v>57</v>
      </c>
      <c r="B4" s="154"/>
      <c r="C4" s="154"/>
      <c r="D4" s="154"/>
      <c r="E4" s="154"/>
      <c r="F4" s="154"/>
      <c r="G4" s="154"/>
      <c r="H4" s="169"/>
      <c r="I4" s="154"/>
      <c r="J4" s="154"/>
      <c r="K4" s="154"/>
      <c r="L4" s="154"/>
      <c r="M4" s="154"/>
      <c r="N4" s="154"/>
      <c r="O4" s="169"/>
      <c r="P4" s="154"/>
      <c r="Q4" s="4"/>
      <c r="R4" s="4"/>
      <c r="S4" s="4"/>
      <c r="T4" s="4"/>
      <c r="U4" s="4"/>
      <c r="V4" s="4"/>
      <c r="W4" s="4"/>
      <c r="X4" s="4"/>
      <c r="Y4" s="4"/>
      <c r="Z4" s="4"/>
      <c r="AA4" s="4"/>
      <c r="AB4" s="4"/>
      <c r="AC4" s="4"/>
      <c r="AD4" s="4"/>
      <c r="AE4" s="4"/>
      <c r="AF4" s="4"/>
      <c r="AG4" s="4"/>
    </row>
    <row r="5" spans="1:33" ht="31.5" customHeight="1">
      <c r="A5" s="5" t="s">
        <v>58</v>
      </c>
      <c r="B5" s="175" t="s">
        <v>59</v>
      </c>
      <c r="C5" s="173"/>
      <c r="D5" s="173"/>
      <c r="E5" s="174"/>
      <c r="F5" s="5" t="s">
        <v>60</v>
      </c>
      <c r="G5" s="175" t="s">
        <v>61</v>
      </c>
      <c r="H5" s="173"/>
      <c r="I5" s="173"/>
      <c r="J5" s="174"/>
      <c r="K5" s="5" t="s">
        <v>62</v>
      </c>
      <c r="L5" s="175" t="s">
        <v>63</v>
      </c>
      <c r="M5" s="173"/>
      <c r="N5" s="173"/>
      <c r="O5" s="173"/>
      <c r="P5" s="174"/>
      <c r="Q5" s="4"/>
      <c r="R5" s="4"/>
      <c r="S5" s="4"/>
      <c r="T5" s="4"/>
      <c r="U5" s="4"/>
      <c r="V5" s="4"/>
      <c r="W5" s="4"/>
      <c r="X5" s="4"/>
      <c r="Y5" s="4"/>
      <c r="Z5" s="4"/>
      <c r="AA5" s="4"/>
      <c r="AB5" s="4"/>
      <c r="AC5" s="4"/>
      <c r="AD5" s="4"/>
      <c r="AE5" s="4"/>
      <c r="AF5" s="4"/>
      <c r="AG5" s="4"/>
    </row>
    <row r="6" spans="1:33" ht="31.5" customHeight="1">
      <c r="A6" s="5" t="s">
        <v>64</v>
      </c>
      <c r="B6" s="175" t="s">
        <v>65</v>
      </c>
      <c r="C6" s="173"/>
      <c r="D6" s="173"/>
      <c r="E6" s="174"/>
      <c r="F6" s="5" t="s">
        <v>66</v>
      </c>
      <c r="G6" s="175" t="s">
        <v>67</v>
      </c>
      <c r="H6" s="173"/>
      <c r="I6" s="173"/>
      <c r="J6" s="174"/>
      <c r="K6" s="5" t="s">
        <v>68</v>
      </c>
      <c r="L6" s="175" t="s">
        <v>69</v>
      </c>
      <c r="M6" s="173"/>
      <c r="N6" s="173"/>
      <c r="O6" s="173"/>
      <c r="P6" s="174"/>
      <c r="Q6" s="4"/>
      <c r="R6" s="4"/>
      <c r="S6" s="4"/>
      <c r="T6" s="4"/>
      <c r="U6" s="4"/>
      <c r="V6" s="4"/>
      <c r="W6" s="4"/>
      <c r="X6" s="4"/>
      <c r="Y6" s="4"/>
      <c r="Z6" s="4"/>
      <c r="AA6" s="4"/>
      <c r="AB6" s="4"/>
      <c r="AC6" s="4"/>
      <c r="AD6" s="4"/>
      <c r="AE6" s="4"/>
      <c r="AF6" s="4"/>
      <c r="AG6" s="4"/>
    </row>
    <row r="7" spans="1:33" ht="31.5" customHeight="1">
      <c r="A7" s="4"/>
      <c r="B7" s="4"/>
      <c r="C7" s="4"/>
      <c r="D7" s="4"/>
      <c r="E7" s="4"/>
      <c r="F7" s="55" t="s">
        <v>70</v>
      </c>
      <c r="G7" s="178" t="s">
        <v>71</v>
      </c>
      <c r="H7" s="179"/>
      <c r="I7" s="179"/>
      <c r="J7" s="179"/>
      <c r="K7" s="4"/>
      <c r="L7" s="4"/>
      <c r="M7" s="4"/>
      <c r="N7" s="4"/>
      <c r="O7" s="4"/>
      <c r="P7" s="4"/>
      <c r="Q7" s="4"/>
      <c r="R7" s="4"/>
      <c r="S7" s="4"/>
      <c r="T7" s="4"/>
      <c r="U7" s="4"/>
      <c r="V7" s="4"/>
      <c r="W7" s="4"/>
      <c r="X7" s="4"/>
      <c r="Y7" s="4"/>
      <c r="Z7" s="4"/>
      <c r="AA7" s="4"/>
      <c r="AB7" s="4"/>
      <c r="AC7" s="4"/>
      <c r="AD7" s="4"/>
      <c r="AE7" s="4"/>
      <c r="AF7" s="4"/>
      <c r="AG7" s="4"/>
    </row>
    <row r="8" spans="1:33" ht="24" customHeight="1">
      <c r="A8" s="170" t="s">
        <v>72</v>
      </c>
      <c r="B8" s="154"/>
      <c r="C8" s="154"/>
      <c r="D8" s="154"/>
      <c r="E8" s="154"/>
      <c r="F8" s="154"/>
      <c r="G8" s="154"/>
      <c r="H8" s="169"/>
      <c r="I8" s="154"/>
      <c r="J8" s="154"/>
      <c r="K8" s="154"/>
      <c r="L8" s="154"/>
      <c r="M8" s="154"/>
      <c r="N8" s="154"/>
      <c r="O8" s="169"/>
      <c r="P8" s="154"/>
      <c r="Q8" s="4"/>
      <c r="R8" s="4"/>
      <c r="S8" s="4"/>
      <c r="T8" s="4"/>
      <c r="U8" s="4"/>
      <c r="V8" s="4"/>
      <c r="W8" s="4"/>
      <c r="X8" s="4"/>
      <c r="Y8" s="4"/>
      <c r="Z8" s="4"/>
      <c r="AA8" s="4"/>
      <c r="AB8" s="4"/>
      <c r="AC8" s="4"/>
      <c r="AD8" s="4"/>
      <c r="AE8" s="4"/>
      <c r="AF8" s="4"/>
      <c r="AG8" s="4"/>
    </row>
    <row r="9" spans="1:33" ht="31.5" customHeight="1">
      <c r="A9" s="6" t="s">
        <v>73</v>
      </c>
      <c r="B9" s="182" t="s">
        <v>74</v>
      </c>
      <c r="C9" s="173"/>
      <c r="D9" s="173"/>
      <c r="E9" s="174"/>
      <c r="F9" s="6" t="s">
        <v>75</v>
      </c>
      <c r="G9" s="182" t="str">
        <f>IFERROR(LOOKUP(2,1/(GarminSessions!$C$2:$C$200&lt;&gt;""),GarminSessions!$C$2:$C$200),"")</f>
        <v>H4350</v>
      </c>
      <c r="H9" s="173"/>
      <c r="I9" s="173"/>
      <c r="J9" s="174"/>
      <c r="K9" s="6" t="s">
        <v>76</v>
      </c>
      <c r="L9" s="182" t="s">
        <v>77</v>
      </c>
      <c r="M9" s="174"/>
      <c r="N9" s="6" t="s">
        <v>78</v>
      </c>
      <c r="O9" s="182" t="s">
        <v>79</v>
      </c>
      <c r="P9" s="174"/>
      <c r="Q9" s="4"/>
      <c r="R9" s="4"/>
      <c r="S9" s="4"/>
      <c r="T9" s="4"/>
      <c r="U9" s="4"/>
      <c r="V9" s="4"/>
      <c r="W9" s="4"/>
      <c r="X9" s="4"/>
      <c r="Y9" s="4"/>
      <c r="Z9" s="4"/>
      <c r="AA9" s="4"/>
      <c r="AB9" s="4"/>
      <c r="AC9" s="4"/>
      <c r="AD9" s="4"/>
      <c r="AE9" s="4"/>
      <c r="AF9" s="4"/>
      <c r="AG9" s="4"/>
    </row>
    <row r="10" spans="1:33" ht="31.5" customHeight="1">
      <c r="A10" s="6" t="s">
        <v>80</v>
      </c>
      <c r="B10" s="172">
        <v>2.2240000000000002</v>
      </c>
      <c r="C10" s="173"/>
      <c r="D10" s="173"/>
      <c r="E10" s="174"/>
      <c r="F10" s="6" t="s">
        <v>81</v>
      </c>
      <c r="G10" s="181">
        <v>2.875</v>
      </c>
      <c r="H10" s="173"/>
      <c r="I10" s="173"/>
      <c r="J10" s="174"/>
      <c r="K10" s="6" t="s">
        <v>82</v>
      </c>
      <c r="L10" s="177">
        <v>100</v>
      </c>
      <c r="M10" s="173"/>
      <c r="N10" s="173"/>
      <c r="O10" s="173"/>
      <c r="P10" s="174"/>
      <c r="Q10" s="4"/>
      <c r="R10" s="4"/>
      <c r="S10" s="4"/>
      <c r="T10" s="4"/>
      <c r="U10" s="4"/>
      <c r="V10" s="4"/>
      <c r="W10" s="4"/>
      <c r="X10" s="4"/>
      <c r="Y10" s="4"/>
      <c r="Z10" s="4"/>
      <c r="AA10" s="4"/>
      <c r="AB10" s="4"/>
      <c r="AC10" s="4"/>
      <c r="AD10" s="4"/>
      <c r="AE10" s="4"/>
      <c r="AF10" s="4"/>
      <c r="AG10" s="4"/>
    </row>
    <row r="11" spans="1:33" ht="6"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spans="1:33" ht="24" customHeight="1">
      <c r="A12" s="170" t="s">
        <v>83</v>
      </c>
      <c r="B12" s="154"/>
      <c r="C12" s="154"/>
      <c r="D12" s="154"/>
      <c r="E12" s="154"/>
      <c r="F12" s="154"/>
      <c r="G12" s="154"/>
      <c r="H12" s="169"/>
      <c r="I12" s="154"/>
      <c r="J12" s="154"/>
      <c r="K12" s="154"/>
      <c r="L12" s="154"/>
      <c r="M12" s="154"/>
      <c r="N12" s="154"/>
      <c r="O12" s="169"/>
      <c r="P12" s="154"/>
      <c r="Q12" s="4"/>
      <c r="R12" s="4"/>
      <c r="S12" s="4"/>
      <c r="T12" s="4"/>
      <c r="U12" s="4"/>
      <c r="V12" s="4"/>
      <c r="W12" s="4"/>
      <c r="X12" s="4"/>
      <c r="Y12" s="4"/>
      <c r="Z12" s="4"/>
      <c r="AA12" s="4"/>
      <c r="AB12" s="4"/>
      <c r="AC12" s="4"/>
      <c r="AD12" s="4"/>
      <c r="AE12" s="4"/>
      <c r="AF12" s="4"/>
      <c r="AG12" s="4"/>
    </row>
    <row r="13" spans="1:33" ht="31.5" customHeight="1">
      <c r="A13" s="7" t="s">
        <v>84</v>
      </c>
      <c r="B13" s="187">
        <v>46124</v>
      </c>
      <c r="C13" s="173"/>
      <c r="D13" s="173"/>
      <c r="E13" s="174"/>
      <c r="F13" s="7" t="s">
        <v>85</v>
      </c>
      <c r="G13" s="186">
        <v>68</v>
      </c>
      <c r="H13" s="173"/>
      <c r="I13" s="173"/>
      <c r="J13" s="174"/>
      <c r="K13" s="7" t="s">
        <v>86</v>
      </c>
      <c r="L13" s="183" t="s">
        <v>87</v>
      </c>
      <c r="M13" s="173"/>
      <c r="N13" s="173"/>
      <c r="O13" s="173"/>
      <c r="P13" s="174"/>
      <c r="Q13" s="4"/>
      <c r="R13" s="4"/>
      <c r="S13" s="4"/>
      <c r="T13" s="4"/>
      <c r="U13" s="4"/>
      <c r="V13" s="4"/>
      <c r="W13" s="4"/>
      <c r="X13" s="4"/>
      <c r="Y13" s="4"/>
      <c r="Z13" s="4"/>
      <c r="AA13" s="4"/>
      <c r="AB13" s="4"/>
      <c r="AC13" s="4"/>
      <c r="AD13" s="4"/>
      <c r="AE13" s="4"/>
      <c r="AF13" s="4"/>
      <c r="AG13" s="4"/>
    </row>
    <row r="14" spans="1:33" ht="7.5" customHeight="1">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spans="1:33" ht="48" customHeight="1">
      <c r="A15" s="8" t="s">
        <v>88</v>
      </c>
      <c r="B15" s="8" t="s">
        <v>89</v>
      </c>
      <c r="C15" s="8" t="s">
        <v>90</v>
      </c>
      <c r="D15" s="8" t="s">
        <v>91</v>
      </c>
      <c r="E15" s="8" t="s">
        <v>92</v>
      </c>
      <c r="F15" s="8" t="s">
        <v>93</v>
      </c>
      <c r="G15" s="8" t="s">
        <v>94</v>
      </c>
      <c r="H15" s="8" t="s">
        <v>95</v>
      </c>
      <c r="I15" s="8" t="s">
        <v>96</v>
      </c>
      <c r="J15" s="8" t="s">
        <v>97</v>
      </c>
      <c r="K15" s="8" t="s">
        <v>98</v>
      </c>
      <c r="L15" s="8" t="s">
        <v>99</v>
      </c>
      <c r="M15" s="8" t="s">
        <v>100</v>
      </c>
      <c r="N15" s="8" t="s">
        <v>101</v>
      </c>
      <c r="O15" s="8" t="s">
        <v>102</v>
      </c>
      <c r="P15" s="8" t="s">
        <v>103</v>
      </c>
      <c r="Q15" s="4"/>
      <c r="R15" s="4"/>
      <c r="S15" s="4"/>
      <c r="T15" s="4"/>
      <c r="U15" s="4"/>
      <c r="V15" s="4"/>
      <c r="W15" s="4"/>
      <c r="X15" s="4"/>
      <c r="Y15" s="4"/>
      <c r="Z15" s="4"/>
      <c r="AA15" s="4"/>
      <c r="AB15" s="4"/>
      <c r="AC15" s="4"/>
      <c r="AD15" s="4"/>
      <c r="AE15" s="4"/>
      <c r="AF15" s="4"/>
      <c r="AG15" s="4"/>
    </row>
    <row r="16" spans="1:33" ht="18" customHeight="1">
      <c r="A16" s="56">
        <v>1</v>
      </c>
      <c r="B16" s="57">
        <f>IFERROR(LOOKUP(2,1/(GarminSessions!$A$2:$A$200="P1"),GarminSessions!$B$2:$B$200),NA())</f>
        <v>41.5</v>
      </c>
      <c r="C16" s="58">
        <f>IF(OR('Garmin Xero Import'!E6="",'Garmin Xero Import'!E6=0),"",'Garmin Xero Import'!E6)</f>
        <v>2710</v>
      </c>
      <c r="D16" s="58">
        <f>IF(OR('Garmin Xero Import'!F6="",'Garmin Xero Import'!F6=0),"",'Garmin Xero Import'!F6)</f>
        <v>2718</v>
      </c>
      <c r="E16" s="58">
        <f>IF(OR('Garmin Xero Import'!G6="",'Garmin Xero Import'!G6=0),"",'Garmin Xero Import'!G6)</f>
        <v>2705</v>
      </c>
      <c r="F16" s="58">
        <f>IF(OR('Garmin Xero Import'!H6="",'Garmin Xero Import'!H6=0),"",'Garmin Xero Import'!H6)</f>
        <v>2720</v>
      </c>
      <c r="G16" s="58">
        <f>IF(OR('Garmin Xero Import'!I6="",'Garmin Xero Import'!I6=0),"",'Garmin Xero Import'!I6)</f>
        <v>2715</v>
      </c>
      <c r="H16" s="59">
        <f>IF(OR('Garmin Xero Import'!O6="",'Garmin Xero Import'!O6=0),NA(),'Garmin Xero Import'!O6)</f>
        <v>2715</v>
      </c>
      <c r="I16" s="59">
        <f>IF(OR('Garmin Xero Import'!Q6="",'Garmin Xero Import'!Q6=0),"",'Garmin Xero Import'!Q6)</f>
        <v>19</v>
      </c>
      <c r="J16" s="59">
        <f>IF(OR('Garmin Xero Import'!P6="",'Garmin Xero Import'!P6=0),NA(),'Garmin Xero Import'!P6)</f>
        <v>6.7</v>
      </c>
      <c r="K16" s="56">
        <f>IF(OR('BallisticX Import'!D6="",'BallisticX Import'!D6=0),NA(),'BallisticX Import'!D6)</f>
        <v>0.62</v>
      </c>
      <c r="L16" s="56">
        <f>IF(OR('BallisticX Import'!F6="",'BallisticX Import'!F6=0),"",'BallisticX Import'!F6)</f>
        <v>0.55000000000000004</v>
      </c>
      <c r="M16" s="60">
        <f>IF(OR('BallisticX Import'!J6="",'BallisticX Import'!J6=0),"",'BallisticX Import'!J6)</f>
        <v>0.2</v>
      </c>
      <c r="N16" s="56">
        <f>IF(OR('BallisticX Import'!G6="",'BallisticX Import'!G6=0),"",'BallisticX Import'!G6)</f>
        <v>0.31</v>
      </c>
      <c r="O16" s="61">
        <v>0.60599999999999998</v>
      </c>
      <c r="P16" s="62"/>
      <c r="Q16" s="4"/>
      <c r="R16" s="4"/>
      <c r="S16" s="4"/>
      <c r="T16" s="4"/>
      <c r="U16" s="4"/>
      <c r="V16" s="4"/>
      <c r="W16" s="4"/>
      <c r="X16" s="4"/>
      <c r="Y16" s="4"/>
      <c r="Z16" s="4"/>
      <c r="AA16" s="4"/>
      <c r="AB16" s="4"/>
      <c r="AC16" s="4"/>
      <c r="AD16" s="4"/>
      <c r="AE16" s="4"/>
      <c r="AF16" s="4"/>
      <c r="AG16" s="4"/>
    </row>
    <row r="17" spans="1:33" ht="18" customHeight="1">
      <c r="A17" s="63">
        <v>2</v>
      </c>
      <c r="B17" s="64">
        <f>IFERROR(LOOKUP(2,1/(GarminSessions!$A$2:$A$200="P2"),GarminSessions!$B$2:$B$200),NA())</f>
        <v>41.8</v>
      </c>
      <c r="C17" s="65">
        <f>IF(OR('Garmin Xero Import'!E7="",'Garmin Xero Import'!E7=0),"",'Garmin Xero Import'!E7)</f>
        <v>2732</v>
      </c>
      <c r="D17" s="65">
        <f>IF(OR('Garmin Xero Import'!F7="",'Garmin Xero Import'!F7=0),"",'Garmin Xero Import'!F7)</f>
        <v>2748</v>
      </c>
      <c r="E17" s="65">
        <f>IF(OR('Garmin Xero Import'!G7="",'Garmin Xero Import'!G7=0),"",'Garmin Xero Import'!G7)</f>
        <v>2725</v>
      </c>
      <c r="F17" s="65">
        <f>IF(OR('Garmin Xero Import'!H7="",'Garmin Xero Import'!H7=0),"",'Garmin Xero Import'!H7)</f>
        <v>2740</v>
      </c>
      <c r="G17" s="65">
        <f>IF(OR('Garmin Xero Import'!I7="",'Garmin Xero Import'!I7=0),"",'Garmin Xero Import'!I7)</f>
        <v>2738</v>
      </c>
      <c r="H17" s="66">
        <f>IF(OR('Garmin Xero Import'!O7="",'Garmin Xero Import'!O7=0),NA(),'Garmin Xero Import'!O7)</f>
        <v>2737</v>
      </c>
      <c r="I17" s="66">
        <f>IF(OR('Garmin Xero Import'!Q7="",'Garmin Xero Import'!Q7=0),"",'Garmin Xero Import'!Q7)</f>
        <v>23</v>
      </c>
      <c r="J17" s="66">
        <f>IF(OR('Garmin Xero Import'!P7="",'Garmin Xero Import'!P7=0),NA(),'Garmin Xero Import'!P7)</f>
        <v>7.8</v>
      </c>
      <c r="K17" s="63">
        <f>IF(OR('BallisticX Import'!D7="",'BallisticX Import'!D7=0),NA(),'BallisticX Import'!D7)</f>
        <v>0.81</v>
      </c>
      <c r="L17" s="63">
        <f>IF(OR('BallisticX Import'!F7="",'BallisticX Import'!F7=0),"",'BallisticX Import'!F7)</f>
        <v>0.72</v>
      </c>
      <c r="M17" s="67">
        <f>IF(OR('BallisticX Import'!J7="",'BallisticX Import'!J7=0),"",'BallisticX Import'!J7)</f>
        <v>0.26</v>
      </c>
      <c r="N17" s="63">
        <f>IF(OR('BallisticX Import'!G7="",'BallisticX Import'!G7=0),"",'BallisticX Import'!G7)</f>
        <v>0.42</v>
      </c>
      <c r="O17" s="61">
        <v>1</v>
      </c>
      <c r="P17" s="68"/>
      <c r="Q17" s="4"/>
      <c r="R17" s="4"/>
      <c r="S17" s="4"/>
      <c r="T17" s="4"/>
      <c r="U17" s="4"/>
      <c r="V17" s="4"/>
      <c r="W17" s="4"/>
      <c r="X17" s="4"/>
      <c r="Y17" s="4"/>
      <c r="Z17" s="4"/>
      <c r="AA17" s="4"/>
      <c r="AB17" s="4"/>
      <c r="AC17" s="4"/>
      <c r="AD17" s="4"/>
      <c r="AE17" s="4"/>
      <c r="AF17" s="4"/>
      <c r="AG17" s="4"/>
    </row>
    <row r="18" spans="1:33" ht="18" customHeight="1">
      <c r="A18" s="56">
        <v>3</v>
      </c>
      <c r="B18" s="57">
        <f>IFERROR(LOOKUP(2,1/(GarminSessions!$A$2:$A$200="P3"),GarminSessions!$B$2:$B$200),NA())</f>
        <v>42.1</v>
      </c>
      <c r="C18" s="58">
        <f>IF(OR('Garmin Xero Import'!E8="",'Garmin Xero Import'!E8=0),"",'Garmin Xero Import'!E8)</f>
        <v>2755</v>
      </c>
      <c r="D18" s="58">
        <f>IF(OR('Garmin Xero Import'!F8="",'Garmin Xero Import'!F8=0),"",'Garmin Xero Import'!F8)</f>
        <v>2762</v>
      </c>
      <c r="E18" s="58">
        <f>IF(OR('Garmin Xero Import'!G8="",'Garmin Xero Import'!G8=0),"",'Garmin Xero Import'!G8)</f>
        <v>2750</v>
      </c>
      <c r="F18" s="58">
        <f>IF(OR('Garmin Xero Import'!H8="",'Garmin Xero Import'!H8=0),"",'Garmin Xero Import'!H8)</f>
        <v>2768</v>
      </c>
      <c r="G18" s="58">
        <f>IF(OR('Garmin Xero Import'!I8="",'Garmin Xero Import'!I8=0),"",'Garmin Xero Import'!I8)</f>
        <v>2760</v>
      </c>
      <c r="H18" s="59">
        <f>IF(OR('Garmin Xero Import'!O8="",'Garmin Xero Import'!O8=0),NA(),'Garmin Xero Import'!O8)</f>
        <v>2760</v>
      </c>
      <c r="I18" s="59">
        <f>IF(OR('Garmin Xero Import'!Q8="",'Garmin Xero Import'!Q8=0),"",'Garmin Xero Import'!Q8)</f>
        <v>20</v>
      </c>
      <c r="J18" s="59">
        <f>IF(OR('Garmin Xero Import'!P8="",'Garmin Xero Import'!P8=0),NA(),'Garmin Xero Import'!P8)</f>
        <v>6.4</v>
      </c>
      <c r="K18" s="56">
        <f>IF(OR('BallisticX Import'!D8="",'BallisticX Import'!D8=0),NA(),'BallisticX Import'!D8)</f>
        <v>0.45</v>
      </c>
      <c r="L18" s="56">
        <f>IF(OR('BallisticX Import'!F8="",'BallisticX Import'!F8=0),"",'BallisticX Import'!F8)</f>
        <v>0.4</v>
      </c>
      <c r="M18" s="60">
        <f>IF(OR('BallisticX Import'!J8="",'BallisticX Import'!J8=0),"",'BallisticX Import'!J8)</f>
        <v>0.14000000000000001</v>
      </c>
      <c r="N18" s="56">
        <f>IF(OR('BallisticX Import'!G8="",'BallisticX Import'!G8=0),"",'BallisticX Import'!G8)</f>
        <v>0.22</v>
      </c>
      <c r="O18" s="61">
        <v>0.27200000000000002</v>
      </c>
      <c r="P18" s="62" t="s">
        <v>104</v>
      </c>
      <c r="Q18" s="4"/>
      <c r="R18" s="4"/>
      <c r="S18" s="4"/>
      <c r="T18" s="4"/>
      <c r="U18" s="4"/>
      <c r="V18" s="4"/>
      <c r="W18" s="4"/>
      <c r="X18" s="4"/>
      <c r="Y18" s="4"/>
      <c r="Z18" s="4"/>
      <c r="AA18" s="4"/>
      <c r="AB18" s="4"/>
      <c r="AC18" s="4"/>
      <c r="AD18" s="4"/>
      <c r="AE18" s="4"/>
      <c r="AF18" s="4"/>
      <c r="AG18" s="4"/>
    </row>
    <row r="19" spans="1:33" ht="18" customHeight="1">
      <c r="A19" s="63">
        <v>4</v>
      </c>
      <c r="B19" s="64">
        <f>IFERROR(LOOKUP(2,1/(GarminSessions!$A$2:$A$200="P4"),GarminSessions!$B$2:$B$200),NA())</f>
        <v>42.4</v>
      </c>
      <c r="C19" s="65">
        <f>IF(OR('Garmin Xero Import'!E9="",'Garmin Xero Import'!E9=0),"",'Garmin Xero Import'!E9)</f>
        <v>2778</v>
      </c>
      <c r="D19" s="65">
        <f>IF(OR('Garmin Xero Import'!F9="",'Garmin Xero Import'!F9=0),"",'Garmin Xero Import'!F9)</f>
        <v>2782</v>
      </c>
      <c r="E19" s="65">
        <f>IF(OR('Garmin Xero Import'!G9="",'Garmin Xero Import'!G9=0),"",'Garmin Xero Import'!G9)</f>
        <v>2776</v>
      </c>
      <c r="F19" s="65">
        <f>IF(OR('Garmin Xero Import'!H9="",'Garmin Xero Import'!H9=0),"",'Garmin Xero Import'!H9)</f>
        <v>2784</v>
      </c>
      <c r="G19" s="65">
        <f>IF(OR('Garmin Xero Import'!I9="",'Garmin Xero Import'!I9=0),"",'Garmin Xero Import'!I9)</f>
        <v>2780</v>
      </c>
      <c r="H19" s="66">
        <f>IF(OR('Garmin Xero Import'!O9="",'Garmin Xero Import'!O9=0),NA(),'Garmin Xero Import'!O9)</f>
        <v>2780</v>
      </c>
      <c r="I19" s="66">
        <f>IF(OR('Garmin Xero Import'!Q9="",'Garmin Xero Import'!Q9=0),"",'Garmin Xero Import'!Q9)</f>
        <v>8</v>
      </c>
      <c r="J19" s="66">
        <f>IF(OR('Garmin Xero Import'!P9="",'Garmin Xero Import'!P9=0),NA(),'Garmin Xero Import'!P9)</f>
        <v>2.5</v>
      </c>
      <c r="K19" s="63">
        <f>IF(OR('BallisticX Import'!D9="",'BallisticX Import'!D9=0),NA(),'BallisticX Import'!D9)</f>
        <v>0.38</v>
      </c>
      <c r="L19" s="63">
        <f>IF(OR('BallisticX Import'!F9="",'BallisticX Import'!F9=0),"",'BallisticX Import'!F9)</f>
        <v>0.32</v>
      </c>
      <c r="M19" s="67">
        <f>IF(OR('BallisticX Import'!J9="",'BallisticX Import'!J9=0),"",'BallisticX Import'!J9)</f>
        <v>0.12</v>
      </c>
      <c r="N19" s="63">
        <f>IF(OR('BallisticX Import'!G9="",'BallisticX Import'!G9=0),"",'BallisticX Import'!G9)</f>
        <v>0.18</v>
      </c>
      <c r="O19" s="61">
        <v>1E-3</v>
      </c>
      <c r="P19" s="68" t="s">
        <v>105</v>
      </c>
      <c r="Q19" s="4"/>
      <c r="R19" s="4"/>
      <c r="S19" s="4"/>
      <c r="T19" s="4"/>
      <c r="U19" s="4"/>
      <c r="V19" s="4"/>
      <c r="W19" s="4"/>
      <c r="X19" s="4"/>
      <c r="Y19" s="4"/>
      <c r="Z19" s="4"/>
      <c r="AA19" s="4"/>
      <c r="AB19" s="4"/>
      <c r="AC19" s="4"/>
      <c r="AD19" s="4"/>
      <c r="AE19" s="4"/>
      <c r="AF19" s="4"/>
      <c r="AG19" s="4"/>
    </row>
    <row r="20" spans="1:33" ht="18" customHeight="1">
      <c r="A20" s="56">
        <v>5</v>
      </c>
      <c r="B20" s="57">
        <f>IFERROR(LOOKUP(2,1/(GarminSessions!$A$2:$A$200="P5"),GarminSessions!$B$2:$B$200),NA())</f>
        <v>42.7</v>
      </c>
      <c r="C20" s="58">
        <f>IF(OR('Garmin Xero Import'!E10="",'Garmin Xero Import'!E10=0),"",'Garmin Xero Import'!E10)</f>
        <v>2798</v>
      </c>
      <c r="D20" s="58">
        <f>IF(OR('Garmin Xero Import'!F10="",'Garmin Xero Import'!F10=0),"",'Garmin Xero Import'!F10)</f>
        <v>2805</v>
      </c>
      <c r="E20" s="58">
        <f>IF(OR('Garmin Xero Import'!G10="",'Garmin Xero Import'!G10=0),"",'Garmin Xero Import'!G10)</f>
        <v>2795</v>
      </c>
      <c r="F20" s="58">
        <f>IF(OR('Garmin Xero Import'!H10="",'Garmin Xero Import'!H10=0),"",'Garmin Xero Import'!H10)</f>
        <v>2812</v>
      </c>
      <c r="G20" s="58">
        <f>IF(OR('Garmin Xero Import'!I10="",'Garmin Xero Import'!I10=0),"",'Garmin Xero Import'!I10)</f>
        <v>2800</v>
      </c>
      <c r="H20" s="59">
        <f>IF(OR('Garmin Xero Import'!O10="",'Garmin Xero Import'!O10=0),NA(),'Garmin Xero Import'!O10)</f>
        <v>2803</v>
      </c>
      <c r="I20" s="59">
        <f>IF(OR('Garmin Xero Import'!Q10="",'Garmin Xero Import'!Q10=0),"",'Garmin Xero Import'!Q10)</f>
        <v>17</v>
      </c>
      <c r="J20" s="59">
        <f>IF(OR('Garmin Xero Import'!P10="",'Garmin Xero Import'!P10=0),NA(),'Garmin Xero Import'!P10)</f>
        <v>5.6</v>
      </c>
      <c r="K20" s="56">
        <f>IF(OR('BallisticX Import'!D10="",'BallisticX Import'!D10=0),NA(),'BallisticX Import'!D10)</f>
        <v>0.57999999999999996</v>
      </c>
      <c r="L20" s="56">
        <f>IF(OR('BallisticX Import'!F10="",'BallisticX Import'!F10=0),"",'BallisticX Import'!F10)</f>
        <v>0.52</v>
      </c>
      <c r="M20" s="60">
        <f>IF(OR('BallisticX Import'!J10="",'BallisticX Import'!J10=0),"",'BallisticX Import'!J10)</f>
        <v>0.18</v>
      </c>
      <c r="N20" s="56">
        <f>IF(OR('BallisticX Import'!G10="",'BallisticX Import'!G10=0),"",'BallisticX Import'!G10)</f>
        <v>0.28999999999999998</v>
      </c>
      <c r="O20" s="61">
        <v>0.47699999999999998</v>
      </c>
      <c r="P20" s="62" t="s">
        <v>106</v>
      </c>
      <c r="Q20" s="4"/>
      <c r="R20" s="4"/>
      <c r="S20" s="4"/>
      <c r="T20" s="4"/>
      <c r="U20" s="4"/>
      <c r="V20" s="4"/>
      <c r="W20" s="4"/>
      <c r="X20" s="4"/>
      <c r="Y20" s="4"/>
      <c r="Z20" s="4"/>
      <c r="AA20" s="4"/>
      <c r="AB20" s="4"/>
      <c r="AC20" s="4"/>
      <c r="AD20" s="4"/>
      <c r="AE20" s="4"/>
      <c r="AF20" s="4"/>
      <c r="AG20" s="4"/>
    </row>
    <row r="21" spans="1:33" ht="18" customHeight="1">
      <c r="A21" s="63">
        <v>6</v>
      </c>
      <c r="B21" s="64" t="e">
        <f>IFERROR(LOOKUP(2,1/(GarminSessions!$A$2:$A$200="P6"),GarminSessions!$B$2:$B$200),NA())</f>
        <v>#N/A</v>
      </c>
      <c r="C21" s="65" t="str">
        <f>IF(OR('Garmin Xero Import'!E11="",'Garmin Xero Import'!E11=0),"",'Garmin Xero Import'!E11)</f>
        <v/>
      </c>
      <c r="D21" s="65" t="str">
        <f>IF(OR('Garmin Xero Import'!F11="",'Garmin Xero Import'!F11=0),"",'Garmin Xero Import'!F11)</f>
        <v/>
      </c>
      <c r="E21" s="65" t="str">
        <f>IF(OR('Garmin Xero Import'!G11="",'Garmin Xero Import'!G11=0),"",'Garmin Xero Import'!G11)</f>
        <v/>
      </c>
      <c r="F21" s="65" t="str">
        <f>IF(OR('Garmin Xero Import'!H11="",'Garmin Xero Import'!H11=0),"",'Garmin Xero Import'!H11)</f>
        <v/>
      </c>
      <c r="G21" s="65" t="str">
        <f>IF(OR('Garmin Xero Import'!I11="",'Garmin Xero Import'!I11=0),"",'Garmin Xero Import'!I11)</f>
        <v/>
      </c>
      <c r="H21" s="66" t="e">
        <f>IF(OR('Garmin Xero Import'!O11="",'Garmin Xero Import'!O11=0),NA(),'Garmin Xero Import'!O11)</f>
        <v>#N/A</v>
      </c>
      <c r="I21" s="66" t="str">
        <f>IF(OR('Garmin Xero Import'!Q11="",'Garmin Xero Import'!Q11=0),"",'Garmin Xero Import'!Q11)</f>
        <v/>
      </c>
      <c r="J21" s="66" t="e">
        <f>IF(OR('Garmin Xero Import'!P11="",'Garmin Xero Import'!P11=0),NA(),'Garmin Xero Import'!P11)</f>
        <v>#N/A</v>
      </c>
      <c r="K21" s="63" t="e">
        <f>IF(OR('BallisticX Import'!D11="",'BallisticX Import'!D11=0),NA(),'BallisticX Import'!D11)</f>
        <v>#N/A</v>
      </c>
      <c r="L21" s="63" t="str">
        <f>IF(OR('BallisticX Import'!F11="",'BallisticX Import'!F11=0),"",'BallisticX Import'!F11)</f>
        <v/>
      </c>
      <c r="M21" s="67" t="str">
        <f>IF(OR('BallisticX Import'!J11="",'BallisticX Import'!J11=0),"",'BallisticX Import'!J11)</f>
        <v/>
      </c>
      <c r="N21" s="63" t="str">
        <f>IF(OR('BallisticX Import'!G11="",'BallisticX Import'!G11=0),"",'BallisticX Import'!G11)</f>
        <v/>
      </c>
      <c r="O21" s="61" t="e">
        <f>NA()</f>
        <v>#N/A</v>
      </c>
      <c r="P21" s="69"/>
      <c r="Q21" s="4"/>
      <c r="R21" s="4"/>
      <c r="S21" s="4"/>
      <c r="T21" s="4"/>
      <c r="U21" s="4"/>
      <c r="V21" s="4"/>
      <c r="W21" s="4"/>
      <c r="X21" s="4"/>
      <c r="Y21" s="4"/>
      <c r="Z21" s="4"/>
      <c r="AA21" s="4"/>
      <c r="AB21" s="4"/>
      <c r="AC21" s="4"/>
      <c r="AD21" s="4"/>
      <c r="AE21" s="4"/>
      <c r="AF21" s="4"/>
      <c r="AG21" s="4"/>
    </row>
    <row r="22" spans="1:33" ht="18" customHeight="1">
      <c r="A22" s="56">
        <v>7</v>
      </c>
      <c r="B22" s="57" t="e">
        <f>IFERROR(LOOKUP(2,1/(GarminSessions!$A$2:$A$200="P7"),GarminSessions!$B$2:$B$200),NA())</f>
        <v>#N/A</v>
      </c>
      <c r="C22" s="58" t="str">
        <f>IF(OR('Garmin Xero Import'!E12="",'Garmin Xero Import'!E12=0),"",'Garmin Xero Import'!E12)</f>
        <v/>
      </c>
      <c r="D22" s="58" t="str">
        <f>IF(OR('Garmin Xero Import'!F12="",'Garmin Xero Import'!F12=0),"",'Garmin Xero Import'!F12)</f>
        <v/>
      </c>
      <c r="E22" s="58" t="str">
        <f>IF(OR('Garmin Xero Import'!G12="",'Garmin Xero Import'!G12=0),"",'Garmin Xero Import'!G12)</f>
        <v/>
      </c>
      <c r="F22" s="58" t="str">
        <f>IF(OR('Garmin Xero Import'!H12="",'Garmin Xero Import'!H12=0),"",'Garmin Xero Import'!H12)</f>
        <v/>
      </c>
      <c r="G22" s="58" t="str">
        <f>IF(OR('Garmin Xero Import'!I12="",'Garmin Xero Import'!I12=0),"",'Garmin Xero Import'!I12)</f>
        <v/>
      </c>
      <c r="H22" s="59" t="e">
        <f>IF(OR('Garmin Xero Import'!O12="",'Garmin Xero Import'!O12=0),NA(),'Garmin Xero Import'!O12)</f>
        <v>#N/A</v>
      </c>
      <c r="I22" s="59" t="str">
        <f>IF(OR('Garmin Xero Import'!Q12="",'Garmin Xero Import'!Q12=0),"",'Garmin Xero Import'!Q12)</f>
        <v/>
      </c>
      <c r="J22" s="59" t="e">
        <f>IF(OR('Garmin Xero Import'!P12="",'Garmin Xero Import'!P12=0),NA(),'Garmin Xero Import'!P12)</f>
        <v>#N/A</v>
      </c>
      <c r="K22" s="56" t="e">
        <f>IF(OR('BallisticX Import'!D12="",'BallisticX Import'!D12=0),NA(),'BallisticX Import'!D12)</f>
        <v>#N/A</v>
      </c>
      <c r="L22" s="56" t="str">
        <f>IF(OR('BallisticX Import'!F12="",'BallisticX Import'!F12=0),"",'BallisticX Import'!F12)</f>
        <v/>
      </c>
      <c r="M22" s="60" t="str">
        <f>IF(OR('BallisticX Import'!J12="",'BallisticX Import'!J12=0),"",'BallisticX Import'!J12)</f>
        <v/>
      </c>
      <c r="N22" s="56" t="str">
        <f>IF(OR('BallisticX Import'!G12="",'BallisticX Import'!G12=0),"",'BallisticX Import'!G12)</f>
        <v/>
      </c>
      <c r="O22" s="61" t="e">
        <f>NA()</f>
        <v>#N/A</v>
      </c>
      <c r="P22" s="70"/>
      <c r="Q22" s="4"/>
      <c r="R22" s="4"/>
      <c r="S22" s="4"/>
      <c r="T22" s="4"/>
      <c r="U22" s="4"/>
      <c r="V22" s="4"/>
      <c r="W22" s="4"/>
      <c r="X22" s="4"/>
      <c r="Y22" s="4"/>
      <c r="Z22" s="4"/>
      <c r="AA22" s="4"/>
      <c r="AB22" s="4"/>
      <c r="AC22" s="4"/>
      <c r="AD22" s="4"/>
      <c r="AE22" s="4"/>
      <c r="AF22" s="4"/>
      <c r="AG22" s="4"/>
    </row>
    <row r="23" spans="1:33" ht="18" customHeight="1">
      <c r="A23" s="63">
        <v>8</v>
      </c>
      <c r="B23" s="64" t="e">
        <f>IFERROR(LOOKUP(2,1/(GarminSessions!$A$2:$A$200="P8"),GarminSessions!$B$2:$B$200),NA())</f>
        <v>#N/A</v>
      </c>
      <c r="C23" s="65" t="str">
        <f>IF(OR('Garmin Xero Import'!E13="",'Garmin Xero Import'!E13=0),"",'Garmin Xero Import'!E13)</f>
        <v/>
      </c>
      <c r="D23" s="65" t="str">
        <f>IF(OR('Garmin Xero Import'!F13="",'Garmin Xero Import'!F13=0),"",'Garmin Xero Import'!F13)</f>
        <v/>
      </c>
      <c r="E23" s="65" t="str">
        <f>IF(OR('Garmin Xero Import'!G13="",'Garmin Xero Import'!G13=0),"",'Garmin Xero Import'!G13)</f>
        <v/>
      </c>
      <c r="F23" s="65" t="str">
        <f>IF(OR('Garmin Xero Import'!H13="",'Garmin Xero Import'!H13=0),"",'Garmin Xero Import'!H13)</f>
        <v/>
      </c>
      <c r="G23" s="65" t="str">
        <f>IF(OR('Garmin Xero Import'!I13="",'Garmin Xero Import'!I13=0),"",'Garmin Xero Import'!I13)</f>
        <v/>
      </c>
      <c r="H23" s="66" t="e">
        <f>IF(OR('Garmin Xero Import'!O13="",'Garmin Xero Import'!O13=0),NA(),'Garmin Xero Import'!O13)</f>
        <v>#N/A</v>
      </c>
      <c r="I23" s="66" t="str">
        <f>IF(OR('Garmin Xero Import'!Q13="",'Garmin Xero Import'!Q13=0),"",'Garmin Xero Import'!Q13)</f>
        <v/>
      </c>
      <c r="J23" s="66" t="e">
        <f>IF(OR('Garmin Xero Import'!P13="",'Garmin Xero Import'!P13=0),NA(),'Garmin Xero Import'!P13)</f>
        <v>#N/A</v>
      </c>
      <c r="K23" s="63" t="e">
        <f>IF(OR('BallisticX Import'!D13="",'BallisticX Import'!D13=0),NA(),'BallisticX Import'!D13)</f>
        <v>#N/A</v>
      </c>
      <c r="L23" s="63" t="str">
        <f>IF(OR('BallisticX Import'!F13="",'BallisticX Import'!F13=0),"",'BallisticX Import'!F13)</f>
        <v/>
      </c>
      <c r="M23" s="67" t="str">
        <f>IF(OR('BallisticX Import'!J13="",'BallisticX Import'!J13=0),"",'BallisticX Import'!J13)</f>
        <v/>
      </c>
      <c r="N23" s="63" t="str">
        <f>IF(OR('BallisticX Import'!G13="",'BallisticX Import'!G13=0),"",'BallisticX Import'!G13)</f>
        <v/>
      </c>
      <c r="O23" s="61" t="e">
        <f>NA()</f>
        <v>#N/A</v>
      </c>
      <c r="P23" s="69"/>
      <c r="Q23" s="4"/>
      <c r="R23" s="4"/>
      <c r="S23" s="4"/>
      <c r="T23" s="4"/>
      <c r="U23" s="4"/>
      <c r="V23" s="4"/>
      <c r="W23" s="4"/>
      <c r="X23" s="4"/>
      <c r="Y23" s="4"/>
      <c r="Z23" s="4"/>
      <c r="AA23" s="4"/>
      <c r="AB23" s="4"/>
      <c r="AC23" s="4"/>
      <c r="AD23" s="4"/>
      <c r="AE23" s="4"/>
      <c r="AF23" s="4"/>
      <c r="AG23" s="4"/>
    </row>
    <row r="24" spans="1:33" ht="18" customHeight="1">
      <c r="A24" s="56">
        <v>9</v>
      </c>
      <c r="B24" s="57" t="e">
        <f>IFERROR(LOOKUP(2,1/(GarminSessions!$A$2:$A$200="P9"),GarminSessions!$B$2:$B$200),NA())</f>
        <v>#N/A</v>
      </c>
      <c r="C24" s="58" t="str">
        <f>IF(OR('Garmin Xero Import'!E14="",'Garmin Xero Import'!E14=0),"",'Garmin Xero Import'!E14)</f>
        <v/>
      </c>
      <c r="D24" s="58" t="str">
        <f>IF(OR('Garmin Xero Import'!F14="",'Garmin Xero Import'!F14=0),"",'Garmin Xero Import'!F14)</f>
        <v/>
      </c>
      <c r="E24" s="58" t="str">
        <f>IF(OR('Garmin Xero Import'!G14="",'Garmin Xero Import'!G14=0),"",'Garmin Xero Import'!G14)</f>
        <v/>
      </c>
      <c r="F24" s="58" t="str">
        <f>IF(OR('Garmin Xero Import'!H14="",'Garmin Xero Import'!H14=0),"",'Garmin Xero Import'!H14)</f>
        <v/>
      </c>
      <c r="G24" s="58" t="str">
        <f>IF(OR('Garmin Xero Import'!I14="",'Garmin Xero Import'!I14=0),"",'Garmin Xero Import'!I14)</f>
        <v/>
      </c>
      <c r="H24" s="59" t="e">
        <f>IF(OR('Garmin Xero Import'!O14="",'Garmin Xero Import'!O14=0),NA(),'Garmin Xero Import'!O14)</f>
        <v>#N/A</v>
      </c>
      <c r="I24" s="59" t="str">
        <f>IF(OR('Garmin Xero Import'!Q14="",'Garmin Xero Import'!Q14=0),"",'Garmin Xero Import'!Q14)</f>
        <v/>
      </c>
      <c r="J24" s="59" t="e">
        <f>IF(OR('Garmin Xero Import'!P14="",'Garmin Xero Import'!P14=0),NA(),'Garmin Xero Import'!P14)</f>
        <v>#N/A</v>
      </c>
      <c r="K24" s="56" t="e">
        <f>IF(OR('BallisticX Import'!D14="",'BallisticX Import'!D14=0),NA(),'BallisticX Import'!D14)</f>
        <v>#N/A</v>
      </c>
      <c r="L24" s="56" t="str">
        <f>IF(OR('BallisticX Import'!F14="",'BallisticX Import'!F14=0),"",'BallisticX Import'!F14)</f>
        <v/>
      </c>
      <c r="M24" s="60" t="str">
        <f>IF(OR('BallisticX Import'!J14="",'BallisticX Import'!J14=0),"",'BallisticX Import'!J14)</f>
        <v/>
      </c>
      <c r="N24" s="56" t="str">
        <f>IF(OR('BallisticX Import'!G14="",'BallisticX Import'!G14=0),"",'BallisticX Import'!G14)</f>
        <v/>
      </c>
      <c r="O24" s="61" t="e">
        <f>NA()</f>
        <v>#N/A</v>
      </c>
      <c r="P24" s="70"/>
      <c r="Q24" s="4"/>
      <c r="R24" s="4"/>
      <c r="S24" s="4"/>
      <c r="T24" s="4"/>
      <c r="U24" s="4"/>
      <c r="V24" s="4"/>
      <c r="W24" s="4"/>
      <c r="X24" s="4"/>
      <c r="Y24" s="4"/>
      <c r="Z24" s="4"/>
      <c r="AA24" s="4"/>
      <c r="AB24" s="4"/>
      <c r="AC24" s="4"/>
      <c r="AD24" s="4"/>
      <c r="AE24" s="4"/>
      <c r="AF24" s="4"/>
      <c r="AG24" s="4"/>
    </row>
    <row r="25" spans="1:33" ht="18" customHeight="1">
      <c r="A25" s="63">
        <v>10</v>
      </c>
      <c r="B25" s="64" t="e">
        <f>IFERROR(LOOKUP(2,1/(GarminSessions!$A$2:$A$200="P10"),GarminSessions!$B$2:$B$200),NA())</f>
        <v>#N/A</v>
      </c>
      <c r="C25" s="65" t="str">
        <f>IF(OR('Garmin Xero Import'!E15="",'Garmin Xero Import'!E15=0),"",'Garmin Xero Import'!E15)</f>
        <v/>
      </c>
      <c r="D25" s="65" t="str">
        <f>IF(OR('Garmin Xero Import'!F15="",'Garmin Xero Import'!F15=0),"",'Garmin Xero Import'!F15)</f>
        <v/>
      </c>
      <c r="E25" s="65" t="str">
        <f>IF(OR('Garmin Xero Import'!G15="",'Garmin Xero Import'!G15=0),"",'Garmin Xero Import'!G15)</f>
        <v/>
      </c>
      <c r="F25" s="65" t="str">
        <f>IF(OR('Garmin Xero Import'!H15="",'Garmin Xero Import'!H15=0),"",'Garmin Xero Import'!H15)</f>
        <v/>
      </c>
      <c r="G25" s="65" t="str">
        <f>IF(OR('Garmin Xero Import'!I15="",'Garmin Xero Import'!I15=0),"",'Garmin Xero Import'!I15)</f>
        <v/>
      </c>
      <c r="H25" s="66" t="e">
        <f>IF(OR('Garmin Xero Import'!O15="",'Garmin Xero Import'!O15=0),NA(),'Garmin Xero Import'!O15)</f>
        <v>#N/A</v>
      </c>
      <c r="I25" s="66" t="str">
        <f>IF(OR('Garmin Xero Import'!Q15="",'Garmin Xero Import'!Q15=0),"",'Garmin Xero Import'!Q15)</f>
        <v/>
      </c>
      <c r="J25" s="66" t="e">
        <f>IF(OR('Garmin Xero Import'!P15="",'Garmin Xero Import'!P15=0),NA(),'Garmin Xero Import'!P15)</f>
        <v>#N/A</v>
      </c>
      <c r="K25" s="63" t="e">
        <f>IF(OR('BallisticX Import'!D15="",'BallisticX Import'!D15=0),NA(),'BallisticX Import'!D15)</f>
        <v>#N/A</v>
      </c>
      <c r="L25" s="63" t="str">
        <f>IF(OR('BallisticX Import'!F15="",'BallisticX Import'!F15=0),"",'BallisticX Import'!F15)</f>
        <v/>
      </c>
      <c r="M25" s="67" t="str">
        <f>IF(OR('BallisticX Import'!J15="",'BallisticX Import'!J15=0),"",'BallisticX Import'!J15)</f>
        <v/>
      </c>
      <c r="N25" s="63" t="str">
        <f>IF(OR('BallisticX Import'!G15="",'BallisticX Import'!G15=0),"",'BallisticX Import'!G15)</f>
        <v/>
      </c>
      <c r="O25" s="61" t="e">
        <f>NA()</f>
        <v>#N/A</v>
      </c>
      <c r="P25" s="69"/>
      <c r="Q25" s="4"/>
      <c r="R25" s="4"/>
      <c r="S25" s="4"/>
      <c r="T25" s="4"/>
      <c r="U25" s="4"/>
      <c r="V25" s="4"/>
      <c r="W25" s="4"/>
      <c r="X25" s="4"/>
      <c r="Y25" s="4"/>
      <c r="Z25" s="4"/>
      <c r="AA25" s="4"/>
      <c r="AB25" s="4"/>
      <c r="AC25" s="4"/>
      <c r="AD25" s="4"/>
      <c r="AE25" s="4"/>
      <c r="AF25" s="4"/>
      <c r="AG25" s="4"/>
    </row>
    <row r="26" spans="1:33" ht="7.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row>
    <row r="27" spans="1:33" ht="24" customHeight="1">
      <c r="A27" s="168" t="s">
        <v>107</v>
      </c>
      <c r="B27" s="154"/>
      <c r="C27" s="154"/>
      <c r="D27" s="154"/>
      <c r="E27" s="154"/>
      <c r="F27" s="154"/>
      <c r="G27" s="154"/>
      <c r="H27" s="169"/>
      <c r="I27" s="154"/>
      <c r="J27" s="154"/>
      <c r="K27" s="154"/>
      <c r="L27" s="154"/>
      <c r="M27" s="154"/>
      <c r="N27" s="154"/>
      <c r="O27" s="169"/>
      <c r="P27" s="154"/>
      <c r="Q27" s="4"/>
      <c r="R27" s="4"/>
      <c r="S27" s="4"/>
      <c r="T27" s="4"/>
      <c r="U27" s="4"/>
      <c r="V27" s="4"/>
      <c r="W27" s="4"/>
      <c r="X27" s="4"/>
      <c r="Y27" s="4"/>
      <c r="Z27" s="4"/>
      <c r="AA27" s="4"/>
      <c r="AB27" s="4"/>
      <c r="AC27" s="4"/>
      <c r="AD27" s="4"/>
      <c r="AE27" s="4"/>
      <c r="AF27" s="4"/>
      <c r="AG27" s="4"/>
    </row>
    <row r="28" spans="1:33"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row>
    <row r="29" spans="1:33"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row>
    <row r="30" spans="1:33"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row>
    <row r="31" spans="1:33" ht="15.75" customHeight="1"/>
    <row r="32" spans="1:3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sheet="1" formatCells="0" formatColumns="0" formatRows="0" sort="0" autoFilter="0"/>
  <mergeCells count="27">
    <mergeCell ref="A1:P1"/>
    <mergeCell ref="L10:P10"/>
    <mergeCell ref="G7:J7"/>
    <mergeCell ref="M2:P2"/>
    <mergeCell ref="G10:J10"/>
    <mergeCell ref="L9:M9"/>
    <mergeCell ref="G6:J6"/>
    <mergeCell ref="L6:P6"/>
    <mergeCell ref="A2:C2"/>
    <mergeCell ref="G9:J9"/>
    <mergeCell ref="D2:E2"/>
    <mergeCell ref="L5:P5"/>
    <mergeCell ref="B9:E9"/>
    <mergeCell ref="G2:H2"/>
    <mergeCell ref="B6:E6"/>
    <mergeCell ref="A8:P8"/>
    <mergeCell ref="A27:P27"/>
    <mergeCell ref="A12:P12"/>
    <mergeCell ref="A3:P3"/>
    <mergeCell ref="B10:E10"/>
    <mergeCell ref="G5:J5"/>
    <mergeCell ref="L13:P13"/>
    <mergeCell ref="G13:J13"/>
    <mergeCell ref="B13:E13"/>
    <mergeCell ref="A4:P4"/>
    <mergeCell ref="B5:E5"/>
    <mergeCell ref="O9:P9"/>
  </mergeCells>
  <conditionalFormatting sqref="K16:K25">
    <cfRule type="colorScale" priority="2">
      <colorScale>
        <cfvo type="min"/>
        <cfvo type="percentile" val="50"/>
        <cfvo type="max"/>
        <color rgb="FF63BE7B"/>
        <color rgb="FFFFEB84"/>
        <color rgb="FFF8696B"/>
      </colorScale>
    </cfRule>
    <cfRule type="colorScale" priority="8">
      <colorScale>
        <cfvo type="min"/>
        <cfvo type="percentile" val="50"/>
        <cfvo type="max"/>
        <color rgb="FF63BE7B"/>
        <color rgb="FFFFEB84"/>
        <color rgb="FFF8696B"/>
      </colorScale>
    </cfRule>
  </conditionalFormatting>
  <conditionalFormatting sqref="L16:L25">
    <cfRule type="colorScale" priority="3">
      <colorScale>
        <cfvo type="min"/>
        <cfvo type="percentile" val="50"/>
        <cfvo type="max"/>
        <color rgb="FF63BE7B"/>
        <color rgb="FFFFEB84"/>
        <color rgb="FFF8696B"/>
      </colorScale>
    </cfRule>
    <cfRule type="colorScale" priority="9">
      <colorScale>
        <cfvo type="min"/>
        <cfvo type="percentile" val="50"/>
        <cfvo type="max"/>
        <color rgb="FF63BE7B"/>
        <color rgb="FFFFEB84"/>
        <color rgb="FFF8696B"/>
      </colorScale>
    </cfRule>
  </conditionalFormatting>
  <conditionalFormatting sqref="M16:M25">
    <cfRule type="colorScale" priority="4">
      <colorScale>
        <cfvo type="min"/>
        <cfvo type="percentile" val="50"/>
        <cfvo type="max"/>
        <color rgb="FF63BE7B"/>
        <color rgb="FFFFEB84"/>
        <color rgb="FFF8696B"/>
      </colorScale>
    </cfRule>
    <cfRule type="colorScale" priority="10">
      <colorScale>
        <cfvo type="min"/>
        <cfvo type="percentile" val="50"/>
        <cfvo type="max"/>
        <color rgb="FF63BE7B"/>
        <color rgb="FFFFEB84"/>
        <color rgb="FFF8696B"/>
      </colorScale>
    </cfRule>
  </conditionalFormatting>
  <conditionalFormatting sqref="A2:P3">
    <cfRule type="expression" dxfId="5" priority="11">
      <formula>ISNA(INDIRECT(ADDRESS(ROW(),COLUMN())))</formula>
    </cfRule>
  </conditionalFormatting>
  <conditionalFormatting sqref="A15:P25">
    <cfRule type="expression" dxfId="4" priority="5">
      <formula>ISNA(INDIRECT(ADDRESS(ROW(),COLUMN())))</formula>
    </cfRule>
  </conditionalFormatting>
  <conditionalFormatting sqref="I16:I25">
    <cfRule type="colorScale" priority="6">
      <colorScale>
        <cfvo type="min"/>
        <cfvo type="percentile" val="50"/>
        <cfvo type="max"/>
        <color rgb="FF63BE7B"/>
        <color rgb="FFFFEB84"/>
        <color rgb="FFF8696B"/>
      </colorScale>
    </cfRule>
  </conditionalFormatting>
  <conditionalFormatting sqref="J16:J25">
    <cfRule type="colorScale" priority="7">
      <colorScale>
        <cfvo type="min"/>
        <cfvo type="percentile" val="50"/>
        <cfvo type="max"/>
        <color rgb="FF63BE7B"/>
        <color rgb="FFFFEB84"/>
        <color rgb="FFF8696B"/>
      </colorScale>
    </cfRule>
  </conditionalFormatting>
  <conditionalFormatting sqref="N16:N25">
    <cfRule type="colorScale" priority="12">
      <colorScale>
        <cfvo type="min"/>
        <cfvo type="percentile" val="50"/>
        <cfvo type="max"/>
        <color rgb="FF63BE7B"/>
        <color rgb="FFFFEB84"/>
        <color rgb="FFF8696B"/>
      </colorScale>
    </cfRule>
  </conditionalFormatting>
  <conditionalFormatting sqref="O16:O25">
    <cfRule type="colorScale" priority="13">
      <colorScale>
        <cfvo type="min"/>
        <cfvo type="percentile" val="50"/>
        <cfvo type="max"/>
        <color rgb="FF63BE7B"/>
        <color rgb="FFFFEB84"/>
        <color rgb="FFF8696B"/>
      </colorScale>
    </cfRule>
  </conditionalFormatting>
  <dataValidations count="1">
    <dataValidation type="list" allowBlank="1" showInputMessage="1" promptTitle="Pick your turret clicks" prompt="Click the arrow on the right to choose your scope's click value (0.1 Mil, 0.05 Mil, 1/4 MOA, 1/8 MOA, or N/A)." sqref="G7:J7" xr:uid="{00000000-0002-0000-0100-000000000000}">
      <formula1>"0.1 Mil,0.05 Mil,1/4 MOA,1/8 MOA,N/A"</formula1>
    </dataValidation>
  </dataValidations>
  <hyperlinks>
    <hyperlink ref="A3" location="Charts!A1" display="↓  Click here to jump to the Charts sheet (Suggested Best Load)  ↓" xr:uid="{00000000-0004-0000-0100-000000000000}"/>
  </hyperlinks>
  <printOptions horizontalCentered="1"/>
  <pageMargins left="0.25" right="0.25" top="0.5" bottom="0.5" header="0.25" footer="0.25"/>
  <pageSetup orientation="landscape" horizontalDpi="300" verticalDpi="300"/>
  <headerFooter>
    <oddHeader>&amp;L&amp;"Calibri,Italic"&amp;8 &amp;"Calibri,Italic"&amp;8 &amp;F&amp;C&amp;"Calibri,Bold"&amp;10 &amp;"Calibri,Bold"&amp;10 &amp;A&amp;R&amp;"Calibri,Italic"&amp;8 &amp;"Calibri,Italic"&amp;8 Page &amp;P of &amp;N</oddHeader>
    <oddFooter>&amp;LRifle Load Development Log&amp;RPage &amp;P of</oddFooter>
  </headerFooter>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zoomScaleNormal="100" workbookViewId="0"/>
  </sheetViews>
  <sheetFormatPr baseColWidth="10" defaultColWidth="14.5" defaultRowHeight="15" customHeight="1"/>
  <cols>
    <col min="1" max="1" width="19" style="1" customWidth="1"/>
    <col min="2" max="2" width="7" style="1" customWidth="1"/>
    <col min="3" max="3" width="7" style="2" customWidth="1"/>
    <col min="4" max="4" width="13" style="1" customWidth="1"/>
    <col min="5" max="5" width="9" style="1" customWidth="1"/>
    <col min="6" max="6" width="11" style="2" customWidth="1"/>
    <col min="7" max="7" width="22" style="2" customWidth="1"/>
    <col min="8" max="8" width="11" style="1" customWidth="1"/>
    <col min="9" max="11" width="11" style="2" customWidth="1"/>
    <col min="12" max="12" width="14" style="1" customWidth="1"/>
    <col min="13" max="13" width="7" style="1" hidden="1" customWidth="1"/>
    <col min="14" max="14" width="8.6640625" style="1" hidden="1" customWidth="1"/>
    <col min="15" max="17" width="13" style="2" hidden="1" customWidth="1"/>
    <col min="18" max="26" width="8.6640625" style="1" hidden="1" customWidth="1"/>
  </cols>
  <sheetData>
    <row r="1" spans="1:17" ht="27.75" customHeight="1">
      <c r="A1" s="191" t="s">
        <v>108</v>
      </c>
      <c r="B1" s="169"/>
      <c r="C1" s="154"/>
      <c r="D1" s="169"/>
      <c r="E1" s="169"/>
      <c r="F1" s="154"/>
      <c r="G1" s="154"/>
      <c r="H1" s="169"/>
      <c r="I1" s="154"/>
      <c r="J1" s="154"/>
      <c r="K1" s="154"/>
      <c r="L1" s="169"/>
      <c r="M1" s="169"/>
      <c r="N1" s="42"/>
      <c r="P1" s="42"/>
      <c r="Q1" s="42"/>
    </row>
    <row r="3" spans="1:17" ht="25.5" customHeight="1">
      <c r="A3" s="200" t="s">
        <v>109</v>
      </c>
      <c r="B3" s="194">
        <v>42.4</v>
      </c>
      <c r="C3" s="195"/>
      <c r="D3" s="71" t="s">
        <v>110</v>
      </c>
      <c r="E3" s="72">
        <v>1E-3</v>
      </c>
      <c r="F3" s="71" t="s">
        <v>53</v>
      </c>
      <c r="G3" s="73">
        <v>2.5</v>
      </c>
    </row>
    <row r="4" spans="1:17" ht="25.5" customHeight="1">
      <c r="A4" s="169"/>
      <c r="B4" s="196"/>
      <c r="C4" s="197"/>
      <c r="D4" s="74" t="str">
        <f>IF($B$100="window","Vel Spread:","")</f>
        <v/>
      </c>
      <c r="E4" s="75" t="str">
        <f>IF($B$100="window",IFERROR(INDEX(D18:D25,MATCH(MIN(L18:L25),L18:L25,0)),""),"")</f>
        <v/>
      </c>
      <c r="F4" s="71" t="s">
        <v>111</v>
      </c>
      <c r="G4" s="76">
        <v>0.18</v>
      </c>
    </row>
    <row r="5" spans="1:17" ht="25.5" customHeight="1">
      <c r="A5" s="169"/>
      <c r="B5" s="198"/>
      <c r="C5" s="199"/>
      <c r="D5" s="71" t="s">
        <v>52</v>
      </c>
      <c r="E5" s="77">
        <v>2780</v>
      </c>
      <c r="F5" s="71" t="s">
        <v>112</v>
      </c>
      <c r="G5" s="27" t="s">
        <v>113</v>
      </c>
    </row>
    <row r="6" spans="1:17" ht="30" customHeight="1">
      <c r="A6" s="201" t="s">
        <v>114</v>
      </c>
      <c r="B6" s="202"/>
      <c r="C6" s="202"/>
      <c r="D6" s="202"/>
      <c r="E6" s="202"/>
      <c r="F6" s="202"/>
      <c r="G6" s="202"/>
      <c r="H6" s="202"/>
      <c r="I6" s="202"/>
      <c r="J6" s="202"/>
      <c r="K6" s="202"/>
      <c r="L6" s="203"/>
    </row>
    <row r="7" spans="1:17" ht="30" customHeight="1">
      <c r="A7" s="193" t="s">
        <v>115</v>
      </c>
      <c r="B7" s="169"/>
      <c r="C7" s="154"/>
      <c r="D7" s="169"/>
      <c r="E7" s="169"/>
      <c r="F7" s="154"/>
      <c r="G7" s="154"/>
      <c r="H7" s="169"/>
      <c r="I7" s="154"/>
      <c r="J7" s="154"/>
      <c r="K7" s="154"/>
    </row>
    <row r="8" spans="1:17" ht="30" customHeight="1">
      <c r="A8" s="204" t="s">
        <v>116</v>
      </c>
      <c r="B8" s="169"/>
      <c r="C8" s="154"/>
      <c r="D8" s="169"/>
      <c r="E8" s="169"/>
      <c r="F8" s="154"/>
      <c r="G8" s="154"/>
      <c r="H8" s="169"/>
      <c r="I8" s="154"/>
      <c r="J8" s="154"/>
      <c r="K8" s="154"/>
    </row>
    <row r="10" spans="1:17" ht="15" customHeight="1">
      <c r="A10" s="190" t="s">
        <v>117</v>
      </c>
      <c r="B10" s="169"/>
      <c r="C10" s="154"/>
      <c r="D10" s="169"/>
      <c r="E10" s="169"/>
      <c r="F10" s="154"/>
      <c r="G10" s="154"/>
      <c r="H10" s="169"/>
      <c r="I10" s="154"/>
      <c r="J10" s="154"/>
      <c r="K10" s="154"/>
      <c r="L10" s="169"/>
    </row>
    <row r="11" spans="1:17" ht="15" customHeight="1">
      <c r="A11" s="15" t="s">
        <v>118</v>
      </c>
      <c r="B11" s="78">
        <v>0.3</v>
      </c>
      <c r="C11" s="15" t="s">
        <v>97</v>
      </c>
      <c r="D11" s="78">
        <v>0.2</v>
      </c>
      <c r="E11" s="15" t="s">
        <v>119</v>
      </c>
      <c r="F11" s="78">
        <v>0.2</v>
      </c>
      <c r="G11" s="15" t="s">
        <v>120</v>
      </c>
      <c r="H11" s="78">
        <v>0.3</v>
      </c>
      <c r="I11" s="15" t="s">
        <v>121</v>
      </c>
      <c r="J11" s="79">
        <f>SUM(B11,D11,F11,H11)</f>
        <v>1</v>
      </c>
    </row>
    <row r="12" spans="1:17" ht="30" customHeight="1">
      <c r="A12" s="201" t="s">
        <v>122</v>
      </c>
      <c r="B12" s="202"/>
      <c r="C12" s="202"/>
      <c r="D12" s="202"/>
      <c r="E12" s="202"/>
      <c r="F12" s="202"/>
      <c r="G12" s="202"/>
      <c r="H12" s="202"/>
      <c r="I12" s="202"/>
      <c r="J12" s="202"/>
      <c r="K12" s="202"/>
      <c r="L12" s="203"/>
    </row>
    <row r="13" spans="1:17" ht="15" customHeight="1">
      <c r="A13" s="16" t="s">
        <v>123</v>
      </c>
    </row>
    <row r="14" spans="1:17" ht="22" hidden="1" customHeight="1">
      <c r="A14" s="80" t="s">
        <v>124</v>
      </c>
    </row>
    <row r="15" spans="1:17" hidden="1"/>
    <row r="16" spans="1:17" hidden="1"/>
    <row r="17" spans="1:21" ht="42" customHeight="1">
      <c r="A17" s="81" t="s">
        <v>125</v>
      </c>
      <c r="B17" s="28"/>
      <c r="C17" s="28"/>
      <c r="D17" s="81" t="s">
        <v>126</v>
      </c>
      <c r="E17" s="82" t="s">
        <v>127</v>
      </c>
      <c r="F17" s="82" t="s">
        <v>128</v>
      </c>
      <c r="G17" s="82" t="s">
        <v>129</v>
      </c>
      <c r="H17" s="82" t="s">
        <v>130</v>
      </c>
      <c r="I17" s="82" t="s">
        <v>131</v>
      </c>
      <c r="J17" s="82" t="s">
        <v>132</v>
      </c>
      <c r="K17" s="82" t="s">
        <v>133</v>
      </c>
      <c r="L17" s="82" t="s">
        <v>102</v>
      </c>
      <c r="M17" s="83" t="s">
        <v>134</v>
      </c>
      <c r="N17" s="84" t="s">
        <v>135</v>
      </c>
      <c r="O17" s="84" t="s">
        <v>136</v>
      </c>
      <c r="P17" s="84" t="s">
        <v>137</v>
      </c>
      <c r="Q17" s="84" t="s">
        <v>138</v>
      </c>
      <c r="R17" s="27" t="s">
        <v>139</v>
      </c>
      <c r="T17" s="27" t="s">
        <v>140</v>
      </c>
      <c r="U17" s="27" t="s">
        <v>141</v>
      </c>
    </row>
    <row r="18" spans="1:21" ht="15" customHeight="1">
      <c r="A18" s="85">
        <f>IFERROR(IF($B$100="window",'Powder Charge Log'!B17,IF('Powder Charge Log'!B16="","",'Powder Charge Log'!B16)),"")</f>
        <v>41.5</v>
      </c>
      <c r="B18" s="47"/>
      <c r="C18" s="47"/>
      <c r="D18" s="86">
        <v>2715</v>
      </c>
      <c r="E18" s="85">
        <v>6.7</v>
      </c>
      <c r="F18" s="87">
        <v>0.31</v>
      </c>
      <c r="G18" s="87">
        <v>0.2</v>
      </c>
      <c r="H18" s="88">
        <v>0.55800000000000005</v>
      </c>
      <c r="I18" s="88">
        <v>0.79200000000000004</v>
      </c>
      <c r="J18" s="88">
        <v>0.54200000000000004</v>
      </c>
      <c r="K18" s="88">
        <v>0.57099999999999995</v>
      </c>
      <c r="L18" s="88">
        <v>0.60599999999999998</v>
      </c>
      <c r="M18" s="89">
        <f t="shared" ref="M18:M25" si="0">IF(D18="",NA(),H18)</f>
        <v>0.55800000000000005</v>
      </c>
      <c r="N18" s="90">
        <f t="shared" ref="N18:N25" si="1">IF(D18="",NA(),I18)</f>
        <v>0.79200000000000004</v>
      </c>
      <c r="O18" s="90">
        <f t="shared" ref="O18:O25" si="2">IF(D18="",NA(),J18)</f>
        <v>0.54200000000000004</v>
      </c>
      <c r="P18" s="90">
        <f t="shared" ref="P18:P25" si="3">IF(D18="",NA(),K18)</f>
        <v>0.57099999999999995</v>
      </c>
      <c r="Q18" s="90">
        <f t="shared" ref="Q18:Q25" si="4">IF(D18="",NA(),L18)</f>
        <v>0.60599999999999998</v>
      </c>
      <c r="R18" s="91" t="str">
        <f ca="1">IFERROR(IF(D18=_xludf.AGGREGATE(5,6,$D$18:$D$25),"Vel ✓ ","")&amp;IF(E18=_xludf.AGGREGATE(5,6,$E$18:$E$25),"SD ✓ ","")&amp;IF(F18=_xludf.AGGREGATE(5,6,$F$18:$F$25),"MR ✓ ","")&amp;IF(G18=_xludf.AGGREGATE(5,6,$G$18:$G$25),"Vert ✓ ",""),"")</f>
        <v/>
      </c>
      <c r="T18" s="91">
        <v>41.5</v>
      </c>
      <c r="U18" s="91">
        <v>2715</v>
      </c>
    </row>
    <row r="19" spans="1:21" ht="15" customHeight="1">
      <c r="A19" s="92">
        <f>IFERROR(IF($B$100="window",'Powder Charge Log'!B18,IF('Powder Charge Log'!B17="","",'Powder Charge Log'!B17)),"")</f>
        <v>41.8</v>
      </c>
      <c r="B19" s="48"/>
      <c r="C19" s="48"/>
      <c r="D19" s="93">
        <v>2737</v>
      </c>
      <c r="E19" s="92">
        <v>7.8</v>
      </c>
      <c r="F19" s="94">
        <v>0.42</v>
      </c>
      <c r="G19" s="87">
        <v>0.26</v>
      </c>
      <c r="H19" s="88">
        <v>1</v>
      </c>
      <c r="I19" s="88">
        <v>1</v>
      </c>
      <c r="J19" s="88">
        <v>1</v>
      </c>
      <c r="K19" s="88">
        <v>1</v>
      </c>
      <c r="L19" s="88">
        <v>1</v>
      </c>
      <c r="M19" s="89">
        <f t="shared" si="0"/>
        <v>1</v>
      </c>
      <c r="N19" s="90">
        <f t="shared" si="1"/>
        <v>1</v>
      </c>
      <c r="O19" s="90">
        <f t="shared" si="2"/>
        <v>1</v>
      </c>
      <c r="P19" s="90">
        <f t="shared" si="3"/>
        <v>1</v>
      </c>
      <c r="Q19" s="90">
        <f t="shared" si="4"/>
        <v>1</v>
      </c>
      <c r="R19" s="91" t="str">
        <f ca="1">IFERROR(IF(D19=_xludf.AGGREGATE(5,6,$D$18:$D$25),"Vel ✓ ","")&amp;IF(E19=_xludf.AGGREGATE(5,6,$E$18:$E$25),"SD ✓ ","")&amp;IF(F19=_xludf.AGGREGATE(5,6,$F$18:$F$25),"MR ✓ ","")&amp;IF(G19=_xludf.AGGREGATE(5,6,$G$18:$G$25),"Vert ✓ ",""),"")</f>
        <v/>
      </c>
      <c r="T19" s="91">
        <v>41.8</v>
      </c>
      <c r="U19" s="91">
        <v>2737</v>
      </c>
    </row>
    <row r="20" spans="1:21" ht="15" customHeight="1">
      <c r="A20" s="85">
        <f>IFERROR(IF($B$100="window",'Powder Charge Log'!B19,IF('Powder Charge Log'!B18="","",'Powder Charge Log'!B18)),"")</f>
        <v>42.1</v>
      </c>
      <c r="B20" s="47"/>
      <c r="C20" s="47"/>
      <c r="D20" s="86">
        <v>2760</v>
      </c>
      <c r="E20" s="85">
        <v>6.4</v>
      </c>
      <c r="F20" s="87">
        <v>0.22</v>
      </c>
      <c r="G20" s="87">
        <v>0.14000000000000001</v>
      </c>
      <c r="H20" s="88">
        <v>0.16300000000000001</v>
      </c>
      <c r="I20" s="88">
        <v>0.73599999999999999</v>
      </c>
      <c r="J20" s="88">
        <v>0.16700000000000001</v>
      </c>
      <c r="K20" s="88">
        <v>0.14299999999999999</v>
      </c>
      <c r="L20" s="88">
        <v>0.27200000000000002</v>
      </c>
      <c r="M20" s="89">
        <f t="shared" si="0"/>
        <v>0.16300000000000001</v>
      </c>
      <c r="N20" s="90">
        <f t="shared" si="1"/>
        <v>0.73599999999999999</v>
      </c>
      <c r="O20" s="90">
        <f t="shared" si="2"/>
        <v>0.16700000000000001</v>
      </c>
      <c r="P20" s="90">
        <f t="shared" si="3"/>
        <v>0.14299999999999999</v>
      </c>
      <c r="Q20" s="90">
        <f t="shared" si="4"/>
        <v>0.27200000000000002</v>
      </c>
      <c r="R20" s="91" t="str">
        <f ca="1">IFERROR(IF(D20=_xludf.AGGREGATE(5,6,$D$18:$D$25),"Vel ✓ ","")&amp;IF(E20=_xludf.AGGREGATE(5,6,$E$18:$E$25),"SD ✓ ","")&amp;IF(F20=_xludf.AGGREGATE(5,6,$F$18:$F$25),"MR ✓ ","")&amp;IF(G20=_xludf.AGGREGATE(5,6,$G$18:$G$25),"Vert ✓ ",""),"")</f>
        <v/>
      </c>
      <c r="T20" s="91">
        <v>42.1</v>
      </c>
      <c r="U20" s="91">
        <v>2760</v>
      </c>
    </row>
    <row r="21" spans="1:21" ht="15" customHeight="1">
      <c r="A21" s="92">
        <f>IFERROR(IF($B$100="window",'Powder Charge Log'!B20,IF('Powder Charge Log'!B19="","",'Powder Charge Log'!B19)),"")</f>
        <v>42.4</v>
      </c>
      <c r="B21" s="48"/>
      <c r="C21" s="48"/>
      <c r="D21" s="93">
        <v>2780</v>
      </c>
      <c r="E21" s="92">
        <v>2.5</v>
      </c>
      <c r="F21" s="94">
        <v>0.18</v>
      </c>
      <c r="G21" s="87">
        <v>0.12</v>
      </c>
      <c r="H21" s="88">
        <v>1E-3</v>
      </c>
      <c r="I21" s="88">
        <v>1E-3</v>
      </c>
      <c r="J21" s="88">
        <v>1E-3</v>
      </c>
      <c r="K21" s="88">
        <v>1E-3</v>
      </c>
      <c r="L21" s="88">
        <v>1E-3</v>
      </c>
      <c r="M21" s="89">
        <f t="shared" si="0"/>
        <v>1E-3</v>
      </c>
      <c r="N21" s="90">
        <f t="shared" si="1"/>
        <v>1E-3</v>
      </c>
      <c r="O21" s="90">
        <f t="shared" si="2"/>
        <v>1E-3</v>
      </c>
      <c r="P21" s="90">
        <f t="shared" si="3"/>
        <v>1E-3</v>
      </c>
      <c r="Q21" s="90">
        <f t="shared" si="4"/>
        <v>1E-3</v>
      </c>
      <c r="R21" s="1" t="s">
        <v>113</v>
      </c>
      <c r="T21" s="91">
        <v>42.4</v>
      </c>
      <c r="U21" s="91">
        <v>2780</v>
      </c>
    </row>
    <row r="22" spans="1:21" ht="15" customHeight="1">
      <c r="A22" s="85">
        <f>IFERROR(IF($B$100="window",'Powder Charge Log'!B21,IF('Powder Charge Log'!B20="","",'Powder Charge Log'!B20)),"")</f>
        <v>42.7</v>
      </c>
      <c r="B22" s="47"/>
      <c r="C22" s="47"/>
      <c r="D22" s="86">
        <v>2803</v>
      </c>
      <c r="E22" s="85">
        <v>5.6</v>
      </c>
      <c r="F22" s="87">
        <v>0.28999999999999998</v>
      </c>
      <c r="G22" s="87">
        <v>0.18</v>
      </c>
      <c r="H22" s="88">
        <v>0.46500000000000002</v>
      </c>
      <c r="I22" s="88">
        <v>0.58499999999999996</v>
      </c>
      <c r="J22" s="88">
        <v>0.45800000000000002</v>
      </c>
      <c r="K22" s="88">
        <v>0.42899999999999999</v>
      </c>
      <c r="L22" s="88">
        <v>0.47699999999999998</v>
      </c>
      <c r="M22" s="89">
        <f t="shared" si="0"/>
        <v>0.46500000000000002</v>
      </c>
      <c r="N22" s="90">
        <f t="shared" si="1"/>
        <v>0.58499999999999996</v>
      </c>
      <c r="O22" s="90">
        <f t="shared" si="2"/>
        <v>0.45800000000000002</v>
      </c>
      <c r="P22" s="90">
        <f t="shared" si="3"/>
        <v>0.42899999999999999</v>
      </c>
      <c r="Q22" s="90">
        <f t="shared" si="4"/>
        <v>0.47699999999999998</v>
      </c>
      <c r="R22" s="91" t="str">
        <f ca="1">IFERROR(IF(D22=_xludf.AGGREGATE(5,6,$D$18:$D$25),"Vel ✓ ","")&amp;IF(E22=_xludf.AGGREGATE(5,6,$E$18:$E$25),"SD ✓ ","")&amp;IF(F22=_xludf.AGGREGATE(5,6,$F$18:$F$25),"MR ✓ ","")&amp;IF(G22=_xludf.AGGREGATE(5,6,$G$18:$G$25),"Vert ✓ ",""),"")</f>
        <v/>
      </c>
      <c r="T22" s="91">
        <v>42.7</v>
      </c>
      <c r="U22" s="91">
        <v>2803</v>
      </c>
    </row>
    <row r="23" spans="1:21" ht="15" customHeight="1">
      <c r="A23" s="85" t="str">
        <f>IFERROR(IF($B$100="window",'Powder Charge Log'!B22,IF('Powder Charge Log'!B21="","",'Powder Charge Log'!B21)),"")</f>
        <v/>
      </c>
      <c r="B23" s="85" t="str">
        <f>IFERROR(IF($B$100="window",'Powder Charge Log'!B21,""),"")</f>
        <v/>
      </c>
      <c r="C23" s="85" t="str">
        <f>IFERROR(IF($B$100="window",'Powder Charge Log'!B23,""),"")</f>
        <v/>
      </c>
      <c r="D23" s="86" t="e">
        <f>IF($B$100="window",IF(OR(A23="",B23="",C23=""),"",MAX('Powder Charge Log'!H21:H23)-MIN('Powder Charge Log'!H21:H23)),IF('Powder Charge Log'!H21="","",'Powder Charge Log'!H21))</f>
        <v>#N/A</v>
      </c>
      <c r="E23" s="85" t="e">
        <f>IF($B$100="window",IF(OR(A23="",B23="",C23=""),"",'Powder Charge Log'!J22),IF('Powder Charge Log'!J21="","",'Powder Charge Log'!J21))</f>
        <v>#N/A</v>
      </c>
      <c r="F23" s="87" t="str">
        <f>IF($B$100="window",IF(OR(A23="",B23="",C23=""),"",IFERROR(IF('Powder Charge Log'!N22="",'Powder Charge Log'!K22,'Powder Charge Log'!N22)/('Powder Charge Log'!$L$10/100)/1.047,"")),IFERROR(IF('Powder Charge Log'!N21="",'Powder Charge Log'!K21,'Powder Charge Log'!N21)/('Powder Charge Log'!$L$10/100)/1.047,""))</f>
        <v/>
      </c>
      <c r="G23" s="87" t="str">
        <f>IF($B$100="window",IF(OR(A23="",B23="",C23=""),"",IF('Powder Charge Log'!M22="",IF('Powder Charge Log'!L22="",F23,'Powder Charge Log'!L22/('Powder Charge Log'!$L$10/100)/1.047),'Powder Charge Log'!M22/('Powder Charge Log'!$L$10/100)/1.047)),IF('Powder Charge Log'!M21="",IF('Powder Charge Log'!L21="",F23,'Powder Charge Log'!L21/('Powder Charge Log'!$L$10/100)/1.047),'Powder Charge Log'!M21/('Powder Charge Log'!$L$10/100)/1.047))</f>
        <v/>
      </c>
      <c r="H23" s="88" t="e">
        <f>IF(D23="","",IFERROR((D23-_xludf.AGGREGATE(5,6,$D$18:$D$25))/(_xludf.AGGREGATE(4,6,$D$18:$D$25)-_xludf.AGGREGATE(5,6,$D$18:$D$25)),0))</f>
        <v>#N/A</v>
      </c>
      <c r="I23" s="88" t="e">
        <f>IF(E23="","",IFERROR((E23-_xludf.AGGREGATE(5,6,$E$18:$E$25))/(_xludf.AGGREGATE(4,6,$E$18:$E$25)-_xludf.AGGREGATE(5,6,$E$18:$E$25)),0))</f>
        <v>#N/A</v>
      </c>
      <c r="J23" s="88" t="str">
        <f>IF(F23="","",IFERROR((F23-_xludf.AGGREGATE(5,6,$F$18:$F$25))/(_xludf.AGGREGATE(4,6,$F$18:$F$25)-_xludf.AGGREGATE(5,6,$F$18:$F$25)),0))</f>
        <v/>
      </c>
      <c r="K23" s="88" t="str">
        <f>IF(G23="","",IFERROR((G23-_xludf.AGGREGATE(5,6,$G$18:$G$25))/(_xludf.AGGREGATE(4,6,$G$18:$G$25)-_xludf.AGGREGATE(5,6,$G$18:$G$25)),0))</f>
        <v/>
      </c>
      <c r="L23" s="88" t="str">
        <f>IF(A23="","",H23*$B$11+I23*$D$11+J23*$F$11+K23*$H$11)</f>
        <v/>
      </c>
      <c r="M23" s="89" t="e">
        <f t="shared" si="0"/>
        <v>#N/A</v>
      </c>
      <c r="N23" s="90" t="e">
        <f t="shared" si="1"/>
        <v>#N/A</v>
      </c>
      <c r="O23" s="90" t="e">
        <f t="shared" si="2"/>
        <v>#N/A</v>
      </c>
      <c r="P23" s="90" t="e">
        <f t="shared" si="3"/>
        <v>#N/A</v>
      </c>
      <c r="Q23" s="90" t="e">
        <f t="shared" si="4"/>
        <v>#N/A</v>
      </c>
      <c r="R23" s="91" t="str">
        <f ca="1">IFERROR(IF(D23=_xludf.AGGREGATE(5,6,$D$18:$D$25),"Vel ✓ ","")&amp;IF(E23=_xludf.AGGREGATE(5,6,$E$18:$E$25),"SD ✓ ","")&amp;IF(F23=_xludf.AGGREGATE(5,6,$F$18:$F$25),"MR ✓ ","")&amp;IF(G23=_xludf.AGGREGATE(5,6,$G$18:$G$25),"Vert ✓ ",""),"")</f>
        <v/>
      </c>
      <c r="T23" s="91" t="e">
        <f>NA()</f>
        <v>#N/A</v>
      </c>
      <c r="U23" s="91" t="e">
        <f>NA()</f>
        <v>#N/A</v>
      </c>
    </row>
    <row r="24" spans="1:21" ht="21.75" customHeight="1">
      <c r="A24" s="85" t="str">
        <f>IFERROR(IF($B$100="window",'Powder Charge Log'!B23,IF('Powder Charge Log'!B22="","",'Powder Charge Log'!B22)),"")</f>
        <v/>
      </c>
      <c r="B24" s="85" t="str">
        <f>IFERROR(IF($B$100="window",'Powder Charge Log'!B22,""),"")</f>
        <v/>
      </c>
      <c r="C24" s="85" t="str">
        <f>IFERROR(IF($B$100="window",'Powder Charge Log'!B24,""),"")</f>
        <v/>
      </c>
      <c r="D24" s="86" t="e">
        <f>IF($B$100="window",IF(OR(A24="",B24="",C24=""),"",MAX('Powder Charge Log'!H22:H24)-MIN('Powder Charge Log'!H22:H24)),IF('Powder Charge Log'!H22="","",'Powder Charge Log'!H22))</f>
        <v>#N/A</v>
      </c>
      <c r="E24" s="85" t="e">
        <f>IF($B$100="window",IF(OR(A24="",B24="",C24=""),"",'Powder Charge Log'!J23),IF('Powder Charge Log'!J22="","",'Powder Charge Log'!J22))</f>
        <v>#N/A</v>
      </c>
      <c r="F24" s="87" t="str">
        <f>IF($B$100="window",IF(OR(A24="",B24="",C24=""),"",IFERROR(IF('Powder Charge Log'!N23="",'Powder Charge Log'!K23,'Powder Charge Log'!N23)/('Powder Charge Log'!$L$10/100)/1.047,"")),IFERROR(IF('Powder Charge Log'!N22="",'Powder Charge Log'!K22,'Powder Charge Log'!N22)/('Powder Charge Log'!$L$10/100)/1.047,""))</f>
        <v/>
      </c>
      <c r="G24" s="87" t="str">
        <f>IF($B$100="window",IF(OR(A24="",B24="",C24=""),"",IF('Powder Charge Log'!M23="",IF('Powder Charge Log'!L23="",F24,'Powder Charge Log'!L23/('Powder Charge Log'!$L$10/100)/1.047),'Powder Charge Log'!M23/('Powder Charge Log'!$L$10/100)/1.047)),IF('Powder Charge Log'!M22="",IF('Powder Charge Log'!L22="",F24,'Powder Charge Log'!L22/('Powder Charge Log'!$L$10/100)/1.047),'Powder Charge Log'!M22/('Powder Charge Log'!$L$10/100)/1.047))</f>
        <v/>
      </c>
      <c r="H24" s="88" t="e">
        <f>IF(D24="","",IFERROR((D24-_xludf.AGGREGATE(5,6,$D$18:$D$25))/(_xludf.AGGREGATE(4,6,$D$18:$D$25)-_xludf.AGGREGATE(5,6,$D$18:$D$25)),0))</f>
        <v>#N/A</v>
      </c>
      <c r="I24" s="88" t="e">
        <f>IF(E24="","",IFERROR((E24-_xludf.AGGREGATE(5,6,$E$18:$E$25))/(_xludf.AGGREGATE(4,6,$E$18:$E$25)-_xludf.AGGREGATE(5,6,$E$18:$E$25)),0))</f>
        <v>#N/A</v>
      </c>
      <c r="J24" s="88" t="str">
        <f>IF(F24="","",IFERROR((F24-_xludf.AGGREGATE(5,6,$F$18:$F$25))/(_xludf.AGGREGATE(4,6,$F$18:$F$25)-_xludf.AGGREGATE(5,6,$F$18:$F$25)),0))</f>
        <v/>
      </c>
      <c r="K24" s="88" t="str">
        <f>IF(G24="","",IFERROR((G24-_xludf.AGGREGATE(5,6,$G$18:$G$25))/(_xludf.AGGREGATE(4,6,$G$18:$G$25)-_xludf.AGGREGATE(5,6,$G$18:$G$25)),0))</f>
        <v/>
      </c>
      <c r="L24" s="88" t="str">
        <f>IF(A24="","",H24*$B$11+I24*$D$11+J24*$F$11+K24*$H$11)</f>
        <v/>
      </c>
      <c r="M24" s="89" t="e">
        <f t="shared" si="0"/>
        <v>#N/A</v>
      </c>
      <c r="N24" s="95" t="e">
        <f t="shared" si="1"/>
        <v>#N/A</v>
      </c>
      <c r="O24" s="95" t="e">
        <f t="shared" si="2"/>
        <v>#N/A</v>
      </c>
      <c r="P24" s="95" t="e">
        <f t="shared" si="3"/>
        <v>#N/A</v>
      </c>
      <c r="Q24" s="95" t="e">
        <f t="shared" si="4"/>
        <v>#N/A</v>
      </c>
      <c r="R24" s="91" t="str">
        <f ca="1">IFERROR(IF(D24=_xludf.AGGREGATE(5,6,$D$18:$D$25),"Vel ✓ ","")&amp;IF(E24=_xludf.AGGREGATE(5,6,$E$18:$E$25),"SD ✓ ","")&amp;IF(F24=_xludf.AGGREGATE(5,6,$F$18:$F$25),"MR ✓ ","")&amp;IF(G24=_xludf.AGGREGATE(5,6,$G$18:$G$25),"Vert ✓ ",""),"")</f>
        <v/>
      </c>
      <c r="S24" s="17"/>
      <c r="T24" s="91" t="e">
        <f>NA()</f>
        <v>#N/A</v>
      </c>
      <c r="U24" s="91" t="e">
        <f>NA()</f>
        <v>#N/A</v>
      </c>
    </row>
    <row r="25" spans="1:21" ht="15" customHeight="1">
      <c r="A25" s="85" t="str">
        <f>IFERROR(IF($B$100="window",'Powder Charge Log'!B24,IF('Powder Charge Log'!B23="","",'Powder Charge Log'!B23)),"")</f>
        <v/>
      </c>
      <c r="B25" s="85" t="str">
        <f>IFERROR(IF($B$100="window",'Powder Charge Log'!B23,""),"")</f>
        <v/>
      </c>
      <c r="C25" s="85" t="str">
        <f>IFERROR(IF($B$100="window",'Powder Charge Log'!B25,""),"")</f>
        <v/>
      </c>
      <c r="D25" s="86" t="e">
        <f>IF($B$100="window",IF(OR(A25="",B25="",C25=""),"",MAX('Powder Charge Log'!H23:H25)-MIN('Powder Charge Log'!H23:H25)),IF('Powder Charge Log'!H23="","",'Powder Charge Log'!H23))</f>
        <v>#N/A</v>
      </c>
      <c r="E25" s="85" t="e">
        <f>IF($B$100="window",IF(OR(A25="",B25="",C25=""),"",'Powder Charge Log'!J24),IF('Powder Charge Log'!J23="","",'Powder Charge Log'!J23))</f>
        <v>#N/A</v>
      </c>
      <c r="F25" s="87" t="str">
        <f>IF($B$100="window",IF(OR(A25="",B25="",C25=""),"",IFERROR(IF('Powder Charge Log'!N24="",'Powder Charge Log'!K24,'Powder Charge Log'!N24)/('Powder Charge Log'!$L$10/100)/1.047,"")),IFERROR(IF('Powder Charge Log'!N23="",'Powder Charge Log'!K23,'Powder Charge Log'!N23)/('Powder Charge Log'!$L$10/100)/1.047,""))</f>
        <v/>
      </c>
      <c r="G25" s="87" t="str">
        <f>IF($B$100="window",IF(OR(A25="",B25="",C25=""),"",IF('Powder Charge Log'!M24="",IF('Powder Charge Log'!L24="",F25,'Powder Charge Log'!L24/('Powder Charge Log'!$L$10/100)/1.047),'Powder Charge Log'!M24/('Powder Charge Log'!$L$10/100)/1.047)),IF('Powder Charge Log'!M23="",IF('Powder Charge Log'!L23="",F25,'Powder Charge Log'!L23/('Powder Charge Log'!$L$10/100)/1.047),'Powder Charge Log'!M23/('Powder Charge Log'!$L$10/100)/1.047))</f>
        <v/>
      </c>
      <c r="H25" s="88" t="e">
        <f>IF(D25="","",IFERROR((D25-_xludf.AGGREGATE(5,6,$D$18:$D$25))/(_xludf.AGGREGATE(4,6,$D$18:$D$25)-_xludf.AGGREGATE(5,6,$D$18:$D$25)),0))</f>
        <v>#N/A</v>
      </c>
      <c r="I25" s="88" t="e">
        <f>IF(E25="","",IFERROR((E25-_xludf.AGGREGATE(5,6,$E$18:$E$25))/(_xludf.AGGREGATE(4,6,$E$18:$E$25)-_xludf.AGGREGATE(5,6,$E$18:$E$25)),0))</f>
        <v>#N/A</v>
      </c>
      <c r="J25" s="88" t="str">
        <f>IF(F25="","",IFERROR((F25-_xludf.AGGREGATE(5,6,$F$18:$F$25))/(_xludf.AGGREGATE(4,6,$F$18:$F$25)-_xludf.AGGREGATE(5,6,$F$18:$F$25)),0))</f>
        <v/>
      </c>
      <c r="K25" s="88" t="str">
        <f>IF(G25="","",IFERROR((G25-_xludf.AGGREGATE(5,6,$G$18:$G$25))/(_xludf.AGGREGATE(4,6,$G$18:$G$25)-_xludf.AGGREGATE(5,6,$G$18:$G$25)),0))</f>
        <v/>
      </c>
      <c r="L25" s="88" t="str">
        <f>IF(A25="","",H25*$B$11+I25*$D$11+J25*$F$11+K25*$H$11)</f>
        <v/>
      </c>
      <c r="M25" s="89" t="e">
        <f t="shared" si="0"/>
        <v>#N/A</v>
      </c>
      <c r="N25" s="90" t="e">
        <f t="shared" si="1"/>
        <v>#N/A</v>
      </c>
      <c r="O25" s="90" t="e">
        <f t="shared" si="2"/>
        <v>#N/A</v>
      </c>
      <c r="P25" s="90" t="e">
        <f t="shared" si="3"/>
        <v>#N/A</v>
      </c>
      <c r="Q25" s="90" t="e">
        <f t="shared" si="4"/>
        <v>#N/A</v>
      </c>
      <c r="R25" s="91" t="str">
        <f ca="1">IFERROR(IF(D25=_xludf.AGGREGATE(5,6,$D$18:$D$25),"Vel ✓ ","")&amp;IF(E25=_xludf.AGGREGATE(5,6,$E$18:$E$25),"SD ✓ ","")&amp;IF(F25=_xludf.AGGREGATE(5,6,$F$18:$F$25),"MR ✓ ","")&amp;IF(G25=_xludf.AGGREGATE(5,6,$G$18:$G$25),"Vert ✓ ",""),"")</f>
        <v/>
      </c>
      <c r="T25" s="91" t="e">
        <f>NA()</f>
        <v>#N/A</v>
      </c>
      <c r="U25" s="91" t="e">
        <f>NA()</f>
        <v>#N/A</v>
      </c>
    </row>
    <row r="26" spans="1:21" ht="15.75" customHeight="1"/>
    <row r="27" spans="1:21" ht="21.75" customHeight="1">
      <c r="A27" s="192" t="s">
        <v>107</v>
      </c>
      <c r="B27" s="169"/>
      <c r="C27" s="154"/>
      <c r="D27" s="169"/>
      <c r="E27" s="169"/>
      <c r="F27" s="154"/>
      <c r="G27" s="154"/>
      <c r="H27" s="169"/>
      <c r="I27" s="154"/>
      <c r="J27" s="154"/>
      <c r="K27" s="154"/>
      <c r="L27" s="169"/>
      <c r="M27" s="169"/>
    </row>
    <row r="28" spans="1:21" ht="15.75" customHeight="1"/>
    <row r="29" spans="1:21" ht="15.75" customHeight="1"/>
    <row r="30" spans="1:21" ht="15.75" customHeight="1"/>
    <row r="31" spans="1:21" ht="15.75" customHeight="1"/>
    <row r="32" spans="1:2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spans="1:2" ht="15.75" customHeight="1"/>
    <row r="98" spans="1:2" ht="15.75" customHeight="1"/>
    <row r="99" spans="1:2" ht="15.75" customHeight="1"/>
    <row r="100" spans="1:2" ht="15.75" hidden="1" customHeight="1">
      <c r="A100" s="46" t="s">
        <v>142</v>
      </c>
      <c r="B100" s="46" t="s">
        <v>143</v>
      </c>
    </row>
    <row r="101" spans="1:2" ht="15.75" customHeight="1"/>
    <row r="102" spans="1:2" ht="15.75" customHeight="1"/>
    <row r="103" spans="1:2" ht="15.75" customHeight="1"/>
    <row r="104" spans="1:2" ht="15.75" customHeight="1"/>
    <row r="105" spans="1:2" ht="15.75" customHeight="1"/>
    <row r="106" spans="1:2" ht="15.75" customHeight="1"/>
    <row r="107" spans="1:2" ht="15.75" customHeight="1"/>
    <row r="108" spans="1:2" ht="15.75" customHeight="1"/>
    <row r="109" spans="1:2" ht="15.75" customHeight="1"/>
    <row r="110" spans="1:2" ht="15.75" customHeight="1"/>
    <row r="111" spans="1:2" ht="15.75" customHeight="1"/>
    <row r="112" spans="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sheet="1" formatCells="0" formatColumns="0" formatRows="0" sort="0" autoFilter="0"/>
  <mergeCells count="9">
    <mergeCell ref="A10:L10"/>
    <mergeCell ref="A1:M1"/>
    <mergeCell ref="A27:M27"/>
    <mergeCell ref="A7:K7"/>
    <mergeCell ref="B3:C5"/>
    <mergeCell ref="A3:A5"/>
    <mergeCell ref="A6:L6"/>
    <mergeCell ref="A12:L12"/>
    <mergeCell ref="A8:K8"/>
  </mergeCells>
  <conditionalFormatting sqref="J18:J25">
    <cfRule type="colorScale" priority="2">
      <colorScale>
        <cfvo type="min"/>
        <cfvo type="percentile" val="50"/>
        <cfvo type="max"/>
        <color rgb="FF63BE7B"/>
        <color rgb="FFFFEB84"/>
        <color rgb="FFF8696B"/>
      </colorScale>
    </cfRule>
  </conditionalFormatting>
  <conditionalFormatting sqref="L18:L25">
    <cfRule type="colorScale" priority="3">
      <colorScale>
        <cfvo type="min"/>
        <cfvo type="percentile" val="50"/>
        <cfvo type="max"/>
        <color rgb="FF63BE7B"/>
        <color rgb="FFFFEB84"/>
        <color rgb="FFF8696B"/>
      </colorScale>
    </cfRule>
  </conditionalFormatting>
  <conditionalFormatting sqref="A3:L5">
    <cfRule type="expression" dxfId="3" priority="4">
      <formula>ISNA(INDIRECT(ADDRESS(ROW(),COLUMN())))</formula>
    </cfRule>
  </conditionalFormatting>
  <conditionalFormatting sqref="A17:Q25">
    <cfRule type="expression" dxfId="2" priority="5">
      <formula>ISNA(INDIRECT(ADDRESS(ROW(),COLUMN())))</formula>
    </cfRule>
  </conditionalFormatting>
  <conditionalFormatting sqref="D18:D25">
    <cfRule type="colorScale" priority="100">
      <colorScale>
        <cfvo type="min"/>
        <cfvo type="percentile" val="50"/>
        <cfvo type="max"/>
        <color rgb="FF63BE7B"/>
        <color rgb="FFFFEB84"/>
        <color rgb="FFF8696B"/>
      </colorScale>
    </cfRule>
  </conditionalFormatting>
  <conditionalFormatting sqref="E18:E25">
    <cfRule type="colorScale" priority="101">
      <colorScale>
        <cfvo type="min"/>
        <cfvo type="percentile" val="50"/>
        <cfvo type="max"/>
        <color rgb="FF63BE7B"/>
        <color rgb="FFFFEB84"/>
        <color rgb="FFF8696B"/>
      </colorScale>
    </cfRule>
  </conditionalFormatting>
  <conditionalFormatting sqref="F18:F25">
    <cfRule type="colorScale" priority="102">
      <colorScale>
        <cfvo type="min"/>
        <cfvo type="percentile" val="50"/>
        <cfvo type="max"/>
        <color rgb="FF63BE7B"/>
        <color rgb="FFFFEB84"/>
        <color rgb="FFF8696B"/>
      </colorScale>
    </cfRule>
  </conditionalFormatting>
  <conditionalFormatting sqref="G18:G25">
    <cfRule type="colorScale" priority="103">
      <colorScale>
        <cfvo type="min"/>
        <cfvo type="percentile" val="50"/>
        <cfvo type="max"/>
        <color rgb="FF63BE7B"/>
        <color rgb="FFFFEB84"/>
        <color rgb="FFF8696B"/>
      </colorScale>
    </cfRule>
  </conditionalFormatting>
  <conditionalFormatting sqref="H18:H25">
    <cfRule type="colorScale" priority="110">
      <colorScale>
        <cfvo type="min"/>
        <cfvo type="percentile" val="50"/>
        <cfvo type="max"/>
        <color rgb="FF63BE7B"/>
        <color rgb="FFFFEB84"/>
        <color rgb="FFF8696B"/>
      </colorScale>
    </cfRule>
  </conditionalFormatting>
  <conditionalFormatting sqref="I18:I25">
    <cfRule type="colorScale" priority="111">
      <colorScale>
        <cfvo type="min"/>
        <cfvo type="percentile" val="50"/>
        <cfvo type="max"/>
        <color rgb="FF63BE7B"/>
        <color rgb="FFFFEB84"/>
        <color rgb="FFF8696B"/>
      </colorScale>
    </cfRule>
  </conditionalFormatting>
  <conditionalFormatting sqref="K18:K25">
    <cfRule type="colorScale" priority="112">
      <colorScale>
        <cfvo type="min"/>
        <cfvo type="percentile" val="50"/>
        <cfvo type="max"/>
        <color rgb="FF63BE7B"/>
        <color rgb="FFFFEB84"/>
        <color rgb="FFF8696B"/>
      </colorScale>
    </cfRule>
  </conditionalFormatting>
  <hyperlinks>
    <hyperlink ref="A6" r:id="rId1" display="Save Suggested Load to Library" xr:uid="{00000000-0004-0000-0200-000000000000}"/>
    <hyperlink ref="A12" r:id="rId2" display="Click to reset to Loadscope defaults" xr:uid="{00000000-0004-0000-0200-000001000000}"/>
    <hyperlink ref="A14" r:id="rId3" xr:uid="{00000000-0004-0000-0200-000002000000}"/>
  </hyperlinks>
  <printOptions horizontalCentered="1"/>
  <pageMargins left="0.25" right="0.25" top="0.5" bottom="0.5" header="0.25" footer="0.25"/>
  <pageSetup orientation="landscape" horizontalDpi="300" verticalDpi="300"/>
  <headerFooter>
    <oddHeader>&amp;L&amp;"Calibri,Italic"&amp;8 &amp;"Calibri,Italic"&amp;8 &amp;F&amp;C&amp;"Calibri,Bold"&amp;10 &amp;"Calibri,Bold"&amp;10 &amp;A&amp;R&amp;"Calibri,Italic"&amp;8 &amp;"Calibri,Italic"&amp;8 Page &amp;P of &amp;N</oddHeader>
    <oddFooter>&amp;LRifle Load Development Log&amp;RPage &amp;P of</oddFooter>
  </headerFooter>
  <drawing r:id="rId4"/>
  <legacy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L1000"/>
  <sheetViews>
    <sheetView zoomScaleNormal="100" workbookViewId="0"/>
  </sheetViews>
  <sheetFormatPr baseColWidth="10" defaultColWidth="14.5" defaultRowHeight="15" customHeight="1"/>
  <cols>
    <col min="1" max="1" width="16" style="1" customWidth="1"/>
    <col min="2" max="2" width="10" style="2" customWidth="1"/>
    <col min="3" max="3" width="8" style="2" customWidth="1"/>
    <col min="4" max="5" width="7" style="2" customWidth="1"/>
    <col min="6" max="7" width="9" style="2" customWidth="1"/>
    <col min="8" max="8" width="7" style="2" customWidth="1"/>
    <col min="9" max="9" width="8" style="2" customWidth="1"/>
    <col min="10" max="10" width="6" style="2" customWidth="1"/>
    <col min="11" max="11" width="12" style="1" customWidth="1"/>
    <col min="12" max="12" width="10" style="2" customWidth="1"/>
    <col min="13" max="13" width="8" style="1" customWidth="1"/>
    <col min="14" max="14" width="14" style="1" customWidth="1"/>
    <col min="15" max="15" width="8" style="1" customWidth="1"/>
    <col min="16" max="16" width="15" style="2" customWidth="1"/>
    <col min="17" max="37" width="8.5" style="1" customWidth="1"/>
  </cols>
  <sheetData>
    <row r="1" spans="1:38" ht="31.5" customHeight="1">
      <c r="A1" s="176" t="s">
        <v>144</v>
      </c>
      <c r="B1" s="154"/>
      <c r="C1" s="154"/>
      <c r="D1" s="154"/>
      <c r="E1" s="154"/>
      <c r="F1" s="154"/>
      <c r="G1" s="154"/>
      <c r="H1" s="154"/>
      <c r="I1" s="154"/>
      <c r="J1" s="154"/>
      <c r="K1" s="169"/>
      <c r="L1" s="154"/>
      <c r="M1" s="169"/>
      <c r="N1" s="169"/>
      <c r="O1" s="169"/>
      <c r="P1" s="154"/>
      <c r="Q1" s="42"/>
      <c r="R1" s="4"/>
      <c r="S1" s="4"/>
      <c r="T1" s="4"/>
      <c r="U1" s="4"/>
      <c r="V1" s="4"/>
      <c r="W1" s="4"/>
      <c r="X1" s="4"/>
      <c r="Y1" s="4"/>
      <c r="Z1" s="4"/>
      <c r="AA1" s="4"/>
      <c r="AB1" s="4"/>
      <c r="AC1" s="4"/>
      <c r="AD1" s="4"/>
      <c r="AE1" s="4"/>
      <c r="AF1" s="4"/>
      <c r="AG1" s="4"/>
      <c r="AH1" s="4"/>
      <c r="AI1" s="4"/>
      <c r="AJ1" s="4"/>
      <c r="AK1" s="4"/>
      <c r="AL1" s="4"/>
    </row>
    <row r="2" spans="1:38" ht="38" customHeight="1">
      <c r="A2" s="184" t="s">
        <v>145</v>
      </c>
      <c r="B2" s="154"/>
      <c r="C2" s="154"/>
      <c r="D2" s="206">
        <v>3.5000000000000003E-2</v>
      </c>
      <c r="E2" s="154"/>
      <c r="F2" s="52" t="s">
        <v>146</v>
      </c>
      <c r="G2" s="188">
        <v>2780.6</v>
      </c>
      <c r="H2" s="154"/>
      <c r="I2" s="52" t="s">
        <v>53</v>
      </c>
      <c r="J2" s="53">
        <v>0.8</v>
      </c>
      <c r="K2" s="52" t="s">
        <v>54</v>
      </c>
      <c r="L2" s="54">
        <v>0.16</v>
      </c>
      <c r="M2" s="96" t="s">
        <v>147</v>
      </c>
      <c r="N2" s="54">
        <v>0.1</v>
      </c>
      <c r="O2" s="180" t="s">
        <v>55</v>
      </c>
      <c r="P2" s="154"/>
      <c r="Q2" s="4"/>
      <c r="R2" s="4"/>
      <c r="S2" s="4"/>
      <c r="T2" s="4"/>
      <c r="U2" s="4"/>
      <c r="V2" s="4"/>
      <c r="W2" s="4"/>
      <c r="X2" s="4"/>
      <c r="Y2" s="4"/>
      <c r="Z2" s="4"/>
      <c r="AA2" s="4"/>
      <c r="AB2" s="4"/>
      <c r="AC2" s="4"/>
      <c r="AD2" s="4"/>
      <c r="AE2" s="4"/>
      <c r="AF2" s="4"/>
      <c r="AG2" s="4"/>
      <c r="AH2" s="4"/>
      <c r="AI2" s="4"/>
      <c r="AJ2" s="4"/>
      <c r="AK2" s="4"/>
      <c r="AL2" s="4"/>
    </row>
    <row r="3" spans="1:38" ht="24" customHeight="1">
      <c r="A3" s="171" t="s">
        <v>56</v>
      </c>
      <c r="B3" s="154"/>
      <c r="C3" s="154"/>
      <c r="D3" s="154"/>
      <c r="E3" s="154"/>
      <c r="F3" s="154"/>
      <c r="G3" s="154"/>
      <c r="H3" s="154"/>
      <c r="I3" s="154"/>
      <c r="J3" s="154"/>
      <c r="K3" s="169"/>
      <c r="L3" s="154"/>
      <c r="M3" s="169"/>
      <c r="N3" s="169"/>
      <c r="O3" s="169"/>
      <c r="P3" s="154"/>
      <c r="Q3" s="4"/>
      <c r="R3" s="4"/>
      <c r="S3" s="4"/>
      <c r="T3" s="4"/>
      <c r="U3" s="4"/>
      <c r="V3" s="4"/>
      <c r="W3" s="4"/>
      <c r="X3" s="4"/>
      <c r="Y3" s="4"/>
      <c r="Z3" s="4"/>
      <c r="AA3" s="4"/>
      <c r="AB3" s="4"/>
      <c r="AC3" s="4"/>
      <c r="AD3" s="4"/>
      <c r="AE3" s="4"/>
      <c r="AF3" s="4"/>
      <c r="AG3" s="4"/>
      <c r="AH3" s="4"/>
      <c r="AI3" s="4"/>
      <c r="AJ3" s="4"/>
      <c r="AK3" s="4"/>
      <c r="AL3" s="4"/>
    </row>
    <row r="4" spans="1:38" ht="24" customHeight="1">
      <c r="A4" s="189" t="s">
        <v>57</v>
      </c>
      <c r="B4" s="154"/>
      <c r="C4" s="154"/>
      <c r="D4" s="154"/>
      <c r="E4" s="154"/>
      <c r="F4" s="154"/>
      <c r="G4" s="154"/>
      <c r="H4" s="154"/>
      <c r="I4" s="154"/>
      <c r="J4" s="154"/>
      <c r="K4" s="169"/>
      <c r="L4" s="154"/>
      <c r="M4" s="169"/>
      <c r="N4" s="169"/>
      <c r="O4" s="169"/>
      <c r="P4" s="154"/>
      <c r="Q4" s="4"/>
      <c r="R4" s="4"/>
      <c r="S4" s="4"/>
      <c r="T4" s="4"/>
      <c r="U4" s="4"/>
      <c r="V4" s="4"/>
      <c r="W4" s="4"/>
      <c r="X4" s="4"/>
      <c r="Y4" s="4"/>
      <c r="Z4" s="4"/>
      <c r="AA4" s="4"/>
      <c r="AB4" s="4"/>
      <c r="AC4" s="4"/>
      <c r="AD4" s="4"/>
      <c r="AE4" s="4"/>
      <c r="AF4" s="4"/>
      <c r="AG4" s="4"/>
      <c r="AH4" s="4"/>
      <c r="AI4" s="4"/>
      <c r="AJ4" s="4"/>
      <c r="AK4" s="4"/>
      <c r="AL4" s="4"/>
    </row>
    <row r="5" spans="1:38" ht="31.5" customHeight="1">
      <c r="A5" s="5" t="s">
        <v>58</v>
      </c>
      <c r="B5" s="175" t="s">
        <v>59</v>
      </c>
      <c r="C5" s="173"/>
      <c r="D5" s="173"/>
      <c r="E5" s="174"/>
      <c r="F5" s="5" t="s">
        <v>60</v>
      </c>
      <c r="G5" s="175" t="s">
        <v>61</v>
      </c>
      <c r="H5" s="173"/>
      <c r="I5" s="173"/>
      <c r="J5" s="174"/>
      <c r="K5" s="5" t="s">
        <v>62</v>
      </c>
      <c r="L5" s="175" t="s">
        <v>63</v>
      </c>
      <c r="M5" s="173"/>
      <c r="N5" s="173"/>
      <c r="O5" s="173"/>
      <c r="P5" s="174"/>
      <c r="Q5" s="4"/>
      <c r="R5" s="4"/>
      <c r="S5" s="4"/>
      <c r="T5" s="4"/>
      <c r="U5" s="4"/>
      <c r="V5" s="4"/>
      <c r="W5" s="4"/>
      <c r="X5" s="4"/>
      <c r="Y5" s="4"/>
      <c r="Z5" s="4"/>
      <c r="AA5" s="4"/>
      <c r="AB5" s="4"/>
      <c r="AC5" s="4"/>
      <c r="AD5" s="4"/>
      <c r="AE5" s="4"/>
      <c r="AF5" s="4"/>
      <c r="AG5" s="4"/>
      <c r="AH5" s="4"/>
      <c r="AI5" s="4"/>
      <c r="AJ5" s="4"/>
      <c r="AK5" s="4"/>
      <c r="AL5" s="4"/>
    </row>
    <row r="6" spans="1:38" ht="31.5" customHeight="1">
      <c r="A6" s="5" t="s">
        <v>64</v>
      </c>
      <c r="B6" s="175" t="s">
        <v>65</v>
      </c>
      <c r="C6" s="173"/>
      <c r="D6" s="173"/>
      <c r="E6" s="174"/>
      <c r="F6" s="5" t="s">
        <v>66</v>
      </c>
      <c r="G6" s="175" t="s">
        <v>67</v>
      </c>
      <c r="H6" s="173"/>
      <c r="I6" s="173"/>
      <c r="J6" s="174"/>
      <c r="K6" s="5" t="s">
        <v>68</v>
      </c>
      <c r="L6" s="175" t="s">
        <v>69</v>
      </c>
      <c r="M6" s="173"/>
      <c r="N6" s="173"/>
      <c r="O6" s="173"/>
      <c r="P6" s="174"/>
      <c r="Q6" s="4"/>
      <c r="R6" s="4"/>
      <c r="S6" s="4"/>
      <c r="T6" s="4"/>
      <c r="U6" s="4"/>
      <c r="V6" s="4"/>
      <c r="W6" s="4"/>
      <c r="X6" s="4"/>
      <c r="Y6" s="4"/>
      <c r="Z6" s="4"/>
      <c r="AA6" s="4"/>
      <c r="AB6" s="4"/>
      <c r="AC6" s="4"/>
      <c r="AD6" s="4"/>
      <c r="AE6" s="4"/>
      <c r="AF6" s="4"/>
      <c r="AG6" s="4"/>
      <c r="AH6" s="4"/>
      <c r="AI6" s="4"/>
      <c r="AJ6" s="4"/>
      <c r="AK6" s="4"/>
      <c r="AL6" s="4"/>
    </row>
    <row r="7" spans="1:38" ht="31.5" customHeight="1">
      <c r="A7" s="4"/>
      <c r="B7" s="4"/>
      <c r="C7" s="4"/>
      <c r="D7" s="4"/>
      <c r="E7" s="4"/>
      <c r="F7" s="55" t="s">
        <v>70</v>
      </c>
      <c r="G7" s="178" t="s">
        <v>71</v>
      </c>
      <c r="H7" s="179"/>
      <c r="I7" s="179"/>
      <c r="J7" s="179"/>
      <c r="K7" s="4"/>
      <c r="L7" s="4"/>
      <c r="M7" s="4"/>
      <c r="N7" s="4"/>
      <c r="O7" s="4"/>
      <c r="P7" s="4"/>
      <c r="Q7" s="4"/>
      <c r="R7" s="4"/>
      <c r="S7" s="4"/>
      <c r="T7" s="4"/>
      <c r="U7" s="4"/>
      <c r="V7" s="4"/>
      <c r="W7" s="4"/>
      <c r="X7" s="4"/>
      <c r="Y7" s="4"/>
      <c r="Z7" s="4"/>
      <c r="AA7" s="4"/>
      <c r="AB7" s="4"/>
      <c r="AC7" s="4"/>
      <c r="AD7" s="4"/>
      <c r="AE7" s="4"/>
      <c r="AF7" s="4"/>
      <c r="AG7" s="4"/>
      <c r="AH7" s="4"/>
      <c r="AI7" s="4"/>
      <c r="AJ7" s="4"/>
      <c r="AK7" s="4"/>
      <c r="AL7" s="4"/>
    </row>
    <row r="8" spans="1:38" ht="24" customHeight="1">
      <c r="A8" s="170" t="s">
        <v>148</v>
      </c>
      <c r="B8" s="154"/>
      <c r="C8" s="154"/>
      <c r="D8" s="154"/>
      <c r="E8" s="154"/>
      <c r="F8" s="154"/>
      <c r="G8" s="154"/>
      <c r="H8" s="154"/>
      <c r="I8" s="154"/>
      <c r="J8" s="154"/>
      <c r="K8" s="169"/>
      <c r="L8" s="154"/>
      <c r="M8" s="169"/>
      <c r="N8" s="169"/>
      <c r="O8" s="169"/>
      <c r="P8" s="154"/>
      <c r="Q8" s="4"/>
      <c r="R8" s="4"/>
      <c r="S8" s="4"/>
      <c r="T8" s="4"/>
      <c r="U8" s="4"/>
      <c r="V8" s="4"/>
      <c r="W8" s="4"/>
      <c r="X8" s="4"/>
      <c r="Y8" s="4"/>
      <c r="Z8" s="4"/>
      <c r="AA8" s="4"/>
      <c r="AB8" s="4"/>
      <c r="AC8" s="4"/>
      <c r="AD8" s="4"/>
      <c r="AE8" s="4"/>
      <c r="AF8" s="4"/>
      <c r="AG8" s="4"/>
      <c r="AH8" s="4"/>
      <c r="AI8" s="4"/>
      <c r="AJ8" s="4"/>
      <c r="AK8" s="4"/>
      <c r="AL8" s="4"/>
    </row>
    <row r="9" spans="1:38" ht="31.5" customHeight="1">
      <c r="A9" s="6" t="s">
        <v>73</v>
      </c>
      <c r="B9" s="182" t="s">
        <v>74</v>
      </c>
      <c r="C9" s="173"/>
      <c r="D9" s="173"/>
      <c r="E9" s="174"/>
      <c r="F9" s="6" t="s">
        <v>75</v>
      </c>
      <c r="G9" s="182" t="str">
        <f>IFERROR(LOOKUP(2,1/(GarminSessions!$C$2:$C$200&lt;&gt;""),GarminSessions!$C$2:$C$200),"")</f>
        <v>H4350</v>
      </c>
      <c r="H9" s="173"/>
      <c r="I9" s="173"/>
      <c r="J9" s="174"/>
      <c r="K9" s="6" t="s">
        <v>76</v>
      </c>
      <c r="L9" s="182" t="s">
        <v>77</v>
      </c>
      <c r="M9" s="174"/>
      <c r="N9" s="6" t="s">
        <v>78</v>
      </c>
      <c r="O9" s="182" t="s">
        <v>79</v>
      </c>
      <c r="P9" s="174"/>
      <c r="Q9" s="4"/>
      <c r="R9" s="4"/>
      <c r="S9" s="4"/>
      <c r="T9" s="4"/>
      <c r="U9" s="4"/>
      <c r="V9" s="4"/>
      <c r="W9" s="4"/>
      <c r="X9" s="4"/>
      <c r="Y9" s="4"/>
      <c r="Z9" s="4"/>
      <c r="AA9" s="4"/>
      <c r="AB9" s="4"/>
      <c r="AC9" s="4"/>
      <c r="AD9" s="4"/>
      <c r="AE9" s="4"/>
      <c r="AF9" s="4"/>
      <c r="AG9" s="4"/>
      <c r="AH9" s="4"/>
      <c r="AI9" s="4"/>
      <c r="AJ9" s="4"/>
      <c r="AK9" s="4"/>
      <c r="AL9" s="4"/>
    </row>
    <row r="10" spans="1:38" ht="31.5" customHeight="1">
      <c r="A10" s="6" t="s">
        <v>149</v>
      </c>
      <c r="B10" s="205">
        <v>42.4</v>
      </c>
      <c r="C10" s="173"/>
      <c r="D10" s="173"/>
      <c r="E10" s="174"/>
      <c r="F10" s="6" t="s">
        <v>81</v>
      </c>
      <c r="G10" s="172">
        <v>2.875</v>
      </c>
      <c r="H10" s="173"/>
      <c r="I10" s="173"/>
      <c r="J10" s="174"/>
      <c r="K10" s="6" t="s">
        <v>82</v>
      </c>
      <c r="L10" s="177">
        <v>100</v>
      </c>
      <c r="M10" s="173"/>
      <c r="N10" s="173"/>
      <c r="O10" s="173"/>
      <c r="P10" s="174"/>
      <c r="Q10" s="4"/>
      <c r="R10" s="4"/>
      <c r="S10" s="4"/>
      <c r="T10" s="4"/>
      <c r="U10" s="4"/>
      <c r="V10" s="4"/>
      <c r="W10" s="4"/>
      <c r="X10" s="4"/>
      <c r="Y10" s="4"/>
      <c r="Z10" s="4"/>
      <c r="AA10" s="4"/>
      <c r="AB10" s="4"/>
      <c r="AC10" s="4"/>
      <c r="AD10" s="4"/>
      <c r="AE10" s="4"/>
      <c r="AF10" s="4"/>
      <c r="AG10" s="4"/>
      <c r="AH10" s="4"/>
      <c r="AI10" s="4"/>
      <c r="AJ10" s="4"/>
      <c r="AK10" s="4"/>
      <c r="AL10" s="4"/>
    </row>
    <row r="11" spans="1:38" ht="6"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row>
    <row r="12" spans="1:38" ht="24" customHeight="1">
      <c r="A12" s="170" t="s">
        <v>83</v>
      </c>
      <c r="B12" s="154"/>
      <c r="C12" s="154"/>
      <c r="D12" s="154"/>
      <c r="E12" s="154"/>
      <c r="F12" s="154"/>
      <c r="G12" s="154"/>
      <c r="H12" s="154"/>
      <c r="I12" s="154"/>
      <c r="J12" s="154"/>
      <c r="K12" s="169"/>
      <c r="L12" s="154"/>
      <c r="M12" s="169"/>
      <c r="N12" s="169"/>
      <c r="O12" s="169"/>
      <c r="P12" s="154"/>
      <c r="Q12" s="4"/>
      <c r="R12" s="4"/>
      <c r="S12" s="4"/>
      <c r="T12" s="4"/>
      <c r="U12" s="4"/>
      <c r="V12" s="4"/>
      <c r="W12" s="4"/>
      <c r="X12" s="4"/>
      <c r="Y12" s="4"/>
      <c r="Z12" s="4"/>
      <c r="AA12" s="4"/>
      <c r="AB12" s="4"/>
      <c r="AC12" s="4"/>
      <c r="AD12" s="4"/>
      <c r="AE12" s="4"/>
      <c r="AF12" s="4"/>
      <c r="AG12" s="4"/>
      <c r="AH12" s="4"/>
      <c r="AI12" s="4"/>
      <c r="AJ12" s="4"/>
      <c r="AK12" s="4"/>
      <c r="AL12" s="4"/>
    </row>
    <row r="13" spans="1:38" ht="31.5" customHeight="1">
      <c r="A13" s="7" t="s">
        <v>84</v>
      </c>
      <c r="B13" s="187">
        <v>46138</v>
      </c>
      <c r="C13" s="173"/>
      <c r="D13" s="173"/>
      <c r="E13" s="174"/>
      <c r="F13" s="7" t="s">
        <v>85</v>
      </c>
      <c r="G13" s="186">
        <v>68</v>
      </c>
      <c r="H13" s="173"/>
      <c r="I13" s="173"/>
      <c r="J13" s="174"/>
      <c r="K13" s="7" t="s">
        <v>86</v>
      </c>
      <c r="L13" s="183" t="s">
        <v>87</v>
      </c>
      <c r="M13" s="173"/>
      <c r="N13" s="173"/>
      <c r="O13" s="173"/>
      <c r="P13" s="174"/>
      <c r="Q13" s="4"/>
      <c r="R13" s="4"/>
      <c r="S13" s="4"/>
      <c r="T13" s="4"/>
      <c r="U13" s="4"/>
      <c r="V13" s="4"/>
      <c r="W13" s="4"/>
      <c r="X13" s="4"/>
      <c r="Y13" s="4"/>
      <c r="Z13" s="4"/>
      <c r="AA13" s="4"/>
      <c r="AB13" s="4"/>
      <c r="AC13" s="4"/>
      <c r="AD13" s="4"/>
      <c r="AE13" s="4"/>
      <c r="AF13" s="4"/>
      <c r="AG13" s="4"/>
      <c r="AH13" s="4"/>
      <c r="AI13" s="4"/>
      <c r="AJ13" s="4"/>
      <c r="AK13" s="4"/>
      <c r="AL13" s="4"/>
    </row>
    <row r="14" spans="1:38" ht="7.5" customHeight="1">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row>
    <row r="15" spans="1:38" ht="48" customHeight="1">
      <c r="A15" s="8" t="s">
        <v>150</v>
      </c>
      <c r="B15" s="8" t="s">
        <v>151</v>
      </c>
      <c r="C15" s="8" t="s">
        <v>152</v>
      </c>
      <c r="D15" s="8" t="s">
        <v>90</v>
      </c>
      <c r="E15" s="8" t="s">
        <v>91</v>
      </c>
      <c r="F15" s="8" t="s">
        <v>92</v>
      </c>
      <c r="G15" s="8" t="s">
        <v>93</v>
      </c>
      <c r="H15" s="8" t="s">
        <v>94</v>
      </c>
      <c r="I15" s="8" t="s">
        <v>95</v>
      </c>
      <c r="J15" s="8" t="s">
        <v>96</v>
      </c>
      <c r="K15" s="8" t="s">
        <v>97</v>
      </c>
      <c r="L15" s="8" t="s">
        <v>98</v>
      </c>
      <c r="M15" s="8" t="s">
        <v>99</v>
      </c>
      <c r="N15" s="8" t="s">
        <v>100</v>
      </c>
      <c r="O15" s="8" t="s">
        <v>101</v>
      </c>
      <c r="P15" s="8" t="s">
        <v>153</v>
      </c>
      <c r="Q15" s="4"/>
      <c r="R15" s="4"/>
      <c r="S15" s="4"/>
      <c r="T15" s="4"/>
      <c r="U15" s="4"/>
      <c r="V15" s="4"/>
      <c r="W15" s="4"/>
      <c r="X15" s="4"/>
      <c r="Y15" s="4"/>
      <c r="Z15" s="4"/>
      <c r="AA15" s="4"/>
      <c r="AB15" s="4"/>
      <c r="AC15" s="4"/>
      <c r="AD15" s="4"/>
      <c r="AE15" s="4"/>
      <c r="AF15" s="4"/>
      <c r="AG15" s="4"/>
      <c r="AH15" s="4"/>
      <c r="AI15" s="4"/>
      <c r="AJ15" s="4"/>
      <c r="AK15" s="4"/>
      <c r="AL15" s="4"/>
    </row>
    <row r="16" spans="1:38" ht="18" customHeight="1">
      <c r="A16" s="56">
        <v>1</v>
      </c>
      <c r="B16" s="61">
        <f>IFERROR(LOOKUP(2,1/(GarminSessions!$A$2:$A$200="S1"),GarminSessions!$B$2:$B$200),NA())</f>
        <v>5.0000000000000001E-3</v>
      </c>
      <c r="C16" s="97">
        <f t="shared" ref="C16:C25" si="0">IFERROR($G$10-B16,"")</f>
        <v>2.87</v>
      </c>
      <c r="D16" s="58">
        <f>IF(OR('Garmin Xero Import'!E17="",'Garmin Xero Import'!E17=0),"",'Garmin Xero Import'!E17)</f>
        <v>2782</v>
      </c>
      <c r="E16" s="58">
        <f>IF(OR('Garmin Xero Import'!F17="",'Garmin Xero Import'!F17=0),"",'Garmin Xero Import'!F17)</f>
        <v>2778</v>
      </c>
      <c r="F16" s="58">
        <f>IF(OR('Garmin Xero Import'!G17="",'Garmin Xero Import'!G17=0),"",'Garmin Xero Import'!G17)</f>
        <v>2780</v>
      </c>
      <c r="G16" s="58">
        <f>IF(OR('Garmin Xero Import'!H17="",'Garmin Xero Import'!H17=0),"",'Garmin Xero Import'!H17)</f>
        <v>2784</v>
      </c>
      <c r="H16" s="58">
        <f>IF(OR('Garmin Xero Import'!I17="",'Garmin Xero Import'!I17=0),"",'Garmin Xero Import'!I17)</f>
        <v>2780</v>
      </c>
      <c r="I16" s="59">
        <f>IF(OR('Garmin Xero Import'!O17="",'Garmin Xero Import'!O17=0),"",'Garmin Xero Import'!O17)</f>
        <v>2781</v>
      </c>
      <c r="J16" s="98">
        <f>IF(OR('Garmin Xero Import'!Q17="",'Garmin Xero Import'!Q17=0),"",'Garmin Xero Import'!Q17)</f>
        <v>6</v>
      </c>
      <c r="K16" s="59">
        <f>IF(OR('Garmin Xero Import'!P17="",'Garmin Xero Import'!P17=0),"",'Garmin Xero Import'!P17)</f>
        <v>2.2000000000000002</v>
      </c>
      <c r="L16" s="56">
        <f>IF(OR('BallisticX Import'!D17="",'BallisticX Import'!D17=0),"",'BallisticX Import'!D17)</f>
        <v>0.55000000000000004</v>
      </c>
      <c r="M16" s="56">
        <f>IF(OR('BallisticX Import'!F17="",'BallisticX Import'!F17=0),"",'BallisticX Import'!F17)</f>
        <v>0.48</v>
      </c>
      <c r="N16" s="60">
        <f>IF(OR('BallisticX Import'!J17="",'BallisticX Import'!J17=0),"",'BallisticX Import'!J17)</f>
        <v>0.17</v>
      </c>
      <c r="O16" s="56">
        <v>0.65200000000000002</v>
      </c>
      <c r="P16" s="62"/>
      <c r="Q16" s="4"/>
      <c r="R16" s="4"/>
      <c r="S16" s="4"/>
      <c r="T16" s="4"/>
      <c r="U16" s="4"/>
      <c r="V16" s="4"/>
      <c r="W16" s="4"/>
      <c r="X16" s="4"/>
      <c r="Y16" s="4"/>
      <c r="Z16" s="4"/>
      <c r="AA16" s="4"/>
      <c r="AB16" s="4"/>
      <c r="AC16" s="4"/>
      <c r="AD16" s="4"/>
      <c r="AE16" s="4"/>
      <c r="AF16" s="4"/>
      <c r="AG16" s="4"/>
      <c r="AH16" s="4"/>
      <c r="AI16" s="4"/>
      <c r="AJ16" s="4"/>
      <c r="AK16" s="4"/>
      <c r="AL16" s="4"/>
    </row>
    <row r="17" spans="1:38" ht="18" customHeight="1">
      <c r="A17" s="63">
        <v>2</v>
      </c>
      <c r="B17" s="99">
        <f>IFERROR(LOOKUP(2,1/(GarminSessions!$A$2:$A$200="S2"),GarminSessions!$B$2:$B$200),NA())</f>
        <v>0.02</v>
      </c>
      <c r="C17" s="100">
        <f t="shared" si="0"/>
        <v>2.855</v>
      </c>
      <c r="D17" s="65">
        <f>IF(OR('Garmin Xero Import'!E18="",'Garmin Xero Import'!E18=0),"",'Garmin Xero Import'!E18)</f>
        <v>2780</v>
      </c>
      <c r="E17" s="65">
        <f>IF(OR('Garmin Xero Import'!F18="",'Garmin Xero Import'!F18=0),"",'Garmin Xero Import'!F18)</f>
        <v>2778</v>
      </c>
      <c r="F17" s="65">
        <f>IF(OR('Garmin Xero Import'!G18="",'Garmin Xero Import'!G18=0),"",'Garmin Xero Import'!G18)</f>
        <v>2782</v>
      </c>
      <c r="G17" s="65">
        <f>IF(OR('Garmin Xero Import'!H18="",'Garmin Xero Import'!H18=0),"",'Garmin Xero Import'!H18)</f>
        <v>2776</v>
      </c>
      <c r="H17" s="65">
        <f>IF(OR('Garmin Xero Import'!I18="",'Garmin Xero Import'!I18=0),"",'Garmin Xero Import'!I18)</f>
        <v>2780</v>
      </c>
      <c r="I17" s="66">
        <f>IF(OR('Garmin Xero Import'!O18="",'Garmin Xero Import'!O18=0),"",'Garmin Xero Import'!O18)</f>
        <v>2780</v>
      </c>
      <c r="J17" s="101">
        <f>IF(OR('Garmin Xero Import'!Q18="",'Garmin Xero Import'!Q18=0),"",'Garmin Xero Import'!Q18)</f>
        <v>8</v>
      </c>
      <c r="K17" s="66">
        <f>IF(OR('Garmin Xero Import'!P18="",'Garmin Xero Import'!P18=0),"",'Garmin Xero Import'!P18)</f>
        <v>2.4</v>
      </c>
      <c r="L17" s="63">
        <f>IF(OR('BallisticX Import'!D18="",'BallisticX Import'!D18=0),"",'BallisticX Import'!D18)</f>
        <v>0.41</v>
      </c>
      <c r="M17" s="63">
        <f>IF(OR('BallisticX Import'!F18="",'BallisticX Import'!F18=0),"",'BallisticX Import'!F18)</f>
        <v>0.36</v>
      </c>
      <c r="N17" s="67">
        <f>IF(OR('BallisticX Import'!J18="",'BallisticX Import'!J18=0),"",'BallisticX Import'!J18)</f>
        <v>0.13</v>
      </c>
      <c r="O17" s="63">
        <v>0.33800000000000002</v>
      </c>
      <c r="P17" s="68" t="s">
        <v>104</v>
      </c>
      <c r="Q17" s="4"/>
      <c r="R17" s="4"/>
      <c r="S17" s="4"/>
      <c r="T17" s="4"/>
      <c r="U17" s="4"/>
      <c r="V17" s="4"/>
      <c r="W17" s="4"/>
      <c r="X17" s="4"/>
      <c r="Y17" s="4"/>
      <c r="Z17" s="4"/>
      <c r="AA17" s="4"/>
      <c r="AB17" s="4"/>
      <c r="AC17" s="4"/>
      <c r="AD17" s="4"/>
      <c r="AE17" s="4"/>
      <c r="AF17" s="4"/>
      <c r="AG17" s="4"/>
      <c r="AH17" s="4"/>
      <c r="AI17" s="4"/>
      <c r="AJ17" s="4"/>
      <c r="AK17" s="4"/>
      <c r="AL17" s="4"/>
    </row>
    <row r="18" spans="1:38" ht="18" customHeight="1">
      <c r="A18" s="56">
        <v>3</v>
      </c>
      <c r="B18" s="61">
        <f>IFERROR(LOOKUP(2,1/(GarminSessions!$A$2:$A$200="S3"),GarminSessions!$B$2:$B$200),NA())</f>
        <v>3.5000000000000003E-2</v>
      </c>
      <c r="C18" s="97">
        <f t="shared" si="0"/>
        <v>2.84</v>
      </c>
      <c r="D18" s="58">
        <f>IF(OR('Garmin Xero Import'!E19="",'Garmin Xero Import'!E19=0),"",'Garmin Xero Import'!E19)</f>
        <v>2780</v>
      </c>
      <c r="E18" s="58">
        <f>IF(OR('Garmin Xero Import'!F19="",'Garmin Xero Import'!F19=0),"",'Garmin Xero Import'!F19)</f>
        <v>2781</v>
      </c>
      <c r="F18" s="58">
        <f>IF(OR('Garmin Xero Import'!G19="",'Garmin Xero Import'!G19=0),"",'Garmin Xero Import'!G19)</f>
        <v>2780</v>
      </c>
      <c r="G18" s="58">
        <f>IF(OR('Garmin Xero Import'!H19="",'Garmin Xero Import'!H19=0),"",'Garmin Xero Import'!H19)</f>
        <v>2782</v>
      </c>
      <c r="H18" s="58">
        <f>IF(OR('Garmin Xero Import'!I19="",'Garmin Xero Import'!I19=0),"",'Garmin Xero Import'!I19)</f>
        <v>2780</v>
      </c>
      <c r="I18" s="59">
        <f>IF(OR('Garmin Xero Import'!O19="",'Garmin Xero Import'!O19=0),"",'Garmin Xero Import'!O19)</f>
        <v>2780.6</v>
      </c>
      <c r="J18" s="98">
        <f>IF(OR('Garmin Xero Import'!Q19="",'Garmin Xero Import'!Q19=0),"",'Garmin Xero Import'!Q19)</f>
        <v>2</v>
      </c>
      <c r="K18" s="59">
        <f>IF(OR('Garmin Xero Import'!P19="",'Garmin Xero Import'!P19=0),"",'Garmin Xero Import'!P19)</f>
        <v>0.8</v>
      </c>
      <c r="L18" s="56">
        <f>IF(OR('BallisticX Import'!D19="",'BallisticX Import'!D19=0),"",'BallisticX Import'!D19)</f>
        <v>0.32</v>
      </c>
      <c r="M18" s="56">
        <f>IF(OR('BallisticX Import'!F19="",'BallisticX Import'!F19=0),"",'BallisticX Import'!F19)</f>
        <v>0.27</v>
      </c>
      <c r="N18" s="60">
        <f>IF(OR('BallisticX Import'!J19="",'BallisticX Import'!J19=0),"",'BallisticX Import'!J19)</f>
        <v>0.1</v>
      </c>
      <c r="O18" s="56">
        <v>1E-3</v>
      </c>
      <c r="P18" s="62" t="s">
        <v>105</v>
      </c>
      <c r="Q18" s="4"/>
      <c r="R18" s="4"/>
      <c r="S18" s="4"/>
      <c r="T18" s="4"/>
      <c r="U18" s="4"/>
      <c r="V18" s="4"/>
      <c r="W18" s="4"/>
      <c r="X18" s="4"/>
      <c r="Y18" s="4"/>
      <c r="Z18" s="4"/>
      <c r="AA18" s="4"/>
      <c r="AB18" s="4"/>
      <c r="AC18" s="4"/>
      <c r="AD18" s="4"/>
      <c r="AE18" s="4"/>
      <c r="AF18" s="4"/>
      <c r="AG18" s="4"/>
      <c r="AH18" s="4"/>
      <c r="AI18" s="4"/>
      <c r="AJ18" s="4"/>
      <c r="AK18" s="4"/>
      <c r="AL18" s="4"/>
    </row>
    <row r="19" spans="1:38" ht="18" customHeight="1">
      <c r="A19" s="63">
        <v>4</v>
      </c>
      <c r="B19" s="99">
        <f>IFERROR(LOOKUP(2,1/(GarminSessions!$A$2:$A$200="S4"),GarminSessions!$B$2:$B$200),NA())</f>
        <v>0.05</v>
      </c>
      <c r="C19" s="100">
        <f t="shared" si="0"/>
        <v>2.8250000000000002</v>
      </c>
      <c r="D19" s="65">
        <f>IF(OR('Garmin Xero Import'!E20="",'Garmin Xero Import'!E20=0),"",'Garmin Xero Import'!E20)</f>
        <v>2780</v>
      </c>
      <c r="E19" s="65">
        <f>IF(OR('Garmin Xero Import'!F20="",'Garmin Xero Import'!F20=0),"",'Garmin Xero Import'!F20)</f>
        <v>2784</v>
      </c>
      <c r="F19" s="65">
        <f>IF(OR('Garmin Xero Import'!G20="",'Garmin Xero Import'!G20=0),"",'Garmin Xero Import'!G20)</f>
        <v>2776</v>
      </c>
      <c r="G19" s="65">
        <f>IF(OR('Garmin Xero Import'!H20="",'Garmin Xero Import'!H20=0),"",'Garmin Xero Import'!H20)</f>
        <v>2782</v>
      </c>
      <c r="H19" s="65">
        <f>IF(OR('Garmin Xero Import'!I20="",'Garmin Xero Import'!I20=0),"",'Garmin Xero Import'!I20)</f>
        <v>2780</v>
      </c>
      <c r="I19" s="66">
        <f>IF(OR('Garmin Xero Import'!O20="",'Garmin Xero Import'!O20=0),"",'Garmin Xero Import'!O20)</f>
        <v>2780</v>
      </c>
      <c r="J19" s="101">
        <f>IF(OR('Garmin Xero Import'!Q20="",'Garmin Xero Import'!Q20=0),"",'Garmin Xero Import'!Q20)</f>
        <v>10</v>
      </c>
      <c r="K19" s="66">
        <f>IF(OR('Garmin Xero Import'!P20="",'Garmin Xero Import'!P20=0),"",'Garmin Xero Import'!P20)</f>
        <v>3.4</v>
      </c>
      <c r="L19" s="63">
        <f>IF(OR('BallisticX Import'!D20="",'BallisticX Import'!D20=0),"",'BallisticX Import'!D20)</f>
        <v>0.48</v>
      </c>
      <c r="M19" s="63">
        <f>IF(OR('BallisticX Import'!F20="",'BallisticX Import'!F20=0),"",'BallisticX Import'!F20)</f>
        <v>0.42</v>
      </c>
      <c r="N19" s="67">
        <f>IF(OR('BallisticX Import'!J20="",'BallisticX Import'!J20=0),"",'BallisticX Import'!J20)</f>
        <v>0.15</v>
      </c>
      <c r="O19" s="63">
        <v>0.55900000000000005</v>
      </c>
      <c r="P19" s="68" t="s">
        <v>106</v>
      </c>
      <c r="Q19" s="4"/>
      <c r="R19" s="4"/>
      <c r="S19" s="4"/>
      <c r="T19" s="4"/>
      <c r="U19" s="4"/>
      <c r="V19" s="4"/>
      <c r="W19" s="4"/>
      <c r="X19" s="4"/>
      <c r="Y19" s="4"/>
      <c r="Z19" s="4"/>
      <c r="AA19" s="4"/>
      <c r="AB19" s="4"/>
      <c r="AC19" s="4"/>
      <c r="AD19" s="4"/>
      <c r="AE19" s="4"/>
      <c r="AF19" s="4"/>
      <c r="AG19" s="4"/>
      <c r="AH19" s="4"/>
      <c r="AI19" s="4"/>
      <c r="AJ19" s="4"/>
      <c r="AK19" s="4"/>
      <c r="AL19" s="4"/>
    </row>
    <row r="20" spans="1:38" ht="18" customHeight="1">
      <c r="A20" s="56">
        <v>5</v>
      </c>
      <c r="B20" s="61">
        <f>IFERROR(LOOKUP(2,1/(GarminSessions!$A$2:$A$200="S5"),GarminSessions!$B$2:$B$200),NA())</f>
        <v>6.5000000000000002E-2</v>
      </c>
      <c r="C20" s="97">
        <f t="shared" si="0"/>
        <v>2.81</v>
      </c>
      <c r="D20" s="58">
        <f>IF(OR('Garmin Xero Import'!E21="",'Garmin Xero Import'!E21=0),"",'Garmin Xero Import'!E21)</f>
        <v>2780</v>
      </c>
      <c r="E20" s="58">
        <f>IF(OR('Garmin Xero Import'!F21="",'Garmin Xero Import'!F21=0),"",'Garmin Xero Import'!F21)</f>
        <v>2786</v>
      </c>
      <c r="F20" s="58">
        <f>IF(OR('Garmin Xero Import'!G21="",'Garmin Xero Import'!G21=0),"",'Garmin Xero Import'!G21)</f>
        <v>2774</v>
      </c>
      <c r="G20" s="58">
        <f>IF(OR('Garmin Xero Import'!H21="",'Garmin Xero Import'!H21=0),"",'Garmin Xero Import'!H21)</f>
        <v>2784</v>
      </c>
      <c r="H20" s="58">
        <f>IF(OR('Garmin Xero Import'!I21="",'Garmin Xero Import'!I21=0),"",'Garmin Xero Import'!I21)</f>
        <v>2776</v>
      </c>
      <c r="I20" s="59">
        <f>IF(OR('Garmin Xero Import'!O21="",'Garmin Xero Import'!O21=0),"",'Garmin Xero Import'!O21)</f>
        <v>2780</v>
      </c>
      <c r="J20" s="98">
        <f>IF(OR('Garmin Xero Import'!Q21="",'Garmin Xero Import'!Q21=0),"",'Garmin Xero Import'!Q21)</f>
        <v>14</v>
      </c>
      <c r="K20" s="59">
        <f>IF(OR('Garmin Xero Import'!P21="",'Garmin Xero Import'!P21=0),"",'Garmin Xero Import'!P21)</f>
        <v>5.0999999999999996</v>
      </c>
      <c r="L20" s="56">
        <f>IF(OR('BallisticX Import'!D21="",'BallisticX Import'!D21=0),"",'BallisticX Import'!D21)</f>
        <v>0.62</v>
      </c>
      <c r="M20" s="56">
        <f>IF(OR('BallisticX Import'!F21="",'BallisticX Import'!F21=0),"",'BallisticX Import'!F21)</f>
        <v>0.55000000000000004</v>
      </c>
      <c r="N20" s="60">
        <f>IF(OR('BallisticX Import'!J21="",'BallisticX Import'!J21=0),"",'BallisticX Import'!J21)</f>
        <v>0.19</v>
      </c>
      <c r="O20" s="56">
        <v>1</v>
      </c>
      <c r="P20" s="62"/>
      <c r="Q20" s="4"/>
      <c r="R20" s="4"/>
      <c r="S20" s="4"/>
      <c r="T20" s="4"/>
      <c r="U20" s="4"/>
      <c r="V20" s="4"/>
      <c r="W20" s="4"/>
      <c r="X20" s="4"/>
      <c r="Y20" s="4"/>
      <c r="Z20" s="4"/>
      <c r="AA20" s="4"/>
      <c r="AB20" s="4"/>
      <c r="AC20" s="4"/>
      <c r="AD20" s="4"/>
      <c r="AE20" s="4"/>
      <c r="AF20" s="4"/>
      <c r="AG20" s="4"/>
      <c r="AH20" s="4"/>
      <c r="AI20" s="4"/>
      <c r="AJ20" s="4"/>
      <c r="AK20" s="4"/>
      <c r="AL20" s="4"/>
    </row>
    <row r="21" spans="1:38" ht="18" customHeight="1">
      <c r="A21" s="63">
        <v>6</v>
      </c>
      <c r="B21" s="99" t="e">
        <f>IFERROR(LOOKUP(2,1/(GarminSessions!$A$2:$A$200="S6"),GarminSessions!$B$2:$B$200),NA())</f>
        <v>#N/A</v>
      </c>
      <c r="C21" s="100" t="str">
        <f t="shared" si="0"/>
        <v/>
      </c>
      <c r="D21" s="65" t="str">
        <f>IF(OR('Garmin Xero Import'!E22="",'Garmin Xero Import'!E22=0),"",'Garmin Xero Import'!E22)</f>
        <v/>
      </c>
      <c r="E21" s="65" t="str">
        <f>IF(OR('Garmin Xero Import'!F22="",'Garmin Xero Import'!F22=0),"",'Garmin Xero Import'!F22)</f>
        <v/>
      </c>
      <c r="F21" s="65" t="str">
        <f>IF(OR('Garmin Xero Import'!G22="",'Garmin Xero Import'!G22=0),"",'Garmin Xero Import'!G22)</f>
        <v/>
      </c>
      <c r="G21" s="65" t="str">
        <f>IF(OR('Garmin Xero Import'!H22="",'Garmin Xero Import'!H22=0),"",'Garmin Xero Import'!H22)</f>
        <v/>
      </c>
      <c r="H21" s="65" t="str">
        <f>IF(OR('Garmin Xero Import'!I22="",'Garmin Xero Import'!I22=0),"",'Garmin Xero Import'!I22)</f>
        <v/>
      </c>
      <c r="I21" s="66" t="str">
        <f>IF(OR('Garmin Xero Import'!O22="",'Garmin Xero Import'!O22=0),"",'Garmin Xero Import'!O22)</f>
        <v/>
      </c>
      <c r="J21" s="101" t="str">
        <f>IF(OR('Garmin Xero Import'!Q22="",'Garmin Xero Import'!Q22=0),"",'Garmin Xero Import'!Q22)</f>
        <v/>
      </c>
      <c r="K21" s="66" t="str">
        <f>IF(OR('Garmin Xero Import'!P22="",'Garmin Xero Import'!P22=0),"",'Garmin Xero Import'!P22)</f>
        <v/>
      </c>
      <c r="L21" s="63" t="str">
        <f>IF(OR('BallisticX Import'!D22="",'BallisticX Import'!D22=0),"",'BallisticX Import'!D22)</f>
        <v/>
      </c>
      <c r="M21" s="63" t="str">
        <f>IF(OR('BallisticX Import'!F22="",'BallisticX Import'!F22=0),"",'BallisticX Import'!F22)</f>
        <v/>
      </c>
      <c r="N21" s="67" t="str">
        <f>IF(OR('BallisticX Import'!J22="",'BallisticX Import'!J22=0),"",'BallisticX Import'!J22)</f>
        <v/>
      </c>
      <c r="O21" s="63" t="e">
        <f>NA()</f>
        <v>#N/A</v>
      </c>
      <c r="P21" s="69"/>
      <c r="Q21" s="4"/>
      <c r="R21" s="4"/>
      <c r="S21" s="4"/>
      <c r="T21" s="4"/>
      <c r="U21" s="4"/>
      <c r="V21" s="4"/>
      <c r="W21" s="4"/>
      <c r="X21" s="4"/>
      <c r="Y21" s="4"/>
      <c r="Z21" s="4"/>
      <c r="AA21" s="4"/>
      <c r="AB21" s="4"/>
      <c r="AC21" s="4"/>
      <c r="AD21" s="4"/>
      <c r="AE21" s="4"/>
      <c r="AF21" s="4"/>
      <c r="AG21" s="4"/>
      <c r="AH21" s="4"/>
      <c r="AI21" s="4"/>
      <c r="AJ21" s="4"/>
      <c r="AK21" s="4"/>
      <c r="AL21" s="4"/>
    </row>
    <row r="22" spans="1:38" ht="18" customHeight="1">
      <c r="A22" s="56">
        <v>7</v>
      </c>
      <c r="B22" s="61" t="e">
        <f>IFERROR(LOOKUP(2,1/(GarminSessions!$A$2:$A$200="S7"),GarminSessions!$B$2:$B$200),NA())</f>
        <v>#N/A</v>
      </c>
      <c r="C22" s="97" t="str">
        <f t="shared" si="0"/>
        <v/>
      </c>
      <c r="D22" s="58" t="str">
        <f>IF(OR('Garmin Xero Import'!E23="",'Garmin Xero Import'!E23=0),"",'Garmin Xero Import'!E23)</f>
        <v/>
      </c>
      <c r="E22" s="58" t="str">
        <f>IF(OR('Garmin Xero Import'!F23="",'Garmin Xero Import'!F23=0),"",'Garmin Xero Import'!F23)</f>
        <v/>
      </c>
      <c r="F22" s="58" t="str">
        <f>IF(OR('Garmin Xero Import'!G23="",'Garmin Xero Import'!G23=0),"",'Garmin Xero Import'!G23)</f>
        <v/>
      </c>
      <c r="G22" s="58" t="str">
        <f>IF(OR('Garmin Xero Import'!H23="",'Garmin Xero Import'!H23=0),"",'Garmin Xero Import'!H23)</f>
        <v/>
      </c>
      <c r="H22" s="58" t="str">
        <f>IF(OR('Garmin Xero Import'!I23="",'Garmin Xero Import'!I23=0),"",'Garmin Xero Import'!I23)</f>
        <v/>
      </c>
      <c r="I22" s="59" t="str">
        <f>IF(OR('Garmin Xero Import'!O23="",'Garmin Xero Import'!O23=0),"",'Garmin Xero Import'!O23)</f>
        <v/>
      </c>
      <c r="J22" s="98" t="str">
        <f>IF(OR('Garmin Xero Import'!Q23="",'Garmin Xero Import'!Q23=0),"",'Garmin Xero Import'!Q23)</f>
        <v/>
      </c>
      <c r="K22" s="59" t="str">
        <f>IF(OR('Garmin Xero Import'!P23="",'Garmin Xero Import'!P23=0),"",'Garmin Xero Import'!P23)</f>
        <v/>
      </c>
      <c r="L22" s="56" t="str">
        <f>IF(OR('BallisticX Import'!D23="",'BallisticX Import'!D23=0),"",'BallisticX Import'!D23)</f>
        <v/>
      </c>
      <c r="M22" s="56" t="str">
        <f>IF(OR('BallisticX Import'!F23="",'BallisticX Import'!F23=0),"",'BallisticX Import'!F23)</f>
        <v/>
      </c>
      <c r="N22" s="60" t="str">
        <f>IF(OR('BallisticX Import'!J23="",'BallisticX Import'!J23=0),"",'BallisticX Import'!J23)</f>
        <v/>
      </c>
      <c r="O22" s="56" t="e">
        <f>NA()</f>
        <v>#N/A</v>
      </c>
      <c r="P22" s="70"/>
      <c r="Q22" s="4"/>
      <c r="R22" s="4"/>
      <c r="S22" s="4"/>
      <c r="T22" s="4"/>
      <c r="U22" s="4"/>
      <c r="V22" s="4"/>
      <c r="W22" s="4"/>
      <c r="X22" s="4"/>
      <c r="Y22" s="4"/>
      <c r="Z22" s="4"/>
      <c r="AA22" s="4"/>
      <c r="AB22" s="4"/>
      <c r="AC22" s="4"/>
      <c r="AD22" s="4"/>
      <c r="AE22" s="4"/>
      <c r="AF22" s="4"/>
      <c r="AG22" s="4"/>
      <c r="AH22" s="4"/>
      <c r="AI22" s="4"/>
      <c r="AJ22" s="4"/>
      <c r="AK22" s="4"/>
      <c r="AL22" s="4"/>
    </row>
    <row r="23" spans="1:38" ht="18" customHeight="1">
      <c r="A23" s="63">
        <v>8</v>
      </c>
      <c r="B23" s="99" t="e">
        <f>IFERROR(LOOKUP(2,1/(GarminSessions!$A$2:$A$200="S8"),GarminSessions!$B$2:$B$200),NA())</f>
        <v>#N/A</v>
      </c>
      <c r="C23" s="100" t="str">
        <f t="shared" si="0"/>
        <v/>
      </c>
      <c r="D23" s="65" t="str">
        <f>IF(OR('Garmin Xero Import'!E24="",'Garmin Xero Import'!E24=0),"",'Garmin Xero Import'!E24)</f>
        <v/>
      </c>
      <c r="E23" s="65" t="str">
        <f>IF(OR('Garmin Xero Import'!F24="",'Garmin Xero Import'!F24=0),"",'Garmin Xero Import'!F24)</f>
        <v/>
      </c>
      <c r="F23" s="65" t="str">
        <f>IF(OR('Garmin Xero Import'!G24="",'Garmin Xero Import'!G24=0),"",'Garmin Xero Import'!G24)</f>
        <v/>
      </c>
      <c r="G23" s="65" t="str">
        <f>IF(OR('Garmin Xero Import'!H24="",'Garmin Xero Import'!H24=0),"",'Garmin Xero Import'!H24)</f>
        <v/>
      </c>
      <c r="H23" s="65" t="str">
        <f>IF(OR('Garmin Xero Import'!I24="",'Garmin Xero Import'!I24=0),"",'Garmin Xero Import'!I24)</f>
        <v/>
      </c>
      <c r="I23" s="66" t="str">
        <f>IF(OR('Garmin Xero Import'!O24="",'Garmin Xero Import'!O24=0),"",'Garmin Xero Import'!O24)</f>
        <v/>
      </c>
      <c r="J23" s="101" t="str">
        <f>IF(OR('Garmin Xero Import'!Q24="",'Garmin Xero Import'!Q24=0),"",'Garmin Xero Import'!Q24)</f>
        <v/>
      </c>
      <c r="K23" s="66" t="str">
        <f>IF(OR('Garmin Xero Import'!P24="",'Garmin Xero Import'!P24=0),"",'Garmin Xero Import'!P24)</f>
        <v/>
      </c>
      <c r="L23" s="63" t="str">
        <f>IF(OR('BallisticX Import'!D24="",'BallisticX Import'!D24=0),"",'BallisticX Import'!D24)</f>
        <v/>
      </c>
      <c r="M23" s="63" t="str">
        <f>IF(OR('BallisticX Import'!F24="",'BallisticX Import'!F24=0),"",'BallisticX Import'!F24)</f>
        <v/>
      </c>
      <c r="N23" s="67" t="str">
        <f>IF(OR('BallisticX Import'!J24="",'BallisticX Import'!J24=0),"",'BallisticX Import'!J24)</f>
        <v/>
      </c>
      <c r="O23" s="63" t="e">
        <f>NA()</f>
        <v>#N/A</v>
      </c>
      <c r="P23" s="69"/>
      <c r="Q23" s="4"/>
      <c r="R23" s="4"/>
      <c r="S23" s="4"/>
      <c r="T23" s="4"/>
      <c r="U23" s="4"/>
      <c r="V23" s="4"/>
      <c r="W23" s="4"/>
      <c r="X23" s="4"/>
      <c r="Y23" s="4"/>
      <c r="Z23" s="4"/>
      <c r="AA23" s="4"/>
      <c r="AB23" s="4"/>
      <c r="AC23" s="4"/>
      <c r="AD23" s="4"/>
      <c r="AE23" s="4"/>
      <c r="AF23" s="4"/>
      <c r="AG23" s="4"/>
      <c r="AH23" s="4"/>
      <c r="AI23" s="4"/>
      <c r="AJ23" s="4"/>
      <c r="AK23" s="4"/>
      <c r="AL23" s="4"/>
    </row>
    <row r="24" spans="1:38" ht="18" customHeight="1">
      <c r="A24" s="56">
        <v>9</v>
      </c>
      <c r="B24" s="61" t="e">
        <f>IFERROR(LOOKUP(2,1/(GarminSessions!$A$2:$A$200="S9"),GarminSessions!$B$2:$B$200),NA())</f>
        <v>#N/A</v>
      </c>
      <c r="C24" s="97" t="str">
        <f t="shared" si="0"/>
        <v/>
      </c>
      <c r="D24" s="58" t="str">
        <f>IF(OR('Garmin Xero Import'!E25="",'Garmin Xero Import'!E25=0),"",'Garmin Xero Import'!E25)</f>
        <v/>
      </c>
      <c r="E24" s="58" t="str">
        <f>IF(OR('Garmin Xero Import'!F25="",'Garmin Xero Import'!F25=0),"",'Garmin Xero Import'!F25)</f>
        <v/>
      </c>
      <c r="F24" s="58" t="str">
        <f>IF(OR('Garmin Xero Import'!G25="",'Garmin Xero Import'!G25=0),"",'Garmin Xero Import'!G25)</f>
        <v/>
      </c>
      <c r="G24" s="58" t="str">
        <f>IF(OR('Garmin Xero Import'!H25="",'Garmin Xero Import'!H25=0),"",'Garmin Xero Import'!H25)</f>
        <v/>
      </c>
      <c r="H24" s="58" t="str">
        <f>IF(OR('Garmin Xero Import'!I25="",'Garmin Xero Import'!I25=0),"",'Garmin Xero Import'!I25)</f>
        <v/>
      </c>
      <c r="I24" s="59" t="str">
        <f>IF(OR('Garmin Xero Import'!O25="",'Garmin Xero Import'!O25=0),"",'Garmin Xero Import'!O25)</f>
        <v/>
      </c>
      <c r="J24" s="98" t="str">
        <f>IF(OR('Garmin Xero Import'!Q25="",'Garmin Xero Import'!Q25=0),"",'Garmin Xero Import'!Q25)</f>
        <v/>
      </c>
      <c r="K24" s="59" t="str">
        <f>IF(OR('Garmin Xero Import'!P25="",'Garmin Xero Import'!P25=0),"",'Garmin Xero Import'!P25)</f>
        <v/>
      </c>
      <c r="L24" s="56" t="str">
        <f>IF(OR('BallisticX Import'!D25="",'BallisticX Import'!D25=0),"",'BallisticX Import'!D25)</f>
        <v/>
      </c>
      <c r="M24" s="56" t="str">
        <f>IF(OR('BallisticX Import'!F25="",'BallisticX Import'!F25=0),"",'BallisticX Import'!F25)</f>
        <v/>
      </c>
      <c r="N24" s="60" t="str">
        <f>IF(OR('BallisticX Import'!J25="",'BallisticX Import'!J25=0),"",'BallisticX Import'!J25)</f>
        <v/>
      </c>
      <c r="O24" s="56" t="e">
        <f>NA()</f>
        <v>#N/A</v>
      </c>
      <c r="P24" s="70"/>
      <c r="Q24" s="4"/>
      <c r="R24" s="4"/>
      <c r="S24" s="4"/>
      <c r="T24" s="4"/>
      <c r="U24" s="4"/>
      <c r="V24" s="4"/>
      <c r="W24" s="4"/>
      <c r="X24" s="4"/>
      <c r="Y24" s="4"/>
      <c r="Z24" s="4"/>
      <c r="AA24" s="4"/>
      <c r="AB24" s="4"/>
      <c r="AC24" s="4"/>
      <c r="AD24" s="4"/>
      <c r="AE24" s="4"/>
      <c r="AF24" s="4"/>
      <c r="AG24" s="4"/>
      <c r="AH24" s="4"/>
      <c r="AI24" s="4"/>
      <c r="AJ24" s="4"/>
      <c r="AK24" s="4"/>
      <c r="AL24" s="4"/>
    </row>
    <row r="25" spans="1:38" ht="18" customHeight="1">
      <c r="A25" s="63">
        <v>10</v>
      </c>
      <c r="B25" s="99" t="e">
        <f>IFERROR(LOOKUP(2,1/(GarminSessions!$A$2:$A$200="S10"),GarminSessions!$B$2:$B$200),NA())</f>
        <v>#N/A</v>
      </c>
      <c r="C25" s="100" t="str">
        <f t="shared" si="0"/>
        <v/>
      </c>
      <c r="D25" s="65" t="str">
        <f>IF(OR('Garmin Xero Import'!E26="",'Garmin Xero Import'!E26=0),"",'Garmin Xero Import'!E26)</f>
        <v/>
      </c>
      <c r="E25" s="65" t="str">
        <f>IF(OR('Garmin Xero Import'!F26="",'Garmin Xero Import'!F26=0),"",'Garmin Xero Import'!F26)</f>
        <v/>
      </c>
      <c r="F25" s="65" t="str">
        <f>IF(OR('Garmin Xero Import'!G26="",'Garmin Xero Import'!G26=0),"",'Garmin Xero Import'!G26)</f>
        <v/>
      </c>
      <c r="G25" s="65" t="str">
        <f>IF(OR('Garmin Xero Import'!H26="",'Garmin Xero Import'!H26=0),"",'Garmin Xero Import'!H26)</f>
        <v/>
      </c>
      <c r="H25" s="65" t="str">
        <f>IF(OR('Garmin Xero Import'!I26="",'Garmin Xero Import'!I26=0),"",'Garmin Xero Import'!I26)</f>
        <v/>
      </c>
      <c r="I25" s="66" t="str">
        <f>IF(OR('Garmin Xero Import'!O26="",'Garmin Xero Import'!O26=0),"",'Garmin Xero Import'!O26)</f>
        <v/>
      </c>
      <c r="J25" s="101" t="str">
        <f>IF(OR('Garmin Xero Import'!Q26="",'Garmin Xero Import'!Q26=0),"",'Garmin Xero Import'!Q26)</f>
        <v/>
      </c>
      <c r="K25" s="66" t="str">
        <f>IF(OR('Garmin Xero Import'!P26="",'Garmin Xero Import'!P26=0),"",'Garmin Xero Import'!P26)</f>
        <v/>
      </c>
      <c r="L25" s="63" t="str">
        <f>IF(OR('BallisticX Import'!D26="",'BallisticX Import'!D26=0),"",'BallisticX Import'!D26)</f>
        <v/>
      </c>
      <c r="M25" s="63" t="str">
        <f>IF(OR('BallisticX Import'!F26="",'BallisticX Import'!F26=0),"",'BallisticX Import'!F26)</f>
        <v/>
      </c>
      <c r="N25" s="67" t="str">
        <f>IF(OR('BallisticX Import'!J26="",'BallisticX Import'!J26=0),"",'BallisticX Import'!J26)</f>
        <v/>
      </c>
      <c r="O25" s="63" t="e">
        <f>NA()</f>
        <v>#N/A</v>
      </c>
      <c r="P25" s="69"/>
      <c r="Q25" s="4"/>
      <c r="R25" s="4"/>
      <c r="S25" s="4"/>
      <c r="T25" s="4"/>
      <c r="U25" s="4"/>
      <c r="V25" s="4"/>
      <c r="W25" s="4"/>
      <c r="X25" s="4"/>
      <c r="Y25" s="4"/>
      <c r="Z25" s="4"/>
      <c r="AA25" s="4"/>
      <c r="AB25" s="4"/>
      <c r="AC25" s="4"/>
      <c r="AD25" s="4"/>
      <c r="AE25" s="4"/>
      <c r="AF25" s="4"/>
      <c r="AG25" s="4"/>
      <c r="AH25" s="4"/>
      <c r="AI25" s="4"/>
      <c r="AJ25" s="4"/>
      <c r="AK25" s="4"/>
      <c r="AL25" s="4"/>
    </row>
    <row r="26" spans="1:38" ht="30" customHeight="1">
      <c r="A26" s="201" t="s">
        <v>114</v>
      </c>
      <c r="B26" s="202"/>
      <c r="C26" s="202"/>
      <c r="D26" s="202"/>
      <c r="E26" s="202"/>
      <c r="F26" s="202"/>
      <c r="G26" s="202"/>
      <c r="H26" s="202"/>
      <c r="I26" s="202"/>
      <c r="J26" s="202"/>
      <c r="K26" s="202"/>
      <c r="L26" s="202"/>
      <c r="M26" s="202"/>
      <c r="N26" s="202"/>
      <c r="O26" s="202"/>
      <c r="P26" s="203"/>
      <c r="Q26" s="4"/>
      <c r="R26" s="4"/>
      <c r="S26" s="4"/>
      <c r="T26" s="4"/>
      <c r="U26" s="4"/>
      <c r="V26" s="4"/>
      <c r="W26" s="4"/>
      <c r="X26" s="4"/>
      <c r="Y26" s="4"/>
      <c r="Z26" s="4"/>
      <c r="AA26" s="4"/>
      <c r="AB26" s="4"/>
      <c r="AC26" s="4"/>
      <c r="AD26" s="4"/>
      <c r="AE26" s="4"/>
      <c r="AF26" s="4"/>
      <c r="AG26" s="4"/>
      <c r="AH26" s="4"/>
      <c r="AI26" s="4"/>
      <c r="AJ26" s="4"/>
      <c r="AK26" s="4"/>
      <c r="AL26" s="4"/>
    </row>
    <row r="27" spans="1:38" ht="24" customHeight="1">
      <c r="A27" s="168" t="s">
        <v>154</v>
      </c>
      <c r="B27" s="154"/>
      <c r="C27" s="154"/>
      <c r="D27" s="154"/>
      <c r="E27" s="154"/>
      <c r="F27" s="154"/>
      <c r="G27" s="154"/>
      <c r="H27" s="154"/>
      <c r="I27" s="154"/>
      <c r="J27" s="154"/>
      <c r="K27" s="169"/>
      <c r="L27" s="154"/>
      <c r="M27" s="169"/>
      <c r="N27" s="169"/>
      <c r="O27" s="169"/>
      <c r="P27" s="154"/>
      <c r="Q27" s="4"/>
      <c r="R27" s="4"/>
      <c r="S27" s="4"/>
      <c r="T27" s="4"/>
      <c r="U27" s="4"/>
      <c r="V27" s="4"/>
      <c r="W27" s="4"/>
      <c r="X27" s="4"/>
      <c r="Y27" s="4"/>
      <c r="Z27" s="4"/>
      <c r="AA27" s="4"/>
      <c r="AB27" s="4"/>
      <c r="AC27" s="4"/>
      <c r="AD27" s="4"/>
      <c r="AE27" s="4"/>
      <c r="AF27" s="4"/>
      <c r="AG27" s="4"/>
      <c r="AH27" s="4"/>
      <c r="AI27" s="4"/>
      <c r="AJ27" s="4"/>
      <c r="AK27" s="4"/>
      <c r="AL27" s="4"/>
    </row>
    <row r="28" spans="1:38" ht="24" customHeight="1">
      <c r="A28" s="102" t="s">
        <v>155</v>
      </c>
      <c r="B28" s="103" t="s">
        <v>118</v>
      </c>
      <c r="C28" s="104">
        <v>0.15</v>
      </c>
      <c r="D28" s="105"/>
      <c r="E28" s="103" t="s">
        <v>97</v>
      </c>
      <c r="F28" s="104">
        <v>0.25</v>
      </c>
      <c r="G28" s="105"/>
      <c r="H28" s="103" t="s">
        <v>119</v>
      </c>
      <c r="I28" s="104">
        <v>0.25</v>
      </c>
      <c r="J28" s="105"/>
      <c r="K28" s="103" t="s">
        <v>120</v>
      </c>
      <c r="L28" s="104">
        <v>0.35</v>
      </c>
      <c r="M28" s="105"/>
      <c r="N28" s="103" t="s">
        <v>121</v>
      </c>
      <c r="O28" s="106">
        <f>SUM(C28,F28,I28,L28)</f>
        <v>1</v>
      </c>
      <c r="P28" s="105"/>
      <c r="Q28" s="4"/>
      <c r="R28" s="4"/>
      <c r="S28" s="4"/>
      <c r="T28" s="4"/>
      <c r="U28" s="4"/>
      <c r="V28" s="4"/>
      <c r="W28" s="4"/>
      <c r="X28" s="4"/>
      <c r="Y28" s="4"/>
      <c r="Z28" s="4"/>
      <c r="AA28" s="4"/>
      <c r="AB28" s="4"/>
      <c r="AC28" s="4"/>
      <c r="AD28" s="4"/>
      <c r="AE28" s="4"/>
      <c r="AF28" s="4"/>
      <c r="AG28" s="4"/>
      <c r="AH28" s="4"/>
      <c r="AI28" s="4"/>
      <c r="AJ28" s="4"/>
      <c r="AK28" s="4"/>
      <c r="AL28" s="4"/>
    </row>
    <row r="29" spans="1:38" ht="42" customHeight="1">
      <c r="A29" s="107" t="s">
        <v>156</v>
      </c>
      <c r="B29" s="107"/>
      <c r="C29" s="107"/>
      <c r="D29" s="107" t="s">
        <v>126</v>
      </c>
      <c r="E29" s="107" t="s">
        <v>127</v>
      </c>
      <c r="F29" s="107" t="s">
        <v>128</v>
      </c>
      <c r="G29" s="107" t="s">
        <v>129</v>
      </c>
      <c r="H29" s="107" t="s">
        <v>130</v>
      </c>
      <c r="I29" s="107" t="s">
        <v>131</v>
      </c>
      <c r="J29" s="107" t="s">
        <v>132</v>
      </c>
      <c r="K29" s="107" t="s">
        <v>133</v>
      </c>
      <c r="L29" s="107" t="s">
        <v>102</v>
      </c>
      <c r="M29" s="107" t="s">
        <v>157</v>
      </c>
      <c r="N29" s="107" t="s">
        <v>158</v>
      </c>
      <c r="O29" s="8"/>
      <c r="P29" s="108"/>
      <c r="Q29" s="4"/>
      <c r="R29" s="4"/>
      <c r="S29" s="4"/>
      <c r="T29" s="4"/>
      <c r="U29" s="4"/>
      <c r="V29" s="4"/>
      <c r="W29" s="4"/>
      <c r="X29" s="4"/>
      <c r="Y29" s="4"/>
      <c r="Z29" s="4"/>
      <c r="AA29" s="4"/>
      <c r="AB29" s="4"/>
      <c r="AC29" s="4"/>
      <c r="AD29" s="4"/>
      <c r="AE29" s="4"/>
      <c r="AF29" s="4"/>
      <c r="AG29" s="4"/>
      <c r="AH29" s="4"/>
      <c r="AI29" s="4"/>
      <c r="AJ29" s="4"/>
      <c r="AK29" s="4"/>
      <c r="AL29" s="4"/>
    </row>
    <row r="30" spans="1:38" ht="18.75" customHeight="1">
      <c r="A30" s="109">
        <v>5.0000000000000001E-3</v>
      </c>
      <c r="B30" s="43"/>
      <c r="C30" s="43"/>
      <c r="D30" s="110">
        <v>2781</v>
      </c>
      <c r="E30" s="111">
        <v>2.2000000000000002</v>
      </c>
      <c r="F30" s="112">
        <v>0.27</v>
      </c>
      <c r="G30" s="112">
        <v>0.17</v>
      </c>
      <c r="H30" s="109">
        <v>0.76700000000000002</v>
      </c>
      <c r="I30" s="109">
        <v>0.32600000000000001</v>
      </c>
      <c r="J30" s="109">
        <v>0.73299999999999998</v>
      </c>
      <c r="K30" s="109">
        <v>0.77800000000000002</v>
      </c>
      <c r="L30" s="109">
        <v>0.65200000000000002</v>
      </c>
      <c r="M30" s="110">
        <v>4</v>
      </c>
      <c r="N30" s="113"/>
      <c r="O30" s="19"/>
      <c r="P30" s="105"/>
      <c r="Q30" s="4"/>
      <c r="R30" s="4"/>
      <c r="S30" s="4"/>
      <c r="T30" s="4"/>
      <c r="U30" s="4"/>
      <c r="V30" s="4"/>
      <c r="W30" s="4"/>
      <c r="X30" s="4"/>
      <c r="Y30" s="4"/>
      <c r="Z30" s="4"/>
      <c r="AA30" s="4"/>
      <c r="AB30" s="4"/>
      <c r="AC30" s="4"/>
      <c r="AD30" s="4"/>
      <c r="AE30" s="4"/>
      <c r="AF30" s="4"/>
      <c r="AG30" s="4"/>
      <c r="AH30" s="4"/>
      <c r="AI30" s="4"/>
      <c r="AJ30" s="4"/>
      <c r="AK30" s="4"/>
      <c r="AL30" s="4"/>
    </row>
    <row r="31" spans="1:38" ht="18.75" customHeight="1">
      <c r="A31" s="114">
        <v>0.02</v>
      </c>
      <c r="B31" s="44"/>
      <c r="C31" s="44"/>
      <c r="D31" s="115">
        <v>2780</v>
      </c>
      <c r="E31" s="116">
        <v>2.4</v>
      </c>
      <c r="F31" s="117">
        <v>0.21</v>
      </c>
      <c r="G31" s="117">
        <v>0.13</v>
      </c>
      <c r="H31" s="114">
        <v>0.3</v>
      </c>
      <c r="I31" s="114">
        <v>0.372</v>
      </c>
      <c r="J31" s="114">
        <v>0.33300000000000002</v>
      </c>
      <c r="K31" s="114">
        <v>0.33300000000000002</v>
      </c>
      <c r="L31" s="114">
        <v>0.33800000000000002</v>
      </c>
      <c r="M31" s="115">
        <v>2</v>
      </c>
      <c r="N31" s="118"/>
      <c r="O31" s="20"/>
      <c r="P31" s="119"/>
      <c r="Q31" s="4"/>
      <c r="R31" s="4"/>
      <c r="S31" s="4"/>
      <c r="T31" s="4"/>
      <c r="U31" s="4"/>
      <c r="V31" s="4"/>
      <c r="W31" s="4"/>
      <c r="X31" s="4"/>
      <c r="Y31" s="4"/>
      <c r="Z31" s="4"/>
      <c r="AA31" s="4"/>
      <c r="AB31" s="4"/>
      <c r="AC31" s="4"/>
      <c r="AD31" s="4"/>
      <c r="AE31" s="4"/>
      <c r="AF31" s="4"/>
      <c r="AG31" s="4"/>
      <c r="AH31" s="4"/>
      <c r="AI31" s="4"/>
      <c r="AJ31" s="4"/>
      <c r="AK31" s="4"/>
      <c r="AL31" s="4"/>
    </row>
    <row r="32" spans="1:38" ht="18.75" customHeight="1">
      <c r="A32" s="109">
        <v>3.5000000000000003E-2</v>
      </c>
      <c r="B32" s="43"/>
      <c r="C32" s="43"/>
      <c r="D32" s="110">
        <v>2780.6</v>
      </c>
      <c r="E32" s="111">
        <v>0.8</v>
      </c>
      <c r="F32" s="112">
        <v>0.16</v>
      </c>
      <c r="G32" s="112">
        <v>0.1</v>
      </c>
      <c r="H32" s="109">
        <v>1E-3</v>
      </c>
      <c r="I32" s="109">
        <v>1E-3</v>
      </c>
      <c r="J32" s="109">
        <v>1E-3</v>
      </c>
      <c r="K32" s="109">
        <v>1E-3</v>
      </c>
      <c r="L32" s="109">
        <v>1E-3</v>
      </c>
      <c r="M32" s="110">
        <v>1</v>
      </c>
      <c r="N32" s="113" t="s">
        <v>113</v>
      </c>
      <c r="O32" s="19"/>
      <c r="P32" s="105"/>
      <c r="Q32" s="4"/>
      <c r="R32" s="4"/>
      <c r="S32" s="4"/>
      <c r="T32" s="4"/>
      <c r="U32" s="4"/>
      <c r="V32" s="4"/>
      <c r="W32" s="4"/>
      <c r="X32" s="4"/>
      <c r="Y32" s="4"/>
      <c r="Z32" s="4"/>
      <c r="AA32" s="4"/>
      <c r="AB32" s="4"/>
      <c r="AC32" s="4"/>
      <c r="AD32" s="4"/>
      <c r="AE32" s="4"/>
      <c r="AF32" s="4"/>
      <c r="AG32" s="4"/>
      <c r="AH32" s="4"/>
      <c r="AI32" s="4"/>
      <c r="AJ32" s="4"/>
      <c r="AK32" s="4"/>
      <c r="AL32" s="4"/>
    </row>
    <row r="33" spans="1:38" ht="18.75" customHeight="1">
      <c r="A33" s="114">
        <v>0.05</v>
      </c>
      <c r="B33" s="44"/>
      <c r="C33" s="44"/>
      <c r="D33" s="115">
        <v>2780</v>
      </c>
      <c r="E33" s="116">
        <v>3.4</v>
      </c>
      <c r="F33" s="117">
        <v>0.24</v>
      </c>
      <c r="G33" s="117">
        <v>0.15</v>
      </c>
      <c r="H33" s="114">
        <v>0.53300000000000003</v>
      </c>
      <c r="I33" s="114">
        <v>0.60499999999999998</v>
      </c>
      <c r="J33" s="114">
        <v>0.53300000000000003</v>
      </c>
      <c r="K33" s="114">
        <v>0.55600000000000005</v>
      </c>
      <c r="L33" s="114">
        <v>0.55900000000000005</v>
      </c>
      <c r="M33" s="115">
        <v>3</v>
      </c>
      <c r="N33" s="118"/>
      <c r="O33" s="20"/>
      <c r="P33" s="119"/>
      <c r="Q33" s="4"/>
      <c r="R33" s="4"/>
      <c r="S33" s="4"/>
      <c r="T33" s="4"/>
      <c r="U33" s="4"/>
      <c r="V33" s="4"/>
      <c r="W33" s="4"/>
      <c r="X33" s="4"/>
      <c r="Y33" s="4"/>
      <c r="Z33" s="4"/>
      <c r="AA33" s="4"/>
      <c r="AB33" s="4"/>
      <c r="AC33" s="4"/>
      <c r="AD33" s="4"/>
      <c r="AE33" s="4"/>
      <c r="AF33" s="4"/>
      <c r="AG33" s="4"/>
      <c r="AH33" s="4"/>
      <c r="AI33" s="4"/>
      <c r="AJ33" s="4"/>
      <c r="AK33" s="4"/>
      <c r="AL33" s="4"/>
    </row>
    <row r="34" spans="1:38" ht="18.75" customHeight="1">
      <c r="A34" s="109">
        <v>6.5000000000000002E-2</v>
      </c>
      <c r="B34" s="43"/>
      <c r="C34" s="43"/>
      <c r="D34" s="110">
        <v>2780</v>
      </c>
      <c r="E34" s="111">
        <v>5.0999999999999996</v>
      </c>
      <c r="F34" s="112">
        <v>0.31</v>
      </c>
      <c r="G34" s="112">
        <v>0.19</v>
      </c>
      <c r="H34" s="109">
        <v>1</v>
      </c>
      <c r="I34" s="109">
        <v>1</v>
      </c>
      <c r="J34" s="109">
        <v>1</v>
      </c>
      <c r="K34" s="109">
        <v>1</v>
      </c>
      <c r="L34" s="109">
        <v>1</v>
      </c>
      <c r="M34" s="110">
        <v>5</v>
      </c>
      <c r="N34" s="113"/>
      <c r="O34" s="19"/>
      <c r="P34" s="105"/>
      <c r="Q34" s="4"/>
      <c r="R34" s="4"/>
      <c r="S34" s="4"/>
      <c r="T34" s="4"/>
      <c r="U34" s="4"/>
      <c r="V34" s="4"/>
      <c r="W34" s="4"/>
      <c r="X34" s="4"/>
      <c r="Y34" s="4"/>
      <c r="Z34" s="4"/>
      <c r="AA34" s="4"/>
      <c r="AB34" s="4"/>
      <c r="AC34" s="4"/>
      <c r="AD34" s="4"/>
      <c r="AE34" s="4"/>
      <c r="AF34" s="4"/>
      <c r="AG34" s="4"/>
      <c r="AH34" s="4"/>
      <c r="AI34" s="4"/>
      <c r="AJ34" s="4"/>
      <c r="AK34" s="4"/>
      <c r="AL34" s="4"/>
    </row>
    <row r="35" spans="1:38" ht="18.75" customHeight="1">
      <c r="A35" s="114" t="e">
        <f>NA()</f>
        <v>#N/A</v>
      </c>
      <c r="B35" s="114" t="str">
        <f>IFERROR(IF($B$100="window",B21,""),"")</f>
        <v/>
      </c>
      <c r="C35" s="114" t="str">
        <f>IFERROR(IF($B$100="window",B23,""),"")</f>
        <v/>
      </c>
      <c r="D35" s="115" t="e">
        <f>NA()</f>
        <v>#N/A</v>
      </c>
      <c r="E35" s="116" t="e">
        <f>NA()</f>
        <v>#N/A</v>
      </c>
      <c r="F35" s="117" t="e">
        <f>NA()</f>
        <v>#N/A</v>
      </c>
      <c r="G35" s="117" t="e">
        <f>NA()</f>
        <v>#N/A</v>
      </c>
      <c r="H35" s="114" t="e">
        <f>NA()</f>
        <v>#N/A</v>
      </c>
      <c r="I35" s="114" t="e">
        <f>NA()</f>
        <v>#N/A</v>
      </c>
      <c r="J35" s="114" t="e">
        <f>NA()</f>
        <v>#N/A</v>
      </c>
      <c r="K35" s="114" t="e">
        <f>NA()</f>
        <v>#N/A</v>
      </c>
      <c r="L35" s="114" t="e">
        <f>NA()</f>
        <v>#N/A</v>
      </c>
      <c r="M35" s="115" t="e">
        <f>NA()</f>
        <v>#N/A</v>
      </c>
      <c r="N35" s="120" t="e">
        <f>NA()</f>
        <v>#N/A</v>
      </c>
      <c r="O35" s="20"/>
      <c r="P35" s="119"/>
      <c r="Q35" s="4"/>
      <c r="R35" s="4"/>
      <c r="S35" s="4"/>
      <c r="T35" s="4"/>
      <c r="U35" s="4"/>
      <c r="V35" s="4"/>
      <c r="W35" s="4"/>
      <c r="X35" s="4"/>
      <c r="Y35" s="4"/>
      <c r="Z35" s="4"/>
      <c r="AA35" s="4"/>
      <c r="AB35" s="4"/>
      <c r="AC35" s="4"/>
      <c r="AD35" s="4"/>
      <c r="AE35" s="4"/>
      <c r="AF35" s="4"/>
      <c r="AG35" s="4"/>
      <c r="AH35" s="4"/>
      <c r="AI35" s="4"/>
      <c r="AJ35" s="4"/>
      <c r="AK35" s="4"/>
      <c r="AL35" s="4"/>
    </row>
    <row r="36" spans="1:38" ht="18.75" customHeight="1">
      <c r="A36" s="109" t="e">
        <f>NA()</f>
        <v>#N/A</v>
      </c>
      <c r="B36" s="109" t="str">
        <f>IFERROR(IF($B$100="window",B22,""),"")</f>
        <v/>
      </c>
      <c r="C36" s="109" t="str">
        <f>IFERROR(IF($B$100="window",B24,""),"")</f>
        <v/>
      </c>
      <c r="D36" s="110" t="e">
        <f>NA()</f>
        <v>#N/A</v>
      </c>
      <c r="E36" s="111" t="e">
        <f>NA()</f>
        <v>#N/A</v>
      </c>
      <c r="F36" s="112" t="e">
        <f>NA()</f>
        <v>#N/A</v>
      </c>
      <c r="G36" s="112" t="e">
        <f>NA()</f>
        <v>#N/A</v>
      </c>
      <c r="H36" s="109" t="e">
        <f>NA()</f>
        <v>#N/A</v>
      </c>
      <c r="I36" s="109" t="e">
        <f>NA()</f>
        <v>#N/A</v>
      </c>
      <c r="J36" s="109" t="e">
        <f>NA()</f>
        <v>#N/A</v>
      </c>
      <c r="K36" s="109" t="e">
        <f>NA()</f>
        <v>#N/A</v>
      </c>
      <c r="L36" s="109" t="e">
        <f>NA()</f>
        <v>#N/A</v>
      </c>
      <c r="M36" s="110" t="e">
        <f>NA()</f>
        <v>#N/A</v>
      </c>
      <c r="N36" s="121" t="e">
        <f>NA()</f>
        <v>#N/A</v>
      </c>
      <c r="O36" s="19"/>
      <c r="P36" s="105"/>
      <c r="Q36" s="4"/>
      <c r="R36" s="4"/>
      <c r="S36" s="4"/>
      <c r="T36" s="4"/>
      <c r="U36" s="4"/>
      <c r="V36" s="4"/>
      <c r="W36" s="4"/>
      <c r="X36" s="4"/>
      <c r="Y36" s="4"/>
      <c r="Z36" s="4"/>
      <c r="AA36" s="4"/>
      <c r="AB36" s="4"/>
      <c r="AC36" s="4"/>
      <c r="AD36" s="4"/>
      <c r="AE36" s="4"/>
      <c r="AF36" s="4"/>
      <c r="AG36" s="4"/>
      <c r="AH36" s="4"/>
      <c r="AI36" s="4"/>
      <c r="AJ36" s="4"/>
      <c r="AK36" s="4"/>
      <c r="AL36" s="4"/>
    </row>
    <row r="37" spans="1:38" ht="18.75" customHeight="1">
      <c r="A37" s="114" t="e">
        <f>NA()</f>
        <v>#N/A</v>
      </c>
      <c r="B37" s="114" t="str">
        <f>IFERROR(IF($B$100="window",B23,""),"")</f>
        <v/>
      </c>
      <c r="C37" s="114" t="str">
        <f>IFERROR(IF($B$100="window",B25,""),"")</f>
        <v/>
      </c>
      <c r="D37" s="115" t="e">
        <f>NA()</f>
        <v>#N/A</v>
      </c>
      <c r="E37" s="116" t="e">
        <f>NA()</f>
        <v>#N/A</v>
      </c>
      <c r="F37" s="117" t="e">
        <f>NA()</f>
        <v>#N/A</v>
      </c>
      <c r="G37" s="117" t="e">
        <f>NA()</f>
        <v>#N/A</v>
      </c>
      <c r="H37" s="114" t="e">
        <f>NA()</f>
        <v>#N/A</v>
      </c>
      <c r="I37" s="114" t="e">
        <f>NA()</f>
        <v>#N/A</v>
      </c>
      <c r="J37" s="114" t="e">
        <f>NA()</f>
        <v>#N/A</v>
      </c>
      <c r="K37" s="114" t="e">
        <f>NA()</f>
        <v>#N/A</v>
      </c>
      <c r="L37" s="114" t="e">
        <f>NA()</f>
        <v>#N/A</v>
      </c>
      <c r="M37" s="115" t="e">
        <f>NA()</f>
        <v>#N/A</v>
      </c>
      <c r="N37" s="120" t="e">
        <f>NA()</f>
        <v>#N/A</v>
      </c>
      <c r="O37" s="20"/>
      <c r="P37" s="119"/>
      <c r="Q37" s="4"/>
      <c r="R37" s="4"/>
      <c r="S37" s="4"/>
      <c r="T37" s="4"/>
      <c r="U37" s="4"/>
      <c r="V37" s="4"/>
      <c r="W37" s="4"/>
      <c r="X37" s="4"/>
      <c r="Y37" s="4"/>
      <c r="Z37" s="4"/>
      <c r="AA37" s="4"/>
      <c r="AB37" s="4"/>
      <c r="AC37" s="4"/>
      <c r="AD37" s="4"/>
      <c r="AE37" s="4"/>
      <c r="AF37" s="4"/>
      <c r="AG37" s="4"/>
      <c r="AH37" s="4"/>
      <c r="AI37" s="4"/>
      <c r="AJ37" s="4"/>
      <c r="AK37" s="4"/>
      <c r="AL37" s="4"/>
    </row>
    <row r="38" spans="1:38" ht="30"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row>
    <row r="39" spans="1:38" ht="1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row>
    <row r="40" spans="1:38" ht="1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row>
    <row r="41" spans="1:38" ht="1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row>
    <row r="42" spans="1:38" ht="1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row>
    <row r="43" spans="1:38" ht="1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row>
    <row r="44" spans="1:38" ht="21.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row>
    <row r="45" spans="1:38" ht="1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row>
    <row r="46" spans="1:38" ht="1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row>
    <row r="47" spans="1:38" ht="1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row>
    <row r="48" spans="1:38" ht="1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row>
    <row r="49" spans="1:38" ht="1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row>
    <row r="50" spans="1:38" ht="21.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row>
    <row r="51" spans="1:38"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row>
    <row r="52" spans="1:38"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row>
    <row r="53" spans="1:38"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row>
    <row r="54" spans="1:38"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row>
    <row r="55" spans="1:38"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row>
    <row r="56" spans="1:38"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row>
    <row r="57" spans="1:38"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row>
    <row r="58" spans="1:3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row>
    <row r="59" spans="1:38"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row>
    <row r="60" spans="1:38"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row>
    <row r="61" spans="1:38"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row>
    <row r="62" spans="1:38"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row>
    <row r="63" spans="1:38"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row>
    <row r="64" spans="1:38"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row>
    <row r="65" spans="1:38"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row>
    <row r="66" spans="1:38"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row>
    <row r="67" spans="1:38"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row>
    <row r="68" spans="1:3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row>
    <row r="69" spans="1:38"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row>
    <row r="70" spans="1:38"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row>
    <row r="71" spans="1:38" ht="15.75" customHeight="1"/>
    <row r="72" spans="1:38" ht="15.75" customHeight="1"/>
    <row r="73" spans="1:38" ht="15.75" customHeight="1"/>
    <row r="74" spans="1:38" ht="15.75" customHeight="1"/>
    <row r="75" spans="1:38" ht="15.75" customHeight="1"/>
    <row r="76" spans="1:38" ht="15.75" customHeight="1"/>
    <row r="77" spans="1:38" ht="15.75" customHeight="1"/>
    <row r="78" spans="1:38" ht="15.75" customHeight="1"/>
    <row r="79" spans="1:38" ht="15.75" customHeight="1"/>
    <row r="80" spans="1:3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spans="1:2" ht="15.75" customHeight="1"/>
    <row r="98" spans="1:2" ht="15.75" customHeight="1"/>
    <row r="99" spans="1:2" ht="15.75" customHeight="1"/>
    <row r="100" spans="1:2" ht="15.75" customHeight="1">
      <c r="A100" s="46" t="s">
        <v>142</v>
      </c>
      <c r="B100" s="122" t="str">
        <f>IF(COUNT(B16:B25)&gt;=5,"window","test")</f>
        <v>window</v>
      </c>
    </row>
    <row r="101" spans="1:2" ht="15.75" customHeight="1"/>
    <row r="102" spans="1:2" ht="15.75" customHeight="1"/>
    <row r="103" spans="1:2" ht="15.75" customHeight="1"/>
    <row r="104" spans="1:2" ht="15.75" customHeight="1"/>
    <row r="105" spans="1:2" ht="15.75" customHeight="1"/>
    <row r="106" spans="1:2" ht="15.75" customHeight="1"/>
    <row r="107" spans="1:2" ht="15.75" customHeight="1"/>
    <row r="108" spans="1:2" ht="15.75" customHeight="1"/>
    <row r="109" spans="1:2" ht="15.75" customHeight="1"/>
    <row r="110" spans="1:2" ht="15.75" customHeight="1"/>
    <row r="111" spans="1:2" ht="15.75" customHeight="1"/>
    <row r="112" spans="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sheet="1" formatCells="0" formatColumns="0" formatRows="0" sort="0" autoFilter="0"/>
  <mergeCells count="28">
    <mergeCell ref="A1:P1"/>
    <mergeCell ref="L10:P10"/>
    <mergeCell ref="G7:J7"/>
    <mergeCell ref="G10:J10"/>
    <mergeCell ref="L9:M9"/>
    <mergeCell ref="G6:J6"/>
    <mergeCell ref="O2:P2"/>
    <mergeCell ref="L6:P6"/>
    <mergeCell ref="A2:C2"/>
    <mergeCell ref="G9:J9"/>
    <mergeCell ref="D2:E2"/>
    <mergeCell ref="L5:P5"/>
    <mergeCell ref="B9:E9"/>
    <mergeCell ref="G2:H2"/>
    <mergeCell ref="B6:E6"/>
    <mergeCell ref="A8:P8"/>
    <mergeCell ref="A27:P27"/>
    <mergeCell ref="A12:P12"/>
    <mergeCell ref="A3:P3"/>
    <mergeCell ref="A26:P26"/>
    <mergeCell ref="B10:E10"/>
    <mergeCell ref="G5:J5"/>
    <mergeCell ref="L13:P13"/>
    <mergeCell ref="G13:J13"/>
    <mergeCell ref="B13:E13"/>
    <mergeCell ref="A4:P4"/>
    <mergeCell ref="B5:E5"/>
    <mergeCell ref="O9:P9"/>
  </mergeCells>
  <conditionalFormatting sqref="K16:K25">
    <cfRule type="colorScale" priority="2">
      <colorScale>
        <cfvo type="min"/>
        <cfvo type="percentile" val="50"/>
        <cfvo type="max"/>
        <color rgb="FF63BE7B"/>
        <color rgb="FFFFEB84"/>
        <color rgb="FFF8696B"/>
      </colorScale>
    </cfRule>
    <cfRule type="colorScale" priority="9">
      <colorScale>
        <cfvo type="min"/>
        <cfvo type="percentile" val="50"/>
        <cfvo type="max"/>
        <color rgb="FF63BE7B"/>
        <color rgb="FFFFEB84"/>
        <color rgb="FFF8696B"/>
      </colorScale>
    </cfRule>
  </conditionalFormatting>
  <conditionalFormatting sqref="L16:L25">
    <cfRule type="colorScale" priority="3">
      <colorScale>
        <cfvo type="min"/>
        <cfvo type="percentile" val="50"/>
        <cfvo type="max"/>
        <color rgb="FF63BE7B"/>
        <color rgb="FFFFEB84"/>
        <color rgb="FFF8696B"/>
      </colorScale>
    </cfRule>
    <cfRule type="colorScale" priority="10">
      <colorScale>
        <cfvo type="min"/>
        <cfvo type="percentile" val="50"/>
        <cfvo type="max"/>
        <color rgb="FF63BE7B"/>
        <color rgb="FFFFEB84"/>
        <color rgb="FFF8696B"/>
      </colorScale>
    </cfRule>
  </conditionalFormatting>
  <conditionalFormatting sqref="N16:N25">
    <cfRule type="colorScale" priority="4">
      <colorScale>
        <cfvo type="min"/>
        <cfvo type="percentile" val="50"/>
        <cfvo type="max"/>
        <color rgb="FF63BE7B"/>
        <color rgb="FFFFEB84"/>
        <color rgb="FFF8696B"/>
      </colorScale>
    </cfRule>
    <cfRule type="colorScale" priority="12">
      <colorScale>
        <cfvo type="min"/>
        <cfvo type="percentile" val="50"/>
        <cfvo type="max"/>
        <color rgb="FF63BE7B"/>
        <color rgb="FFFFEB84"/>
        <color rgb="FFF8696B"/>
      </colorScale>
    </cfRule>
  </conditionalFormatting>
  <conditionalFormatting sqref="L30:L37">
    <cfRule type="colorScale" priority="5">
      <colorScale>
        <cfvo type="min"/>
        <cfvo type="percentile" val="50"/>
        <cfvo type="max"/>
        <color rgb="FF63BE7B"/>
        <color rgb="FFFFEB84"/>
        <color rgb="FFF8696B"/>
      </colorScale>
    </cfRule>
  </conditionalFormatting>
  <conditionalFormatting sqref="A2:P3">
    <cfRule type="expression" dxfId="1" priority="13">
      <formula>ISNA(INDIRECT(ADDRESS(ROW(),COLUMN())))</formula>
    </cfRule>
  </conditionalFormatting>
  <conditionalFormatting sqref="A15:P25">
    <cfRule type="expression" dxfId="0" priority="6">
      <formula>ISNA(INDIRECT(ADDRESS(ROW(),COLUMN())))</formula>
    </cfRule>
  </conditionalFormatting>
  <conditionalFormatting sqref="I16:I25">
    <cfRule type="colorScale" priority="7">
      <colorScale>
        <cfvo type="min"/>
        <cfvo type="percentile" val="50"/>
        <cfvo type="max"/>
        <color rgb="FF63BE7B"/>
        <color rgb="FFFFEB84"/>
        <color rgb="FFF8696B"/>
      </colorScale>
    </cfRule>
  </conditionalFormatting>
  <conditionalFormatting sqref="J16:J25">
    <cfRule type="colorScale" priority="8">
      <colorScale>
        <cfvo type="min"/>
        <cfvo type="percentile" val="50"/>
        <cfvo type="max"/>
        <color rgb="FF63BE7B"/>
        <color rgb="FFFFEB84"/>
        <color rgb="FFF8696B"/>
      </colorScale>
    </cfRule>
  </conditionalFormatting>
  <conditionalFormatting sqref="M16:M25">
    <cfRule type="colorScale" priority="11">
      <colorScale>
        <cfvo type="min"/>
        <cfvo type="percentile" val="50"/>
        <cfvo type="max"/>
        <color rgb="FF63BE7B"/>
        <color rgb="FFFFEB84"/>
        <color rgb="FFF8696B"/>
      </colorScale>
    </cfRule>
  </conditionalFormatting>
  <conditionalFormatting sqref="O16:O25">
    <cfRule type="colorScale" priority="100">
      <colorScale>
        <cfvo type="min"/>
        <cfvo type="percentile" val="50"/>
        <cfvo type="max"/>
        <color rgb="FF63BE7B"/>
        <color rgb="FFFFEB84"/>
        <color rgb="FFF8696B"/>
      </colorScale>
    </cfRule>
  </conditionalFormatting>
  <conditionalFormatting sqref="D30:D37">
    <cfRule type="colorScale" priority="101">
      <colorScale>
        <cfvo type="min"/>
        <cfvo type="percentile" val="50"/>
        <cfvo type="max"/>
        <color rgb="FF63BE7B"/>
        <color rgb="FFFFEB84"/>
        <color rgb="FFF8696B"/>
      </colorScale>
    </cfRule>
  </conditionalFormatting>
  <conditionalFormatting sqref="E30:E37">
    <cfRule type="colorScale" priority="102">
      <colorScale>
        <cfvo type="min"/>
        <cfvo type="percentile" val="50"/>
        <cfvo type="max"/>
        <color rgb="FF63BE7B"/>
        <color rgb="FFFFEB84"/>
        <color rgb="FFF8696B"/>
      </colorScale>
    </cfRule>
  </conditionalFormatting>
  <conditionalFormatting sqref="F30:F37">
    <cfRule type="colorScale" priority="103">
      <colorScale>
        <cfvo type="min"/>
        <cfvo type="percentile" val="50"/>
        <cfvo type="max"/>
        <color rgb="FF63BE7B"/>
        <color rgb="FFFFEB84"/>
        <color rgb="FFF8696B"/>
      </colorScale>
    </cfRule>
  </conditionalFormatting>
  <conditionalFormatting sqref="G30:G37">
    <cfRule type="colorScale" priority="104">
      <colorScale>
        <cfvo type="min"/>
        <cfvo type="percentile" val="50"/>
        <cfvo type="max"/>
        <color rgb="FF63BE7B"/>
        <color rgb="FFFFEB84"/>
        <color rgb="FFF8696B"/>
      </colorScale>
    </cfRule>
  </conditionalFormatting>
  <dataValidations count="1">
    <dataValidation type="list" allowBlank="1" showInputMessage="1" promptTitle="Pick your turret clicks" prompt="Click the arrow on the right to choose your scope's click value (0.1 Mil, 0.05 Mil, 1/4 MOA, 1/8 MOA, or N/A)." sqref="G7:J7" xr:uid="{00000000-0002-0000-0300-000000000000}">
      <formula1>"0.1 Mil,0.05 Mil,1/4 MOA,1/8 MOA,N/A"</formula1>
    </dataValidation>
  </dataValidations>
  <hyperlinks>
    <hyperlink ref="A3" location="Charts!A1" display="↓  Click here to jump to the Charts sheet (Suggested Best Load)  ↓" xr:uid="{00000000-0004-0000-0300-000000000000}"/>
    <hyperlink ref="A26" r:id="rId1" display="Save Suggested Load to Library" xr:uid="{00000000-0004-0000-0300-000001000000}"/>
    <hyperlink ref="A28" r:id="rId2" display="Click to reset to Loadscope defaults" xr:uid="{00000000-0004-0000-0300-000002000000}"/>
  </hyperlinks>
  <printOptions horizontalCentered="1"/>
  <pageMargins left="0.25" right="0.25" top="0.5" bottom="0.5" header="0.25" footer="0.25"/>
  <pageSetup orientation="landscape" horizontalDpi="300" verticalDpi="300"/>
  <headerFooter>
    <oddHeader>&amp;L&amp;"Calibri,Italic"&amp;8 &amp;"Calibri,Italic"&amp;8 &amp;F&amp;C&amp;"Calibri,Bold"&amp;10 &amp;"Calibri,Bold"&amp;10 &amp;A&amp;R&amp;"Calibri,Italic"&amp;8 &amp;"Calibri,Italic"&amp;8 Page &amp;P of &amp;N</oddHeader>
    <oddFooter>&amp;LRifle Load Development Log&amp;RPage &amp;P of</oddFooter>
  </headerFooter>
  <drawing r:id="rId3"/>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T58"/>
  <sheetViews>
    <sheetView showGridLines="0" zoomScaleNormal="100" workbookViewId="0"/>
  </sheetViews>
  <sheetFormatPr baseColWidth="10" defaultColWidth="8.6640625" defaultRowHeight="15" outlineLevelCol="1"/>
  <cols>
    <col min="1" max="1" width="6" style="3" customWidth="1"/>
    <col min="2" max="2" width="11" style="3" customWidth="1"/>
    <col min="3" max="3" width="30" style="3" customWidth="1"/>
    <col min="4" max="4" width="7" style="3" customWidth="1"/>
    <col min="5" max="5" width="10" style="3" hidden="1" customWidth="1" outlineLevel="1"/>
    <col min="6" max="14" width="13" style="2" hidden="1" customWidth="1" outlineLevel="1"/>
    <col min="15" max="15" width="10" style="3" customWidth="1"/>
    <col min="16" max="17" width="8" style="2" customWidth="1"/>
    <col min="18" max="18" width="10" style="3" customWidth="1"/>
    <col min="19" max="19" width="11" style="3" customWidth="1"/>
    <col min="20" max="20" width="28" style="3" customWidth="1"/>
  </cols>
  <sheetData>
    <row r="1" spans="1:20" ht="31.5" customHeight="1">
      <c r="A1" s="176" t="s">
        <v>159</v>
      </c>
      <c r="B1" s="208"/>
      <c r="C1" s="208"/>
      <c r="D1" s="208"/>
      <c r="E1" s="208"/>
      <c r="F1" s="154"/>
      <c r="G1" s="154"/>
      <c r="H1" s="154"/>
      <c r="I1" s="154"/>
      <c r="J1" s="154"/>
      <c r="K1" s="154"/>
      <c r="L1" s="154"/>
      <c r="M1" s="154"/>
      <c r="N1" s="154"/>
      <c r="O1" s="208"/>
      <c r="P1" s="154"/>
      <c r="Q1" s="154"/>
      <c r="R1" s="208"/>
      <c r="S1" s="208"/>
      <c r="T1" s="208"/>
    </row>
    <row r="2" spans="1:20" ht="36" customHeight="1">
      <c r="A2" s="211" t="s">
        <v>160</v>
      </c>
      <c r="B2" s="208"/>
      <c r="C2" s="208"/>
      <c r="D2" s="208"/>
      <c r="E2" s="208"/>
      <c r="F2" s="154"/>
      <c r="G2" s="154"/>
      <c r="H2" s="154"/>
      <c r="I2" s="154"/>
      <c r="J2" s="154"/>
      <c r="K2" s="154"/>
      <c r="L2" s="154"/>
      <c r="M2" s="154"/>
      <c r="N2" s="154"/>
      <c r="O2" s="208"/>
      <c r="P2" s="154"/>
      <c r="Q2" s="154"/>
      <c r="R2" s="208"/>
      <c r="S2" s="208"/>
      <c r="T2" s="208"/>
    </row>
    <row r="3" spans="1:20" ht="26" customHeight="1">
      <c r="A3" s="209" t="s">
        <v>161</v>
      </c>
      <c r="B3" s="210"/>
      <c r="C3" s="210"/>
      <c r="D3" s="210"/>
      <c r="E3" s="210"/>
      <c r="F3" s="210"/>
      <c r="G3" s="210"/>
      <c r="H3" s="210"/>
      <c r="I3" s="210"/>
      <c r="J3" s="210"/>
      <c r="K3" s="210"/>
      <c r="L3" s="210"/>
      <c r="M3" s="210"/>
      <c r="N3" s="210"/>
      <c r="O3" s="210"/>
      <c r="P3" s="210"/>
      <c r="Q3" s="210"/>
      <c r="R3" s="210"/>
      <c r="S3" s="210"/>
      <c r="T3" s="210"/>
    </row>
    <row r="4" spans="1:20" ht="6" customHeight="1"/>
    <row r="5" spans="1:20" ht="32" customHeight="1">
      <c r="A5" s="123" t="s">
        <v>162</v>
      </c>
      <c r="B5" s="123" t="s">
        <v>163</v>
      </c>
      <c r="C5" s="123" t="s">
        <v>164</v>
      </c>
      <c r="D5" s="123" t="s">
        <v>165</v>
      </c>
      <c r="E5" s="123" t="s">
        <v>166</v>
      </c>
      <c r="F5" s="123" t="s">
        <v>167</v>
      </c>
      <c r="G5" s="123" t="s">
        <v>168</v>
      </c>
      <c r="H5" s="123" t="s">
        <v>169</v>
      </c>
      <c r="I5" s="123" t="s">
        <v>170</v>
      </c>
      <c r="J5" s="123" t="s">
        <v>171</v>
      </c>
      <c r="K5" s="123" t="s">
        <v>172</v>
      </c>
      <c r="L5" s="124" t="s">
        <v>173</v>
      </c>
      <c r="M5" s="124" t="s">
        <v>174</v>
      </c>
      <c r="N5" s="124" t="s">
        <v>175</v>
      </c>
      <c r="O5" s="124" t="s">
        <v>126</v>
      </c>
      <c r="P5" s="124" t="s">
        <v>127</v>
      </c>
      <c r="Q5" s="124" t="s">
        <v>176</v>
      </c>
      <c r="R5" s="124" t="s">
        <v>177</v>
      </c>
      <c r="S5" s="124" t="s">
        <v>178</v>
      </c>
      <c r="T5" s="124" t="s">
        <v>153</v>
      </c>
    </row>
    <row r="6" spans="1:20" ht="18.75" customHeight="1">
      <c r="A6" s="125" t="s">
        <v>179</v>
      </c>
      <c r="B6" s="126" t="str">
        <f>IFERROR(LOOKUP(2,1/(GarminSessions!$A$2:$A$200=$A6),GarminSessions!$D$2:$D$200),"")</f>
        <v>2026-04-12</v>
      </c>
      <c r="C6" s="127" t="str">
        <f>IFERROR(IF(LOOKUP(2,1/(GarminSessions!$A$2:$A$200=$A6),GarminSessions!$T$2:$T$200)="","",LOOKUP(2,1/(GarminSessions!$A$2:$A$200=$A6),GarminSessions!$T$2:$T$200)),"")</f>
        <v>6.5 CM H4350 41.5gr</v>
      </c>
      <c r="D6" s="128">
        <f t="shared" ref="D6:D15" si="0">COUNT(E6:N6)</f>
        <v>10</v>
      </c>
      <c r="E6" s="129">
        <f>IFERROR(IF(LOOKUP(2,1/(GarminSessions!$A$2:$A$200=$A6),GarminSessions!$E$2:$E$200)&gt;0,LOOKUP(2,1/(GarminSessions!$A$2:$A$200=$A6),GarminSessions!$E$2:$E$200),""),"")</f>
        <v>2710</v>
      </c>
      <c r="F6" s="129">
        <f>IFERROR(IF(LOOKUP(2,1/(GarminSessions!$A$2:$A$200=$A6),GarminSessions!$F$2:$F$200)&gt;0,LOOKUP(2,1/(GarminSessions!$A$2:$A$200=$A6),GarminSessions!$F$2:$F$200),""),"")</f>
        <v>2718</v>
      </c>
      <c r="G6" s="129">
        <f>IFERROR(IF(LOOKUP(2,1/(GarminSessions!$A$2:$A$200=$A6),GarminSessions!$G$2:$G$200)&gt;0,LOOKUP(2,1/(GarminSessions!$A$2:$A$200=$A6),GarminSessions!$G$2:$G$200),""),"")</f>
        <v>2705</v>
      </c>
      <c r="H6" s="129">
        <f>IFERROR(IF(LOOKUP(2,1/(GarminSessions!$A$2:$A$200=$A6),GarminSessions!$H$2:$H$200)&gt;0,LOOKUP(2,1/(GarminSessions!$A$2:$A$200=$A6),GarminSessions!$H$2:$H$200),""),"")</f>
        <v>2720</v>
      </c>
      <c r="I6" s="129">
        <f>IFERROR(IF(LOOKUP(2,1/(GarminSessions!$A$2:$A$200=$A6),GarminSessions!$I$2:$I$200)&gt;0,LOOKUP(2,1/(GarminSessions!$A$2:$A$200=$A6),GarminSessions!$I$2:$I$200),""),"")</f>
        <v>2715</v>
      </c>
      <c r="J6" s="129">
        <f>IFERROR(IF(LOOKUP(2,1/(GarminSessions!$A$2:$A$200=$A6),GarminSessions!$J$2:$J$200)&gt;0,LOOKUP(2,1/(GarminSessions!$A$2:$A$200=$A6),GarminSessions!$J$2:$J$200),""),"")</f>
        <v>2712</v>
      </c>
      <c r="K6" s="129">
        <f>IFERROR(IF(LOOKUP(2,1/(GarminSessions!$A$2:$A$200=$A6),GarminSessions!$K$2:$K$200)&gt;0,LOOKUP(2,1/(GarminSessions!$A$2:$A$200=$A6),GarminSessions!$K$2:$K$200),""),"")</f>
        <v>2722</v>
      </c>
      <c r="L6" s="128">
        <f>IFERROR(IF(LOOKUP(2,1/(GarminSessions!$A$2:$A$200=$A6),GarminSessions!$L$2:$L$200)&gt;0,LOOKUP(2,1/(GarminSessions!$A$2:$A$200=$A6),GarminSessions!$L$2:$L$200),""),"")</f>
        <v>2708</v>
      </c>
      <c r="M6" s="128">
        <f>IFERROR(IF(LOOKUP(2,1/(GarminSessions!$A$2:$A$200=$A6),GarminSessions!$M$2:$M$200)&gt;0,LOOKUP(2,1/(GarminSessions!$A$2:$A$200=$A6),GarminSessions!$M$2:$M$200),""),"")</f>
        <v>2716</v>
      </c>
      <c r="N6" s="128">
        <f>IFERROR(IF(LOOKUP(2,1/(GarminSessions!$A$2:$A$200=$A6),GarminSessions!$N$2:$N$200)&gt;0,LOOKUP(2,1/(GarminSessions!$A$2:$A$200=$A6),GarminSessions!$N$2:$N$200),""),"")</f>
        <v>2724</v>
      </c>
      <c r="O6" s="130">
        <f>IFERROR(LOOKUP(2,1/(GarminSessions!$A$2:$A$200=$A6),GarminSessions!$O$2:$O$200),"")</f>
        <v>2715</v>
      </c>
      <c r="P6" s="126">
        <f>IFERROR(LOOKUP(2,1/(GarminSessions!$A$2:$A$200=$A6),GarminSessions!$P$2:$P$200),"")</f>
        <v>6.7</v>
      </c>
      <c r="Q6" s="130">
        <f>IFERROR(LOOKUP(2,1/(GarminSessions!$A$2:$A$200=$A6),GarminSessions!$Q$2:$Q$200),"")</f>
        <v>19</v>
      </c>
      <c r="R6" s="126">
        <f>IFERROR(LOOKUP(2,1/(GarminSessions!$A$2:$A$200=$A6),GarminSessions!$R$2:$R$200),"")</f>
        <v>140</v>
      </c>
      <c r="S6" s="126">
        <f>IFERROR(LOOKUP(2,1/(GarminSessions!$A$2:$A$200=$A6),GarminSessions!$S$2:$S$200),"")</f>
        <v>2293</v>
      </c>
      <c r="T6" s="127" t="str">
        <f>IFERROR(IF(LOOKUP(2,1/(GarminSessions!$A$2:$A$200=$A6),GarminSessions!$U$2:$U$200)="","",LOOKUP(2,1/(GarminSessions!$A$2:$A$200=$A6),GarminSessions!$U$2:$U$200)),"")</f>
        <v>Hornady brass, CCI BR-2 primer, 2.875 OAL</v>
      </c>
    </row>
    <row r="7" spans="1:20" ht="18.75" customHeight="1">
      <c r="A7" s="131" t="s">
        <v>180</v>
      </c>
      <c r="B7" s="132" t="str">
        <f>IFERROR(LOOKUP(2,1/(GarminSessions!$A$2:$A$200=$A7),GarminSessions!$D$2:$D$200),"")</f>
        <v>2026-04-12</v>
      </c>
      <c r="C7" s="133" t="str">
        <f>IFERROR(IF(LOOKUP(2,1/(GarminSessions!$A$2:$A$200=$A7),GarminSessions!$T$2:$T$200)="","",LOOKUP(2,1/(GarminSessions!$A$2:$A$200=$A7),GarminSessions!$T$2:$T$200)),"")</f>
        <v>6.5 CM H4350 41.8gr</v>
      </c>
      <c r="D7" s="134">
        <f t="shared" si="0"/>
        <v>10</v>
      </c>
      <c r="E7" s="135">
        <f>IFERROR(IF(LOOKUP(2,1/(GarminSessions!$A$2:$A$200=$A7),GarminSessions!$E$2:$E$200)&gt;0,LOOKUP(2,1/(GarminSessions!$A$2:$A$200=$A7),GarminSessions!$E$2:$E$200),""),"")</f>
        <v>2732</v>
      </c>
      <c r="F7" s="135">
        <f>IFERROR(IF(LOOKUP(2,1/(GarminSessions!$A$2:$A$200=$A7),GarminSessions!$F$2:$F$200)&gt;0,LOOKUP(2,1/(GarminSessions!$A$2:$A$200=$A7),GarminSessions!$F$2:$F$200),""),"")</f>
        <v>2748</v>
      </c>
      <c r="G7" s="135">
        <f>IFERROR(IF(LOOKUP(2,1/(GarminSessions!$A$2:$A$200=$A7),GarminSessions!$G$2:$G$200)&gt;0,LOOKUP(2,1/(GarminSessions!$A$2:$A$200=$A7),GarminSessions!$G$2:$G$200),""),"")</f>
        <v>2725</v>
      </c>
      <c r="H7" s="135">
        <f>IFERROR(IF(LOOKUP(2,1/(GarminSessions!$A$2:$A$200=$A7),GarminSessions!$H$2:$H$200)&gt;0,LOOKUP(2,1/(GarminSessions!$A$2:$A$200=$A7),GarminSessions!$H$2:$H$200),""),"")</f>
        <v>2740</v>
      </c>
      <c r="I7" s="135">
        <f>IFERROR(IF(LOOKUP(2,1/(GarminSessions!$A$2:$A$200=$A7),GarminSessions!$I$2:$I$200)&gt;0,LOOKUP(2,1/(GarminSessions!$A$2:$A$200=$A7),GarminSessions!$I$2:$I$200),""),"")</f>
        <v>2738</v>
      </c>
      <c r="J7" s="135">
        <f>IFERROR(IF(LOOKUP(2,1/(GarminSessions!$A$2:$A$200=$A7),GarminSessions!$J$2:$J$200)&gt;0,LOOKUP(2,1/(GarminSessions!$A$2:$A$200=$A7),GarminSessions!$J$2:$J$200),""),"")</f>
        <v>2734</v>
      </c>
      <c r="K7" s="135">
        <f>IFERROR(IF(LOOKUP(2,1/(GarminSessions!$A$2:$A$200=$A7),GarminSessions!$K$2:$K$200)&gt;0,LOOKUP(2,1/(GarminSessions!$A$2:$A$200=$A7),GarminSessions!$K$2:$K$200),""),"")</f>
        <v>2742</v>
      </c>
      <c r="L7" s="132">
        <f>IFERROR(IF(LOOKUP(2,1/(GarminSessions!$A$2:$A$200=$A7),GarminSessions!$L$2:$L$200)&gt;0,LOOKUP(2,1/(GarminSessions!$A$2:$A$200=$A7),GarminSessions!$L$2:$L$200),""),"")</f>
        <v>2728</v>
      </c>
      <c r="M7" s="132">
        <f>IFERROR(IF(LOOKUP(2,1/(GarminSessions!$A$2:$A$200=$A7),GarminSessions!$M$2:$M$200)&gt;0,LOOKUP(2,1/(GarminSessions!$A$2:$A$200=$A7),GarminSessions!$M$2:$M$200),""),"")</f>
        <v>2736</v>
      </c>
      <c r="N7" s="132">
        <f>IFERROR(IF(LOOKUP(2,1/(GarminSessions!$A$2:$A$200=$A7),GarminSessions!$N$2:$N$200)&gt;0,LOOKUP(2,1/(GarminSessions!$A$2:$A$200=$A7),GarminSessions!$N$2:$N$200),""),"")</f>
        <v>2747</v>
      </c>
      <c r="O7" s="135">
        <f>IFERROR(LOOKUP(2,1/(GarminSessions!$A$2:$A$200=$A7),GarminSessions!$O$2:$O$200),"")</f>
        <v>2737</v>
      </c>
      <c r="P7" s="132">
        <f>IFERROR(LOOKUP(2,1/(GarminSessions!$A$2:$A$200=$A7),GarminSessions!$P$2:$P$200),"")</f>
        <v>7.8</v>
      </c>
      <c r="Q7" s="135">
        <f>IFERROR(LOOKUP(2,1/(GarminSessions!$A$2:$A$200=$A7),GarminSessions!$Q$2:$Q$200),"")</f>
        <v>23</v>
      </c>
      <c r="R7" s="132">
        <f>IFERROR(LOOKUP(2,1/(GarminSessions!$A$2:$A$200=$A7),GarminSessions!$R$2:$R$200),"")</f>
        <v>140</v>
      </c>
      <c r="S7" s="132">
        <f>IFERROR(LOOKUP(2,1/(GarminSessions!$A$2:$A$200=$A7),GarminSessions!$S$2:$S$200),"")</f>
        <v>2330</v>
      </c>
      <c r="T7" s="133" t="str">
        <f>IFERROR(IF(LOOKUP(2,1/(GarminSessions!$A$2:$A$200=$A7),GarminSessions!$U$2:$U$200)="","",LOOKUP(2,1/(GarminSessions!$A$2:$A$200=$A7),GarminSessions!$U$2:$U$200)),"")</f>
        <v>Hornady brass, CCI BR-2 primer, 2.875 OAL</v>
      </c>
    </row>
    <row r="8" spans="1:20" ht="18.75" customHeight="1">
      <c r="A8" s="125" t="s">
        <v>181</v>
      </c>
      <c r="B8" s="126" t="str">
        <f>IFERROR(LOOKUP(2,1/(GarminSessions!$A$2:$A$200=$A8),GarminSessions!$D$2:$D$200),"")</f>
        <v>2026-04-12</v>
      </c>
      <c r="C8" s="127" t="str">
        <f>IFERROR(IF(LOOKUP(2,1/(GarminSessions!$A$2:$A$200=$A8),GarminSessions!$T$2:$T$200)="","",LOOKUP(2,1/(GarminSessions!$A$2:$A$200=$A8),GarminSessions!$T$2:$T$200)),"")</f>
        <v>6.5 CM H4350 42.1gr</v>
      </c>
      <c r="D8" s="128">
        <f t="shared" si="0"/>
        <v>10</v>
      </c>
      <c r="E8" s="129">
        <f>IFERROR(IF(LOOKUP(2,1/(GarminSessions!$A$2:$A$200=$A8),GarminSessions!$E$2:$E$200)&gt;0,LOOKUP(2,1/(GarminSessions!$A$2:$A$200=$A8),GarminSessions!$E$2:$E$200),""),"")</f>
        <v>2755</v>
      </c>
      <c r="F8" s="129">
        <f>IFERROR(IF(LOOKUP(2,1/(GarminSessions!$A$2:$A$200=$A8),GarminSessions!$F$2:$F$200)&gt;0,LOOKUP(2,1/(GarminSessions!$A$2:$A$200=$A8),GarminSessions!$F$2:$F$200),""),"")</f>
        <v>2762</v>
      </c>
      <c r="G8" s="129">
        <f>IFERROR(IF(LOOKUP(2,1/(GarminSessions!$A$2:$A$200=$A8),GarminSessions!$G$2:$G$200)&gt;0,LOOKUP(2,1/(GarminSessions!$A$2:$A$200=$A8),GarminSessions!$G$2:$G$200),""),"")</f>
        <v>2750</v>
      </c>
      <c r="H8" s="129">
        <f>IFERROR(IF(LOOKUP(2,1/(GarminSessions!$A$2:$A$200=$A8),GarminSessions!$H$2:$H$200)&gt;0,LOOKUP(2,1/(GarminSessions!$A$2:$A$200=$A8),GarminSessions!$H$2:$H$200),""),"")</f>
        <v>2768</v>
      </c>
      <c r="I8" s="129">
        <f>IFERROR(IF(LOOKUP(2,1/(GarminSessions!$A$2:$A$200=$A8),GarminSessions!$I$2:$I$200)&gt;0,LOOKUP(2,1/(GarminSessions!$A$2:$A$200=$A8),GarminSessions!$I$2:$I$200),""),"")</f>
        <v>2760</v>
      </c>
      <c r="J8" s="129">
        <f>IFERROR(IF(LOOKUP(2,1/(GarminSessions!$A$2:$A$200=$A8),GarminSessions!$J$2:$J$200)&gt;0,LOOKUP(2,1/(GarminSessions!$A$2:$A$200=$A8),GarminSessions!$J$2:$J$200),""),"")</f>
        <v>2758</v>
      </c>
      <c r="K8" s="129">
        <f>IFERROR(IF(LOOKUP(2,1/(GarminSessions!$A$2:$A$200=$A8),GarminSessions!$K$2:$K$200)&gt;0,LOOKUP(2,1/(GarminSessions!$A$2:$A$200=$A8),GarminSessions!$K$2:$K$200),""),"")</f>
        <v>2765</v>
      </c>
      <c r="L8" s="128">
        <f>IFERROR(IF(LOOKUP(2,1/(GarminSessions!$A$2:$A$200=$A8),GarminSessions!$L$2:$L$200)&gt;0,LOOKUP(2,1/(GarminSessions!$A$2:$A$200=$A8),GarminSessions!$L$2:$L$200),""),"")</f>
        <v>2752</v>
      </c>
      <c r="M8" s="128">
        <f>IFERROR(IF(LOOKUP(2,1/(GarminSessions!$A$2:$A$200=$A8),GarminSessions!$M$2:$M$200)&gt;0,LOOKUP(2,1/(GarminSessions!$A$2:$A$200=$A8),GarminSessions!$M$2:$M$200),""),"")</f>
        <v>2760</v>
      </c>
      <c r="N8" s="128">
        <f>IFERROR(IF(LOOKUP(2,1/(GarminSessions!$A$2:$A$200=$A8),GarminSessions!$N$2:$N$200)&gt;0,LOOKUP(2,1/(GarminSessions!$A$2:$A$200=$A8),GarminSessions!$N$2:$N$200),""),"")</f>
        <v>2770</v>
      </c>
      <c r="O8" s="130">
        <f>IFERROR(LOOKUP(2,1/(GarminSessions!$A$2:$A$200=$A8),GarminSessions!$O$2:$O$200),"")</f>
        <v>2760</v>
      </c>
      <c r="P8" s="126">
        <f>IFERROR(LOOKUP(2,1/(GarminSessions!$A$2:$A$200=$A8),GarminSessions!$P$2:$P$200),"")</f>
        <v>6.4</v>
      </c>
      <c r="Q8" s="130">
        <f>IFERROR(LOOKUP(2,1/(GarminSessions!$A$2:$A$200=$A8),GarminSessions!$Q$2:$Q$200),"")</f>
        <v>20</v>
      </c>
      <c r="R8" s="126">
        <f>IFERROR(LOOKUP(2,1/(GarminSessions!$A$2:$A$200=$A8),GarminSessions!$R$2:$R$200),"")</f>
        <v>140</v>
      </c>
      <c r="S8" s="126">
        <f>IFERROR(LOOKUP(2,1/(GarminSessions!$A$2:$A$200=$A8),GarminSessions!$S$2:$S$200),"")</f>
        <v>2369</v>
      </c>
      <c r="T8" s="127" t="str">
        <f>IFERROR(IF(LOOKUP(2,1/(GarminSessions!$A$2:$A$200=$A8),GarminSessions!$U$2:$U$200)="","",LOOKUP(2,1/(GarminSessions!$A$2:$A$200=$A8),GarminSessions!$U$2:$U$200)),"")</f>
        <v>Hornady brass, CCI BR-2 primer, 2.875 OAL</v>
      </c>
    </row>
    <row r="9" spans="1:20" ht="18.75" customHeight="1">
      <c r="A9" s="131" t="s">
        <v>182</v>
      </c>
      <c r="B9" s="132" t="str">
        <f>IFERROR(LOOKUP(2,1/(GarminSessions!$A$2:$A$200=$A9),GarminSessions!$D$2:$D$200),"")</f>
        <v>2026-04-12</v>
      </c>
      <c r="C9" s="133" t="str">
        <f>IFERROR(IF(LOOKUP(2,1/(GarminSessions!$A$2:$A$200=$A9),GarminSessions!$T$2:$T$200)="","",LOOKUP(2,1/(GarminSessions!$A$2:$A$200=$A9),GarminSessions!$T$2:$T$200)),"")</f>
        <v>6.5 CM H4350 42.4gr (WINNER)</v>
      </c>
      <c r="D9" s="134">
        <f t="shared" si="0"/>
        <v>10</v>
      </c>
      <c r="E9" s="135">
        <f>IFERROR(IF(LOOKUP(2,1/(GarminSessions!$A$2:$A$200=$A9),GarminSessions!$E$2:$E$200)&gt;0,LOOKUP(2,1/(GarminSessions!$A$2:$A$200=$A9),GarminSessions!$E$2:$E$200),""),"")</f>
        <v>2778</v>
      </c>
      <c r="F9" s="135">
        <f>IFERROR(IF(LOOKUP(2,1/(GarminSessions!$A$2:$A$200=$A9),GarminSessions!$F$2:$F$200)&gt;0,LOOKUP(2,1/(GarminSessions!$A$2:$A$200=$A9),GarminSessions!$F$2:$F$200),""),"")</f>
        <v>2782</v>
      </c>
      <c r="G9" s="135">
        <f>IFERROR(IF(LOOKUP(2,1/(GarminSessions!$A$2:$A$200=$A9),GarminSessions!$G$2:$G$200)&gt;0,LOOKUP(2,1/(GarminSessions!$A$2:$A$200=$A9),GarminSessions!$G$2:$G$200),""),"")</f>
        <v>2776</v>
      </c>
      <c r="H9" s="135">
        <f>IFERROR(IF(LOOKUP(2,1/(GarminSessions!$A$2:$A$200=$A9),GarminSessions!$H$2:$H$200)&gt;0,LOOKUP(2,1/(GarminSessions!$A$2:$A$200=$A9),GarminSessions!$H$2:$H$200),""),"")</f>
        <v>2784</v>
      </c>
      <c r="I9" s="135">
        <f>IFERROR(IF(LOOKUP(2,1/(GarminSessions!$A$2:$A$200=$A9),GarminSessions!$I$2:$I$200)&gt;0,LOOKUP(2,1/(GarminSessions!$A$2:$A$200=$A9),GarminSessions!$I$2:$I$200),""),"")</f>
        <v>2780</v>
      </c>
      <c r="J9" s="135">
        <f>IFERROR(IF(LOOKUP(2,1/(GarminSessions!$A$2:$A$200=$A9),GarminSessions!$J$2:$J$200)&gt;0,LOOKUP(2,1/(GarminSessions!$A$2:$A$200=$A9),GarminSessions!$J$2:$J$200),""),"")</f>
        <v>2779</v>
      </c>
      <c r="K9" s="135">
        <f>IFERROR(IF(LOOKUP(2,1/(GarminSessions!$A$2:$A$200=$A9),GarminSessions!$K$2:$K$200)&gt;0,LOOKUP(2,1/(GarminSessions!$A$2:$A$200=$A9),GarminSessions!$K$2:$K$200),""),"")</f>
        <v>2782</v>
      </c>
      <c r="L9" s="132">
        <f>IFERROR(IF(LOOKUP(2,1/(GarminSessions!$A$2:$A$200=$A9),GarminSessions!$L$2:$L$200)&gt;0,LOOKUP(2,1/(GarminSessions!$A$2:$A$200=$A9),GarminSessions!$L$2:$L$200),""),"")</f>
        <v>2778</v>
      </c>
      <c r="M9" s="132">
        <f>IFERROR(IF(LOOKUP(2,1/(GarminSessions!$A$2:$A$200=$A9),GarminSessions!$M$2:$M$200)&gt;0,LOOKUP(2,1/(GarminSessions!$A$2:$A$200=$A9),GarminSessions!$M$2:$M$200),""),"")</f>
        <v>2780</v>
      </c>
      <c r="N9" s="132">
        <f>IFERROR(IF(LOOKUP(2,1/(GarminSessions!$A$2:$A$200=$A9),GarminSessions!$N$2:$N$200)&gt;0,LOOKUP(2,1/(GarminSessions!$A$2:$A$200=$A9),GarminSessions!$N$2:$N$200),""),"")</f>
        <v>2781</v>
      </c>
      <c r="O9" s="135">
        <f>IFERROR(LOOKUP(2,1/(GarminSessions!$A$2:$A$200=$A9),GarminSessions!$O$2:$O$200),"")</f>
        <v>2780</v>
      </c>
      <c r="P9" s="132">
        <f>IFERROR(LOOKUP(2,1/(GarminSessions!$A$2:$A$200=$A9),GarminSessions!$P$2:$P$200),"")</f>
        <v>2.5</v>
      </c>
      <c r="Q9" s="135">
        <f>IFERROR(LOOKUP(2,1/(GarminSessions!$A$2:$A$200=$A9),GarminSessions!$Q$2:$Q$200),"")</f>
        <v>8</v>
      </c>
      <c r="R9" s="132">
        <f>IFERROR(LOOKUP(2,1/(GarminSessions!$A$2:$A$200=$A9),GarminSessions!$R$2:$R$200),"")</f>
        <v>140</v>
      </c>
      <c r="S9" s="132">
        <f>IFERROR(LOOKUP(2,1/(GarminSessions!$A$2:$A$200=$A9),GarminSessions!$S$2:$S$200),"")</f>
        <v>2402</v>
      </c>
      <c r="T9" s="133" t="str">
        <f>IFERROR(IF(LOOKUP(2,1/(GarminSessions!$A$2:$A$200=$A9),GarminSessions!$U$2:$U$200)="","",LOOKUP(2,1/(GarminSessions!$A$2:$A$200=$A9),GarminSessions!$U$2:$U$200)),"")</f>
        <v>Hornady brass, CCI BR-2 primer, 2.875 OAL</v>
      </c>
    </row>
    <row r="10" spans="1:20" ht="18.75" customHeight="1">
      <c r="A10" s="125" t="s">
        <v>183</v>
      </c>
      <c r="B10" s="126" t="str">
        <f>IFERROR(LOOKUP(2,1/(GarminSessions!$A$2:$A$200=$A10),GarminSessions!$D$2:$D$200),"")</f>
        <v>2026-04-12</v>
      </c>
      <c r="C10" s="127" t="str">
        <f>IFERROR(IF(LOOKUP(2,1/(GarminSessions!$A$2:$A$200=$A10),GarminSessions!$T$2:$T$200)="","",LOOKUP(2,1/(GarminSessions!$A$2:$A$200=$A10),GarminSessions!$T$2:$T$200)),"")</f>
        <v>6.5 CM H4350 42.7gr</v>
      </c>
      <c r="D10" s="128">
        <f t="shared" si="0"/>
        <v>10</v>
      </c>
      <c r="E10" s="129">
        <f>IFERROR(IF(LOOKUP(2,1/(GarminSessions!$A$2:$A$200=$A10),GarminSessions!$E$2:$E$200)&gt;0,LOOKUP(2,1/(GarminSessions!$A$2:$A$200=$A10),GarminSessions!$E$2:$E$200),""),"")</f>
        <v>2798</v>
      </c>
      <c r="F10" s="129">
        <f>IFERROR(IF(LOOKUP(2,1/(GarminSessions!$A$2:$A$200=$A10),GarminSessions!$F$2:$F$200)&gt;0,LOOKUP(2,1/(GarminSessions!$A$2:$A$200=$A10),GarminSessions!$F$2:$F$200),""),"")</f>
        <v>2805</v>
      </c>
      <c r="G10" s="129">
        <f>IFERROR(IF(LOOKUP(2,1/(GarminSessions!$A$2:$A$200=$A10),GarminSessions!$G$2:$G$200)&gt;0,LOOKUP(2,1/(GarminSessions!$A$2:$A$200=$A10),GarminSessions!$G$2:$G$200),""),"")</f>
        <v>2795</v>
      </c>
      <c r="H10" s="129">
        <f>IFERROR(IF(LOOKUP(2,1/(GarminSessions!$A$2:$A$200=$A10),GarminSessions!$H$2:$H$200)&gt;0,LOOKUP(2,1/(GarminSessions!$A$2:$A$200=$A10),GarminSessions!$H$2:$H$200),""),"")</f>
        <v>2812</v>
      </c>
      <c r="I10" s="129">
        <f>IFERROR(IF(LOOKUP(2,1/(GarminSessions!$A$2:$A$200=$A10),GarminSessions!$I$2:$I$200)&gt;0,LOOKUP(2,1/(GarminSessions!$A$2:$A$200=$A10),GarminSessions!$I$2:$I$200),""),"")</f>
        <v>2800</v>
      </c>
      <c r="J10" s="129">
        <f>IFERROR(IF(LOOKUP(2,1/(GarminSessions!$A$2:$A$200=$A10),GarminSessions!$J$2:$J$200)&gt;0,LOOKUP(2,1/(GarminSessions!$A$2:$A$200=$A10),GarminSessions!$J$2:$J$200),""),"")</f>
        <v>2802</v>
      </c>
      <c r="K10" s="129">
        <f>IFERROR(IF(LOOKUP(2,1/(GarminSessions!$A$2:$A$200=$A10),GarminSessions!$K$2:$K$200)&gt;0,LOOKUP(2,1/(GarminSessions!$A$2:$A$200=$A10),GarminSessions!$K$2:$K$200),""),"")</f>
        <v>2806</v>
      </c>
      <c r="L10" s="128">
        <f>IFERROR(IF(LOOKUP(2,1/(GarminSessions!$A$2:$A$200=$A10),GarminSessions!$L$2:$L$200)&gt;0,LOOKUP(2,1/(GarminSessions!$A$2:$A$200=$A10),GarminSessions!$L$2:$L$200),""),"")</f>
        <v>2796</v>
      </c>
      <c r="M10" s="128">
        <f>IFERROR(IF(LOOKUP(2,1/(GarminSessions!$A$2:$A$200=$A10),GarminSessions!$M$2:$M$200)&gt;0,LOOKUP(2,1/(GarminSessions!$A$2:$A$200=$A10),GarminSessions!$M$2:$M$200),""),"")</f>
        <v>2802</v>
      </c>
      <c r="N10" s="128">
        <f>IFERROR(IF(LOOKUP(2,1/(GarminSessions!$A$2:$A$200=$A10),GarminSessions!$N$2:$N$200)&gt;0,LOOKUP(2,1/(GarminSessions!$A$2:$A$200=$A10),GarminSessions!$N$2:$N$200),""),"")</f>
        <v>2810</v>
      </c>
      <c r="O10" s="130">
        <f>IFERROR(LOOKUP(2,1/(GarminSessions!$A$2:$A$200=$A10),GarminSessions!$O$2:$O$200),"")</f>
        <v>2803</v>
      </c>
      <c r="P10" s="126">
        <f>IFERROR(LOOKUP(2,1/(GarminSessions!$A$2:$A$200=$A10),GarminSessions!$P$2:$P$200),"")</f>
        <v>5.6</v>
      </c>
      <c r="Q10" s="130">
        <f>IFERROR(LOOKUP(2,1/(GarminSessions!$A$2:$A$200=$A10),GarminSessions!$Q$2:$Q$200),"")</f>
        <v>17</v>
      </c>
      <c r="R10" s="126">
        <f>IFERROR(LOOKUP(2,1/(GarminSessions!$A$2:$A$200=$A10),GarminSessions!$R$2:$R$200),"")</f>
        <v>140</v>
      </c>
      <c r="S10" s="126">
        <f>IFERROR(LOOKUP(2,1/(GarminSessions!$A$2:$A$200=$A10),GarminSessions!$S$2:$S$200),"")</f>
        <v>2443</v>
      </c>
      <c r="T10" s="127" t="str">
        <f>IFERROR(IF(LOOKUP(2,1/(GarminSessions!$A$2:$A$200=$A10),GarminSessions!$U$2:$U$200)="","",LOOKUP(2,1/(GarminSessions!$A$2:$A$200=$A10),GarminSessions!$U$2:$U$200)),"")</f>
        <v>Hornady brass, CCI BR-2 primer, 2.875 OAL</v>
      </c>
    </row>
    <row r="11" spans="1:20" ht="18.75" customHeight="1">
      <c r="A11" s="131" t="s">
        <v>184</v>
      </c>
      <c r="B11" s="132" t="str">
        <f>IFERROR(LOOKUP(2,1/(GarminSessions!$A$2:$A$200=$A11),GarminSessions!$D$2:$D$200),"")</f>
        <v/>
      </c>
      <c r="C11" s="133" t="str">
        <f>IFERROR(IF(LOOKUP(2,1/(GarminSessions!$A$2:$A$200=$A11),GarminSessions!$T$2:$T$200)="","",LOOKUP(2,1/(GarminSessions!$A$2:$A$200=$A11),GarminSessions!$T$2:$T$200)),"")</f>
        <v/>
      </c>
      <c r="D11" s="134">
        <f t="shared" si="0"/>
        <v>0</v>
      </c>
      <c r="E11" s="135" t="str">
        <f>IFERROR(IF(LOOKUP(2,1/(GarminSessions!$A$2:$A$200=$A11),GarminSessions!$E$2:$E$200)&gt;0,LOOKUP(2,1/(GarminSessions!$A$2:$A$200=$A11),GarminSessions!$E$2:$E$200),""),"")</f>
        <v/>
      </c>
      <c r="F11" s="135" t="str">
        <f>IFERROR(IF(LOOKUP(2,1/(GarminSessions!$A$2:$A$200=$A11),GarminSessions!$F$2:$F$200)&gt;0,LOOKUP(2,1/(GarminSessions!$A$2:$A$200=$A11),GarminSessions!$F$2:$F$200),""),"")</f>
        <v/>
      </c>
      <c r="G11" s="135" t="str">
        <f>IFERROR(IF(LOOKUP(2,1/(GarminSessions!$A$2:$A$200=$A11),GarminSessions!$G$2:$G$200)&gt;0,LOOKUP(2,1/(GarminSessions!$A$2:$A$200=$A11),GarminSessions!$G$2:$G$200),""),"")</f>
        <v/>
      </c>
      <c r="H11" s="135" t="str">
        <f>IFERROR(IF(LOOKUP(2,1/(GarminSessions!$A$2:$A$200=$A11),GarminSessions!$H$2:$H$200)&gt;0,LOOKUP(2,1/(GarminSessions!$A$2:$A$200=$A11),GarminSessions!$H$2:$H$200),""),"")</f>
        <v/>
      </c>
      <c r="I11" s="135" t="str">
        <f>IFERROR(IF(LOOKUP(2,1/(GarminSessions!$A$2:$A$200=$A11),GarminSessions!$I$2:$I$200)&gt;0,LOOKUP(2,1/(GarminSessions!$A$2:$A$200=$A11),GarminSessions!$I$2:$I$200),""),"")</f>
        <v/>
      </c>
      <c r="J11" s="135" t="str">
        <f>IFERROR(IF(LOOKUP(2,1/(GarminSessions!$A$2:$A$200=$A11),GarminSessions!$J$2:$J$200)&gt;0,LOOKUP(2,1/(GarminSessions!$A$2:$A$200=$A11),GarminSessions!$J$2:$J$200),""),"")</f>
        <v/>
      </c>
      <c r="K11" s="135" t="str">
        <f>IFERROR(IF(LOOKUP(2,1/(GarminSessions!$A$2:$A$200=$A11),GarminSessions!$K$2:$K$200)&gt;0,LOOKUP(2,1/(GarminSessions!$A$2:$A$200=$A11),GarminSessions!$K$2:$K$200),""),"")</f>
        <v/>
      </c>
      <c r="L11" s="132" t="str">
        <f>IFERROR(IF(LOOKUP(2,1/(GarminSessions!$A$2:$A$200=$A11),GarminSessions!$L$2:$L$200)&gt;0,LOOKUP(2,1/(GarminSessions!$A$2:$A$200=$A11),GarminSessions!$L$2:$L$200),""),"")</f>
        <v/>
      </c>
      <c r="M11" s="132" t="str">
        <f>IFERROR(IF(LOOKUP(2,1/(GarminSessions!$A$2:$A$200=$A11),GarminSessions!$M$2:$M$200)&gt;0,LOOKUP(2,1/(GarminSessions!$A$2:$A$200=$A11),GarminSessions!$M$2:$M$200),""),"")</f>
        <v/>
      </c>
      <c r="N11" s="132" t="str">
        <f>IFERROR(IF(LOOKUP(2,1/(GarminSessions!$A$2:$A$200=$A11),GarminSessions!$N$2:$N$200)&gt;0,LOOKUP(2,1/(GarminSessions!$A$2:$A$200=$A11),GarminSessions!$N$2:$N$200),""),"")</f>
        <v/>
      </c>
      <c r="O11" s="135" t="str">
        <f>IFERROR(LOOKUP(2,1/(GarminSessions!$A$2:$A$200=$A11),GarminSessions!$O$2:$O$200),"")</f>
        <v/>
      </c>
      <c r="P11" s="132" t="str">
        <f>IFERROR(LOOKUP(2,1/(GarminSessions!$A$2:$A$200=$A11),GarminSessions!$P$2:$P$200),"")</f>
        <v/>
      </c>
      <c r="Q11" s="135" t="str">
        <f>IFERROR(LOOKUP(2,1/(GarminSessions!$A$2:$A$200=$A11),GarminSessions!$Q$2:$Q$200),"")</f>
        <v/>
      </c>
      <c r="R11" s="132" t="str">
        <f>IFERROR(LOOKUP(2,1/(GarminSessions!$A$2:$A$200=$A11),GarminSessions!$R$2:$R$200),"")</f>
        <v/>
      </c>
      <c r="S11" s="132" t="str">
        <f>IFERROR(LOOKUP(2,1/(GarminSessions!$A$2:$A$200=$A11),GarminSessions!$S$2:$S$200),"")</f>
        <v/>
      </c>
      <c r="T11" s="133" t="str">
        <f>IFERROR(IF(LOOKUP(2,1/(GarminSessions!$A$2:$A$200=$A11),GarminSessions!$U$2:$U$200)="","",LOOKUP(2,1/(GarminSessions!$A$2:$A$200=$A11),GarminSessions!$U$2:$U$200)),"")</f>
        <v/>
      </c>
    </row>
    <row r="12" spans="1:20" ht="18.75" customHeight="1">
      <c r="A12" s="125" t="s">
        <v>185</v>
      </c>
      <c r="B12" s="126" t="str">
        <f>IFERROR(LOOKUP(2,1/(GarminSessions!$A$2:$A$200=$A12),GarminSessions!$D$2:$D$200),"")</f>
        <v/>
      </c>
      <c r="C12" s="127" t="str">
        <f>IFERROR(IF(LOOKUP(2,1/(GarminSessions!$A$2:$A$200=$A12),GarminSessions!$T$2:$T$200)="","",LOOKUP(2,1/(GarminSessions!$A$2:$A$200=$A12),GarminSessions!$T$2:$T$200)),"")</f>
        <v/>
      </c>
      <c r="D12" s="128">
        <f t="shared" si="0"/>
        <v>0</v>
      </c>
      <c r="E12" s="129" t="str">
        <f>IFERROR(IF(LOOKUP(2,1/(GarminSessions!$A$2:$A$200=$A12),GarminSessions!$E$2:$E$200)&gt;0,LOOKUP(2,1/(GarminSessions!$A$2:$A$200=$A12),GarminSessions!$E$2:$E$200),""),"")</f>
        <v/>
      </c>
      <c r="F12" s="129" t="str">
        <f>IFERROR(IF(LOOKUP(2,1/(GarminSessions!$A$2:$A$200=$A12),GarminSessions!$F$2:$F$200)&gt;0,LOOKUP(2,1/(GarminSessions!$A$2:$A$200=$A12),GarminSessions!$F$2:$F$200),""),"")</f>
        <v/>
      </c>
      <c r="G12" s="129" t="str">
        <f>IFERROR(IF(LOOKUP(2,1/(GarminSessions!$A$2:$A$200=$A12),GarminSessions!$G$2:$G$200)&gt;0,LOOKUP(2,1/(GarminSessions!$A$2:$A$200=$A12),GarminSessions!$G$2:$G$200),""),"")</f>
        <v/>
      </c>
      <c r="H12" s="129" t="str">
        <f>IFERROR(IF(LOOKUP(2,1/(GarminSessions!$A$2:$A$200=$A12),GarminSessions!$H$2:$H$200)&gt;0,LOOKUP(2,1/(GarminSessions!$A$2:$A$200=$A12),GarminSessions!$H$2:$H$200),""),"")</f>
        <v/>
      </c>
      <c r="I12" s="129" t="str">
        <f>IFERROR(IF(LOOKUP(2,1/(GarminSessions!$A$2:$A$200=$A12),GarminSessions!$I$2:$I$200)&gt;0,LOOKUP(2,1/(GarminSessions!$A$2:$A$200=$A12),GarminSessions!$I$2:$I$200),""),"")</f>
        <v/>
      </c>
      <c r="J12" s="129" t="str">
        <f>IFERROR(IF(LOOKUP(2,1/(GarminSessions!$A$2:$A$200=$A12),GarminSessions!$J$2:$J$200)&gt;0,LOOKUP(2,1/(GarminSessions!$A$2:$A$200=$A12),GarminSessions!$J$2:$J$200),""),"")</f>
        <v/>
      </c>
      <c r="K12" s="129" t="str">
        <f>IFERROR(IF(LOOKUP(2,1/(GarminSessions!$A$2:$A$200=$A12),GarminSessions!$K$2:$K$200)&gt;0,LOOKUP(2,1/(GarminSessions!$A$2:$A$200=$A12),GarminSessions!$K$2:$K$200),""),"")</f>
        <v/>
      </c>
      <c r="L12" s="128" t="str">
        <f>IFERROR(IF(LOOKUP(2,1/(GarminSessions!$A$2:$A$200=$A12),GarminSessions!$L$2:$L$200)&gt;0,LOOKUP(2,1/(GarminSessions!$A$2:$A$200=$A12),GarminSessions!$L$2:$L$200),""),"")</f>
        <v/>
      </c>
      <c r="M12" s="128" t="str">
        <f>IFERROR(IF(LOOKUP(2,1/(GarminSessions!$A$2:$A$200=$A12),GarminSessions!$M$2:$M$200)&gt;0,LOOKUP(2,1/(GarminSessions!$A$2:$A$200=$A12),GarminSessions!$M$2:$M$200),""),"")</f>
        <v/>
      </c>
      <c r="N12" s="128" t="str">
        <f>IFERROR(IF(LOOKUP(2,1/(GarminSessions!$A$2:$A$200=$A12),GarminSessions!$N$2:$N$200)&gt;0,LOOKUP(2,1/(GarminSessions!$A$2:$A$200=$A12),GarminSessions!$N$2:$N$200),""),"")</f>
        <v/>
      </c>
      <c r="O12" s="130" t="str">
        <f>IFERROR(LOOKUP(2,1/(GarminSessions!$A$2:$A$200=$A12),GarminSessions!$O$2:$O$200),"")</f>
        <v/>
      </c>
      <c r="P12" s="126" t="str">
        <f>IFERROR(LOOKUP(2,1/(GarminSessions!$A$2:$A$200=$A12),GarminSessions!$P$2:$P$200),"")</f>
        <v/>
      </c>
      <c r="Q12" s="130" t="str">
        <f>IFERROR(LOOKUP(2,1/(GarminSessions!$A$2:$A$200=$A12),GarminSessions!$Q$2:$Q$200),"")</f>
        <v/>
      </c>
      <c r="R12" s="126" t="str">
        <f>IFERROR(LOOKUP(2,1/(GarminSessions!$A$2:$A$200=$A12),GarminSessions!$R$2:$R$200),"")</f>
        <v/>
      </c>
      <c r="S12" s="126" t="str">
        <f>IFERROR(LOOKUP(2,1/(GarminSessions!$A$2:$A$200=$A12),GarminSessions!$S$2:$S$200),"")</f>
        <v/>
      </c>
      <c r="T12" s="127" t="str">
        <f>IFERROR(IF(LOOKUP(2,1/(GarminSessions!$A$2:$A$200=$A12),GarminSessions!$U$2:$U$200)="","",LOOKUP(2,1/(GarminSessions!$A$2:$A$200=$A12),GarminSessions!$U$2:$U$200)),"")</f>
        <v/>
      </c>
    </row>
    <row r="13" spans="1:20" ht="18.75" customHeight="1">
      <c r="A13" s="131" t="s">
        <v>186</v>
      </c>
      <c r="B13" s="132" t="str">
        <f>IFERROR(LOOKUP(2,1/(GarminSessions!$A$2:$A$200=$A13),GarminSessions!$D$2:$D$200),"")</f>
        <v/>
      </c>
      <c r="C13" s="133" t="str">
        <f>IFERROR(IF(LOOKUP(2,1/(GarminSessions!$A$2:$A$200=$A13),GarminSessions!$T$2:$T$200)="","",LOOKUP(2,1/(GarminSessions!$A$2:$A$200=$A13),GarminSessions!$T$2:$T$200)),"")</f>
        <v/>
      </c>
      <c r="D13" s="134">
        <f t="shared" si="0"/>
        <v>0</v>
      </c>
      <c r="E13" s="135" t="str">
        <f>IFERROR(IF(LOOKUP(2,1/(GarminSessions!$A$2:$A$200=$A13),GarminSessions!$E$2:$E$200)&gt;0,LOOKUP(2,1/(GarminSessions!$A$2:$A$200=$A13),GarminSessions!$E$2:$E$200),""),"")</f>
        <v/>
      </c>
      <c r="F13" s="135" t="str">
        <f>IFERROR(IF(LOOKUP(2,1/(GarminSessions!$A$2:$A$200=$A13),GarminSessions!$F$2:$F$200)&gt;0,LOOKUP(2,1/(GarminSessions!$A$2:$A$200=$A13),GarminSessions!$F$2:$F$200),""),"")</f>
        <v/>
      </c>
      <c r="G13" s="135" t="str">
        <f>IFERROR(IF(LOOKUP(2,1/(GarminSessions!$A$2:$A$200=$A13),GarminSessions!$G$2:$G$200)&gt;0,LOOKUP(2,1/(GarminSessions!$A$2:$A$200=$A13),GarminSessions!$G$2:$G$200),""),"")</f>
        <v/>
      </c>
      <c r="H13" s="135" t="str">
        <f>IFERROR(IF(LOOKUP(2,1/(GarminSessions!$A$2:$A$200=$A13),GarminSessions!$H$2:$H$200)&gt;0,LOOKUP(2,1/(GarminSessions!$A$2:$A$200=$A13),GarminSessions!$H$2:$H$200),""),"")</f>
        <v/>
      </c>
      <c r="I13" s="135" t="str">
        <f>IFERROR(IF(LOOKUP(2,1/(GarminSessions!$A$2:$A$200=$A13),GarminSessions!$I$2:$I$200)&gt;0,LOOKUP(2,1/(GarminSessions!$A$2:$A$200=$A13),GarminSessions!$I$2:$I$200),""),"")</f>
        <v/>
      </c>
      <c r="J13" s="135" t="str">
        <f>IFERROR(IF(LOOKUP(2,1/(GarminSessions!$A$2:$A$200=$A13),GarminSessions!$J$2:$J$200)&gt;0,LOOKUP(2,1/(GarminSessions!$A$2:$A$200=$A13),GarminSessions!$J$2:$J$200),""),"")</f>
        <v/>
      </c>
      <c r="K13" s="135" t="str">
        <f>IFERROR(IF(LOOKUP(2,1/(GarminSessions!$A$2:$A$200=$A13),GarminSessions!$K$2:$K$200)&gt;0,LOOKUP(2,1/(GarminSessions!$A$2:$A$200=$A13),GarminSessions!$K$2:$K$200),""),"")</f>
        <v/>
      </c>
      <c r="L13" s="132" t="str">
        <f>IFERROR(IF(LOOKUP(2,1/(GarminSessions!$A$2:$A$200=$A13),GarminSessions!$L$2:$L$200)&gt;0,LOOKUP(2,1/(GarminSessions!$A$2:$A$200=$A13),GarminSessions!$L$2:$L$200),""),"")</f>
        <v/>
      </c>
      <c r="M13" s="132" t="str">
        <f>IFERROR(IF(LOOKUP(2,1/(GarminSessions!$A$2:$A$200=$A13),GarminSessions!$M$2:$M$200)&gt;0,LOOKUP(2,1/(GarminSessions!$A$2:$A$200=$A13),GarminSessions!$M$2:$M$200),""),"")</f>
        <v/>
      </c>
      <c r="N13" s="132" t="str">
        <f>IFERROR(IF(LOOKUP(2,1/(GarminSessions!$A$2:$A$200=$A13),GarminSessions!$N$2:$N$200)&gt;0,LOOKUP(2,1/(GarminSessions!$A$2:$A$200=$A13),GarminSessions!$N$2:$N$200),""),"")</f>
        <v/>
      </c>
      <c r="O13" s="135" t="str">
        <f>IFERROR(LOOKUP(2,1/(GarminSessions!$A$2:$A$200=$A13),GarminSessions!$O$2:$O$200),"")</f>
        <v/>
      </c>
      <c r="P13" s="132" t="str">
        <f>IFERROR(LOOKUP(2,1/(GarminSessions!$A$2:$A$200=$A13),GarminSessions!$P$2:$P$200),"")</f>
        <v/>
      </c>
      <c r="Q13" s="135" t="str">
        <f>IFERROR(LOOKUP(2,1/(GarminSessions!$A$2:$A$200=$A13),GarminSessions!$Q$2:$Q$200),"")</f>
        <v/>
      </c>
      <c r="R13" s="132" t="str">
        <f>IFERROR(LOOKUP(2,1/(GarminSessions!$A$2:$A$200=$A13),GarminSessions!$R$2:$R$200),"")</f>
        <v/>
      </c>
      <c r="S13" s="132" t="str">
        <f>IFERROR(LOOKUP(2,1/(GarminSessions!$A$2:$A$200=$A13),GarminSessions!$S$2:$S$200),"")</f>
        <v/>
      </c>
      <c r="T13" s="133" t="str">
        <f>IFERROR(IF(LOOKUP(2,1/(GarminSessions!$A$2:$A$200=$A13),GarminSessions!$U$2:$U$200)="","",LOOKUP(2,1/(GarminSessions!$A$2:$A$200=$A13),GarminSessions!$U$2:$U$200)),"")</f>
        <v/>
      </c>
    </row>
    <row r="14" spans="1:20" ht="18.75" customHeight="1">
      <c r="A14" s="125" t="s">
        <v>187</v>
      </c>
      <c r="B14" s="126" t="str">
        <f>IFERROR(LOOKUP(2,1/(GarminSessions!$A$2:$A$200=$A14),GarminSessions!$D$2:$D$200),"")</f>
        <v/>
      </c>
      <c r="C14" s="127" t="str">
        <f>IFERROR(IF(LOOKUP(2,1/(GarminSessions!$A$2:$A$200=$A14),GarminSessions!$T$2:$T$200)="","",LOOKUP(2,1/(GarminSessions!$A$2:$A$200=$A14),GarminSessions!$T$2:$T$200)),"")</f>
        <v/>
      </c>
      <c r="D14" s="128">
        <f t="shared" si="0"/>
        <v>0</v>
      </c>
      <c r="E14" s="129" t="str">
        <f>IFERROR(IF(LOOKUP(2,1/(GarminSessions!$A$2:$A$200=$A14),GarminSessions!$E$2:$E$200)&gt;0,LOOKUP(2,1/(GarminSessions!$A$2:$A$200=$A14),GarminSessions!$E$2:$E$200),""),"")</f>
        <v/>
      </c>
      <c r="F14" s="129" t="str">
        <f>IFERROR(IF(LOOKUP(2,1/(GarminSessions!$A$2:$A$200=$A14),GarminSessions!$F$2:$F$200)&gt;0,LOOKUP(2,1/(GarminSessions!$A$2:$A$200=$A14),GarminSessions!$F$2:$F$200),""),"")</f>
        <v/>
      </c>
      <c r="G14" s="129" t="str">
        <f>IFERROR(IF(LOOKUP(2,1/(GarminSessions!$A$2:$A$200=$A14),GarminSessions!$G$2:$G$200)&gt;0,LOOKUP(2,1/(GarminSessions!$A$2:$A$200=$A14),GarminSessions!$G$2:$G$200),""),"")</f>
        <v/>
      </c>
      <c r="H14" s="129" t="str">
        <f>IFERROR(IF(LOOKUP(2,1/(GarminSessions!$A$2:$A$200=$A14),GarminSessions!$H$2:$H$200)&gt;0,LOOKUP(2,1/(GarminSessions!$A$2:$A$200=$A14),GarminSessions!$H$2:$H$200),""),"")</f>
        <v/>
      </c>
      <c r="I14" s="129" t="str">
        <f>IFERROR(IF(LOOKUP(2,1/(GarminSessions!$A$2:$A$200=$A14),GarminSessions!$I$2:$I$200)&gt;0,LOOKUP(2,1/(GarminSessions!$A$2:$A$200=$A14),GarminSessions!$I$2:$I$200),""),"")</f>
        <v/>
      </c>
      <c r="J14" s="129" t="str">
        <f>IFERROR(IF(LOOKUP(2,1/(GarminSessions!$A$2:$A$200=$A14),GarminSessions!$J$2:$J$200)&gt;0,LOOKUP(2,1/(GarminSessions!$A$2:$A$200=$A14),GarminSessions!$J$2:$J$200),""),"")</f>
        <v/>
      </c>
      <c r="K14" s="129" t="str">
        <f>IFERROR(IF(LOOKUP(2,1/(GarminSessions!$A$2:$A$200=$A14),GarminSessions!$K$2:$K$200)&gt;0,LOOKUP(2,1/(GarminSessions!$A$2:$A$200=$A14),GarminSessions!$K$2:$K$200),""),"")</f>
        <v/>
      </c>
      <c r="L14" s="128" t="str">
        <f>IFERROR(IF(LOOKUP(2,1/(GarminSessions!$A$2:$A$200=$A14),GarminSessions!$L$2:$L$200)&gt;0,LOOKUP(2,1/(GarminSessions!$A$2:$A$200=$A14),GarminSessions!$L$2:$L$200),""),"")</f>
        <v/>
      </c>
      <c r="M14" s="128" t="str">
        <f>IFERROR(IF(LOOKUP(2,1/(GarminSessions!$A$2:$A$200=$A14),GarminSessions!$M$2:$M$200)&gt;0,LOOKUP(2,1/(GarminSessions!$A$2:$A$200=$A14),GarminSessions!$M$2:$M$200),""),"")</f>
        <v/>
      </c>
      <c r="N14" s="128" t="str">
        <f>IFERROR(IF(LOOKUP(2,1/(GarminSessions!$A$2:$A$200=$A14),GarminSessions!$N$2:$N$200)&gt;0,LOOKUP(2,1/(GarminSessions!$A$2:$A$200=$A14),GarminSessions!$N$2:$N$200),""),"")</f>
        <v/>
      </c>
      <c r="O14" s="130" t="str">
        <f>IFERROR(LOOKUP(2,1/(GarminSessions!$A$2:$A$200=$A14),GarminSessions!$O$2:$O$200),"")</f>
        <v/>
      </c>
      <c r="P14" s="126" t="str">
        <f>IFERROR(LOOKUP(2,1/(GarminSessions!$A$2:$A$200=$A14),GarminSessions!$P$2:$P$200),"")</f>
        <v/>
      </c>
      <c r="Q14" s="130" t="str">
        <f>IFERROR(LOOKUP(2,1/(GarminSessions!$A$2:$A$200=$A14),GarminSessions!$Q$2:$Q$200),"")</f>
        <v/>
      </c>
      <c r="R14" s="126" t="str">
        <f>IFERROR(LOOKUP(2,1/(GarminSessions!$A$2:$A$200=$A14),GarminSessions!$R$2:$R$200),"")</f>
        <v/>
      </c>
      <c r="S14" s="126" t="str">
        <f>IFERROR(LOOKUP(2,1/(GarminSessions!$A$2:$A$200=$A14),GarminSessions!$S$2:$S$200),"")</f>
        <v/>
      </c>
      <c r="T14" s="127" t="str">
        <f>IFERROR(IF(LOOKUP(2,1/(GarminSessions!$A$2:$A$200=$A14),GarminSessions!$U$2:$U$200)="","",LOOKUP(2,1/(GarminSessions!$A$2:$A$200=$A14),GarminSessions!$U$2:$U$200)),"")</f>
        <v/>
      </c>
    </row>
    <row r="15" spans="1:20" ht="18.75" customHeight="1">
      <c r="A15" s="131" t="s">
        <v>188</v>
      </c>
      <c r="B15" s="132" t="str">
        <f>IFERROR(LOOKUP(2,1/(GarminSessions!$A$2:$A$200=$A15),GarminSessions!$D$2:$D$200),"")</f>
        <v/>
      </c>
      <c r="C15" s="133" t="str">
        <f>IFERROR(IF(LOOKUP(2,1/(GarminSessions!$A$2:$A$200=$A15),GarminSessions!$T$2:$T$200)="","",LOOKUP(2,1/(GarminSessions!$A$2:$A$200=$A15),GarminSessions!$T$2:$T$200)),"")</f>
        <v/>
      </c>
      <c r="D15" s="134">
        <f t="shared" si="0"/>
        <v>0</v>
      </c>
      <c r="E15" s="135" t="str">
        <f>IFERROR(IF(LOOKUP(2,1/(GarminSessions!$A$2:$A$200=$A15),GarminSessions!$E$2:$E$200)&gt;0,LOOKUP(2,1/(GarminSessions!$A$2:$A$200=$A15),GarminSessions!$E$2:$E$200),""),"")</f>
        <v/>
      </c>
      <c r="F15" s="135" t="str">
        <f>IFERROR(IF(LOOKUP(2,1/(GarminSessions!$A$2:$A$200=$A15),GarminSessions!$F$2:$F$200)&gt;0,LOOKUP(2,1/(GarminSessions!$A$2:$A$200=$A15),GarminSessions!$F$2:$F$200),""),"")</f>
        <v/>
      </c>
      <c r="G15" s="135" t="str">
        <f>IFERROR(IF(LOOKUP(2,1/(GarminSessions!$A$2:$A$200=$A15),GarminSessions!$G$2:$G$200)&gt;0,LOOKUP(2,1/(GarminSessions!$A$2:$A$200=$A15),GarminSessions!$G$2:$G$200),""),"")</f>
        <v/>
      </c>
      <c r="H15" s="135" t="str">
        <f>IFERROR(IF(LOOKUP(2,1/(GarminSessions!$A$2:$A$200=$A15),GarminSessions!$H$2:$H$200)&gt;0,LOOKUP(2,1/(GarminSessions!$A$2:$A$200=$A15),GarminSessions!$H$2:$H$200),""),"")</f>
        <v/>
      </c>
      <c r="I15" s="135" t="str">
        <f>IFERROR(IF(LOOKUP(2,1/(GarminSessions!$A$2:$A$200=$A15),GarminSessions!$I$2:$I$200)&gt;0,LOOKUP(2,1/(GarminSessions!$A$2:$A$200=$A15),GarminSessions!$I$2:$I$200),""),"")</f>
        <v/>
      </c>
      <c r="J15" s="135" t="str">
        <f>IFERROR(IF(LOOKUP(2,1/(GarminSessions!$A$2:$A$200=$A15),GarminSessions!$J$2:$J$200)&gt;0,LOOKUP(2,1/(GarminSessions!$A$2:$A$200=$A15),GarminSessions!$J$2:$J$200),""),"")</f>
        <v/>
      </c>
      <c r="K15" s="135" t="str">
        <f>IFERROR(IF(LOOKUP(2,1/(GarminSessions!$A$2:$A$200=$A15),GarminSessions!$K$2:$K$200)&gt;0,LOOKUP(2,1/(GarminSessions!$A$2:$A$200=$A15),GarminSessions!$K$2:$K$200),""),"")</f>
        <v/>
      </c>
      <c r="L15" s="132" t="str">
        <f>IFERROR(IF(LOOKUP(2,1/(GarminSessions!$A$2:$A$200=$A15),GarminSessions!$L$2:$L$200)&gt;0,LOOKUP(2,1/(GarminSessions!$A$2:$A$200=$A15),GarminSessions!$L$2:$L$200),""),"")</f>
        <v/>
      </c>
      <c r="M15" s="132" t="str">
        <f>IFERROR(IF(LOOKUP(2,1/(GarminSessions!$A$2:$A$200=$A15),GarminSessions!$M$2:$M$200)&gt;0,LOOKUP(2,1/(GarminSessions!$A$2:$A$200=$A15),GarminSessions!$M$2:$M$200),""),"")</f>
        <v/>
      </c>
      <c r="N15" s="132" t="str">
        <f>IFERROR(IF(LOOKUP(2,1/(GarminSessions!$A$2:$A$200=$A15),GarminSessions!$N$2:$N$200)&gt;0,LOOKUP(2,1/(GarminSessions!$A$2:$A$200=$A15),GarminSessions!$N$2:$N$200),""),"")</f>
        <v/>
      </c>
      <c r="O15" s="135" t="str">
        <f>IFERROR(LOOKUP(2,1/(GarminSessions!$A$2:$A$200=$A15),GarminSessions!$O$2:$O$200),"")</f>
        <v/>
      </c>
      <c r="P15" s="132" t="str">
        <f>IFERROR(LOOKUP(2,1/(GarminSessions!$A$2:$A$200=$A15),GarminSessions!$P$2:$P$200),"")</f>
        <v/>
      </c>
      <c r="Q15" s="135" t="str">
        <f>IFERROR(LOOKUP(2,1/(GarminSessions!$A$2:$A$200=$A15),GarminSessions!$Q$2:$Q$200),"")</f>
        <v/>
      </c>
      <c r="R15" s="132" t="str">
        <f>IFERROR(LOOKUP(2,1/(GarminSessions!$A$2:$A$200=$A15),GarminSessions!$R$2:$R$200),"")</f>
        <v/>
      </c>
      <c r="S15" s="132" t="str">
        <f>IFERROR(LOOKUP(2,1/(GarminSessions!$A$2:$A$200=$A15),GarminSessions!$S$2:$S$200),"")</f>
        <v/>
      </c>
      <c r="T15" s="133" t="str">
        <f>IFERROR(IF(LOOKUP(2,1/(GarminSessions!$A$2:$A$200=$A15),GarminSessions!$U$2:$U$200)="","",LOOKUP(2,1/(GarminSessions!$A$2:$A$200=$A15),GarminSessions!$U$2:$U$200)),"")</f>
        <v/>
      </c>
    </row>
    <row r="16" spans="1:20" ht="26" customHeight="1">
      <c r="A16" s="209" t="s">
        <v>189</v>
      </c>
      <c r="B16" s="210"/>
      <c r="C16" s="210"/>
      <c r="D16" s="210"/>
      <c r="E16" s="210"/>
      <c r="F16" s="210"/>
      <c r="G16" s="210"/>
      <c r="H16" s="210"/>
      <c r="I16" s="210"/>
      <c r="J16" s="210"/>
      <c r="K16" s="210"/>
      <c r="L16" s="210"/>
      <c r="M16" s="210"/>
      <c r="N16" s="210"/>
      <c r="O16" s="210"/>
      <c r="P16" s="210"/>
      <c r="Q16" s="210"/>
      <c r="R16" s="210"/>
      <c r="S16" s="210"/>
      <c r="T16" s="210"/>
    </row>
    <row r="17" spans="1:20" ht="18.75" customHeight="1">
      <c r="A17" s="125" t="s">
        <v>190</v>
      </c>
      <c r="B17" s="126" t="str">
        <f>IFERROR(LOOKUP(2,1/(GarminSessions!$A$2:$A$200=$A17),GarminSessions!$D$2:$D$200),"")</f>
        <v>2026-04-26</v>
      </c>
      <c r="C17" s="127" t="str">
        <f>IFERROR(IF(LOOKUP(2,1/(GarminSessions!$A$2:$A$200=$A17),GarminSessions!$T$2:$T$200)="","",LOOKUP(2,1/(GarminSessions!$A$2:$A$200=$A17),GarminSessions!$T$2:$T$200)),"")</f>
        <v>Seating depth +0.005 jump</v>
      </c>
      <c r="D17" s="128">
        <f t="shared" ref="D17:D26" si="1">COUNT(E17:N17)</f>
        <v>10</v>
      </c>
      <c r="E17" s="129">
        <f>IFERROR(IF(LOOKUP(2,1/(GarminSessions!$A$2:$A$200=$A17),GarminSessions!$E$2:$E$200)&gt;0,LOOKUP(2,1/(GarminSessions!$A$2:$A$200=$A17),GarminSessions!$E$2:$E$200),""),"")</f>
        <v>2782</v>
      </c>
      <c r="F17" s="129">
        <f>IFERROR(IF(LOOKUP(2,1/(GarminSessions!$A$2:$A$200=$A17),GarminSessions!$F$2:$F$200)&gt;0,LOOKUP(2,1/(GarminSessions!$A$2:$A$200=$A17),GarminSessions!$F$2:$F$200),""),"")</f>
        <v>2778</v>
      </c>
      <c r="G17" s="129">
        <f>IFERROR(IF(LOOKUP(2,1/(GarminSessions!$A$2:$A$200=$A17),GarminSessions!$G$2:$G$200)&gt;0,LOOKUP(2,1/(GarminSessions!$A$2:$A$200=$A17),GarminSessions!$G$2:$G$200),""),"")</f>
        <v>2780</v>
      </c>
      <c r="H17" s="129">
        <f>IFERROR(IF(LOOKUP(2,1/(GarminSessions!$A$2:$A$200=$A17),GarminSessions!$H$2:$H$200)&gt;0,LOOKUP(2,1/(GarminSessions!$A$2:$A$200=$A17),GarminSessions!$H$2:$H$200),""),"")</f>
        <v>2784</v>
      </c>
      <c r="I17" s="129">
        <f>IFERROR(IF(LOOKUP(2,1/(GarminSessions!$A$2:$A$200=$A17),GarminSessions!$I$2:$I$200)&gt;0,LOOKUP(2,1/(GarminSessions!$A$2:$A$200=$A17),GarminSessions!$I$2:$I$200),""),"")</f>
        <v>2780</v>
      </c>
      <c r="J17" s="129">
        <f>IFERROR(IF(LOOKUP(2,1/(GarminSessions!$A$2:$A$200=$A17),GarminSessions!$J$2:$J$200)&gt;0,LOOKUP(2,1/(GarminSessions!$A$2:$A$200=$A17),GarminSessions!$J$2:$J$200),""),"")</f>
        <v>2778</v>
      </c>
      <c r="K17" s="129">
        <f>IFERROR(IF(LOOKUP(2,1/(GarminSessions!$A$2:$A$200=$A17),GarminSessions!$K$2:$K$200)&gt;0,LOOKUP(2,1/(GarminSessions!$A$2:$A$200=$A17),GarminSessions!$K$2:$K$200),""),"")</f>
        <v>2782</v>
      </c>
      <c r="L17" s="126">
        <f>IFERROR(IF(LOOKUP(2,1/(GarminSessions!$A$2:$A$200=$A17),GarminSessions!$L$2:$L$200)&gt;0,LOOKUP(2,1/(GarminSessions!$A$2:$A$200=$A17),GarminSessions!$L$2:$L$200),""),"")</f>
        <v>2780</v>
      </c>
      <c r="M17" s="126">
        <f>IFERROR(IF(LOOKUP(2,1/(GarminSessions!$A$2:$A$200=$A17),GarminSessions!$M$2:$M$200)&gt;0,LOOKUP(2,1/(GarminSessions!$A$2:$A$200=$A17),GarminSessions!$M$2:$M$200),""),"")</f>
        <v>2784</v>
      </c>
      <c r="N17" s="126">
        <f>IFERROR(IF(LOOKUP(2,1/(GarminSessions!$A$2:$A$200=$A17),GarminSessions!$N$2:$N$200)&gt;0,LOOKUP(2,1/(GarminSessions!$A$2:$A$200=$A17),GarminSessions!$N$2:$N$200),""),"")</f>
        <v>2782</v>
      </c>
      <c r="O17" s="126">
        <f>IFERROR(LOOKUP(2,1/(GarminSessions!$A$2:$A$200=$A17),GarminSessions!$O$2:$O$200),"")</f>
        <v>2781</v>
      </c>
      <c r="P17" s="136">
        <f>IFERROR(LOOKUP(2,1/(GarminSessions!$A$2:$A$200=$A17),GarminSessions!$P$2:$P$200),"")</f>
        <v>2.2000000000000002</v>
      </c>
      <c r="Q17" s="126">
        <f>IFERROR(LOOKUP(2,1/(GarminSessions!$A$2:$A$200=$A17),GarminSessions!$Q$2:$Q$200),"")</f>
        <v>6</v>
      </c>
      <c r="R17" s="137">
        <f>IFERROR(LOOKUP(2,1/(GarminSessions!$A$2:$A$200=$A17),GarminSessions!$R$2:$R$200),"")</f>
        <v>140</v>
      </c>
      <c r="S17" s="137">
        <f>IFERROR(LOOKUP(2,1/(GarminSessions!$A$2:$A$200=$A17),GarminSessions!$S$2:$S$200),"")</f>
        <v>2404</v>
      </c>
      <c r="T17" s="138" t="str">
        <f>IFERROR(IF(LOOKUP(2,1/(GarminSessions!$A$2:$A$200=$A17),GarminSessions!$U$2:$U$200)="","",LOOKUP(2,1/(GarminSessions!$A$2:$A$200=$A17),GarminSessions!$U$2:$U$200)),"")</f>
        <v>42.4gr H4350, same brass/primer as PL</v>
      </c>
    </row>
    <row r="18" spans="1:20" ht="18.75" customHeight="1">
      <c r="A18" s="131" t="s">
        <v>191</v>
      </c>
      <c r="B18" s="132" t="str">
        <f>IFERROR(LOOKUP(2,1/(GarminSessions!$A$2:$A$200=$A18),GarminSessions!$D$2:$D$200),"")</f>
        <v>2026-04-26</v>
      </c>
      <c r="C18" s="133" t="str">
        <f>IFERROR(IF(LOOKUP(2,1/(GarminSessions!$A$2:$A$200=$A18),GarminSessions!$T$2:$T$200)="","",LOOKUP(2,1/(GarminSessions!$A$2:$A$200=$A18),GarminSessions!$T$2:$T$200)),"")</f>
        <v>Seating depth +0.020 jump</v>
      </c>
      <c r="D18" s="134">
        <f t="shared" si="1"/>
        <v>10</v>
      </c>
      <c r="E18" s="135">
        <f>IFERROR(IF(LOOKUP(2,1/(GarminSessions!$A$2:$A$200=$A18),GarminSessions!$E$2:$E$200)&gt;0,LOOKUP(2,1/(GarminSessions!$A$2:$A$200=$A18),GarminSessions!$E$2:$E$200),""),"")</f>
        <v>2780</v>
      </c>
      <c r="F18" s="135">
        <f>IFERROR(IF(LOOKUP(2,1/(GarminSessions!$A$2:$A$200=$A18),GarminSessions!$F$2:$F$200)&gt;0,LOOKUP(2,1/(GarminSessions!$A$2:$A$200=$A18),GarminSessions!$F$2:$F$200),""),"")</f>
        <v>2778</v>
      </c>
      <c r="G18" s="135">
        <f>IFERROR(IF(LOOKUP(2,1/(GarminSessions!$A$2:$A$200=$A18),GarminSessions!$G$2:$G$200)&gt;0,LOOKUP(2,1/(GarminSessions!$A$2:$A$200=$A18),GarminSessions!$G$2:$G$200),""),"")</f>
        <v>2782</v>
      </c>
      <c r="H18" s="135">
        <f>IFERROR(IF(LOOKUP(2,1/(GarminSessions!$A$2:$A$200=$A18),GarminSessions!$H$2:$H$200)&gt;0,LOOKUP(2,1/(GarminSessions!$A$2:$A$200=$A18),GarminSessions!$H$2:$H$200),""),"")</f>
        <v>2776</v>
      </c>
      <c r="I18" s="135">
        <f>IFERROR(IF(LOOKUP(2,1/(GarminSessions!$A$2:$A$200=$A18),GarminSessions!$I$2:$I$200)&gt;0,LOOKUP(2,1/(GarminSessions!$A$2:$A$200=$A18),GarminSessions!$I$2:$I$200),""),"")</f>
        <v>2780</v>
      </c>
      <c r="J18" s="135">
        <f>IFERROR(IF(LOOKUP(2,1/(GarminSessions!$A$2:$A$200=$A18),GarminSessions!$J$2:$J$200)&gt;0,LOOKUP(2,1/(GarminSessions!$A$2:$A$200=$A18),GarminSessions!$J$2:$J$200),""),"")</f>
        <v>2778</v>
      </c>
      <c r="K18" s="135">
        <f>IFERROR(IF(LOOKUP(2,1/(GarminSessions!$A$2:$A$200=$A18),GarminSessions!$K$2:$K$200)&gt;0,LOOKUP(2,1/(GarminSessions!$A$2:$A$200=$A18),GarminSessions!$K$2:$K$200),""),"")</f>
        <v>2780</v>
      </c>
      <c r="L18" s="132">
        <f>IFERROR(IF(LOOKUP(2,1/(GarminSessions!$A$2:$A$200=$A18),GarminSessions!$L$2:$L$200)&gt;0,LOOKUP(2,1/(GarminSessions!$A$2:$A$200=$A18),GarminSessions!$L$2:$L$200),""),"")</f>
        <v>2784</v>
      </c>
      <c r="M18" s="132">
        <f>IFERROR(IF(LOOKUP(2,1/(GarminSessions!$A$2:$A$200=$A18),GarminSessions!$M$2:$M$200)&gt;0,LOOKUP(2,1/(GarminSessions!$A$2:$A$200=$A18),GarminSessions!$M$2:$M$200),""),"")</f>
        <v>2780</v>
      </c>
      <c r="N18" s="132">
        <f>IFERROR(IF(LOOKUP(2,1/(GarminSessions!$A$2:$A$200=$A18),GarminSessions!$N$2:$N$200)&gt;0,LOOKUP(2,1/(GarminSessions!$A$2:$A$200=$A18),GarminSessions!$N$2:$N$200),""),"")</f>
        <v>2782</v>
      </c>
      <c r="O18" s="135">
        <f>IFERROR(LOOKUP(2,1/(GarminSessions!$A$2:$A$200=$A18),GarminSessions!$O$2:$O$200),"")</f>
        <v>2780</v>
      </c>
      <c r="P18" s="132">
        <f>IFERROR(LOOKUP(2,1/(GarminSessions!$A$2:$A$200=$A18),GarminSessions!$P$2:$P$200),"")</f>
        <v>2.4</v>
      </c>
      <c r="Q18" s="135">
        <f>IFERROR(LOOKUP(2,1/(GarminSessions!$A$2:$A$200=$A18),GarminSessions!$Q$2:$Q$200),"")</f>
        <v>8</v>
      </c>
      <c r="R18" s="132">
        <f>IFERROR(LOOKUP(2,1/(GarminSessions!$A$2:$A$200=$A18),GarminSessions!$R$2:$R$200),"")</f>
        <v>140</v>
      </c>
      <c r="S18" s="132">
        <f>IFERROR(LOOKUP(2,1/(GarminSessions!$A$2:$A$200=$A18),GarminSessions!$S$2:$S$200),"")</f>
        <v>2402</v>
      </c>
      <c r="T18" s="133" t="str">
        <f>IFERROR(IF(LOOKUP(2,1/(GarminSessions!$A$2:$A$200=$A18),GarminSessions!$U$2:$U$200)="","",LOOKUP(2,1/(GarminSessions!$A$2:$A$200=$A18),GarminSessions!$U$2:$U$200)),"")</f>
        <v>42.4gr H4350, same brass/primer as PL</v>
      </c>
    </row>
    <row r="19" spans="1:20" ht="18.75" customHeight="1">
      <c r="A19" s="125" t="s">
        <v>192</v>
      </c>
      <c r="B19" s="126" t="str">
        <f>IFERROR(LOOKUP(2,1/(GarminSessions!$A$2:$A$200=$A19),GarminSessions!$D$2:$D$200),"")</f>
        <v>2026-04-26</v>
      </c>
      <c r="C19" s="127" t="str">
        <f>IFERROR(IF(LOOKUP(2,1/(GarminSessions!$A$2:$A$200=$A19),GarminSessions!$T$2:$T$200)="","",LOOKUP(2,1/(GarminSessions!$A$2:$A$200=$A19),GarminSessions!$T$2:$T$200)),"")</f>
        <v>Seating depth +0.035 jump (WINNER)</v>
      </c>
      <c r="D19" s="128">
        <f t="shared" si="1"/>
        <v>10</v>
      </c>
      <c r="E19" s="129">
        <f>IFERROR(IF(LOOKUP(2,1/(GarminSessions!$A$2:$A$200=$A19),GarminSessions!$E$2:$E$200)&gt;0,LOOKUP(2,1/(GarminSessions!$A$2:$A$200=$A19),GarminSessions!$E$2:$E$200),""),"")</f>
        <v>2780</v>
      </c>
      <c r="F19" s="129">
        <f>IFERROR(IF(LOOKUP(2,1/(GarminSessions!$A$2:$A$200=$A19),GarminSessions!$F$2:$F$200)&gt;0,LOOKUP(2,1/(GarminSessions!$A$2:$A$200=$A19),GarminSessions!$F$2:$F$200),""),"")</f>
        <v>2781</v>
      </c>
      <c r="G19" s="129">
        <f>IFERROR(IF(LOOKUP(2,1/(GarminSessions!$A$2:$A$200=$A19),GarminSessions!$G$2:$G$200)&gt;0,LOOKUP(2,1/(GarminSessions!$A$2:$A$200=$A19),GarminSessions!$G$2:$G$200),""),"")</f>
        <v>2780</v>
      </c>
      <c r="H19" s="129">
        <f>IFERROR(IF(LOOKUP(2,1/(GarminSessions!$A$2:$A$200=$A19),GarminSessions!$H$2:$H$200)&gt;0,LOOKUP(2,1/(GarminSessions!$A$2:$A$200=$A19),GarminSessions!$H$2:$H$200),""),"")</f>
        <v>2782</v>
      </c>
      <c r="I19" s="129">
        <f>IFERROR(IF(LOOKUP(2,1/(GarminSessions!$A$2:$A$200=$A19),GarminSessions!$I$2:$I$200)&gt;0,LOOKUP(2,1/(GarminSessions!$A$2:$A$200=$A19),GarminSessions!$I$2:$I$200),""),"")</f>
        <v>2780</v>
      </c>
      <c r="J19" s="129">
        <f>IFERROR(IF(LOOKUP(2,1/(GarminSessions!$A$2:$A$200=$A19),GarminSessions!$J$2:$J$200)&gt;0,LOOKUP(2,1/(GarminSessions!$A$2:$A$200=$A19),GarminSessions!$J$2:$J$200),""),"")</f>
        <v>2780</v>
      </c>
      <c r="K19" s="129">
        <f>IFERROR(IF(LOOKUP(2,1/(GarminSessions!$A$2:$A$200=$A19),GarminSessions!$K$2:$K$200)&gt;0,LOOKUP(2,1/(GarminSessions!$A$2:$A$200=$A19),GarminSessions!$K$2:$K$200),""),"")</f>
        <v>2782</v>
      </c>
      <c r="L19" s="126">
        <f>IFERROR(IF(LOOKUP(2,1/(GarminSessions!$A$2:$A$200=$A19),GarminSessions!$L$2:$L$200)&gt;0,LOOKUP(2,1/(GarminSessions!$A$2:$A$200=$A19),GarminSessions!$L$2:$L$200),""),"")</f>
        <v>2780</v>
      </c>
      <c r="M19" s="126">
        <f>IFERROR(IF(LOOKUP(2,1/(GarminSessions!$A$2:$A$200=$A19),GarminSessions!$M$2:$M$200)&gt;0,LOOKUP(2,1/(GarminSessions!$A$2:$A$200=$A19),GarminSessions!$M$2:$M$200),""),"")</f>
        <v>2780</v>
      </c>
      <c r="N19" s="126">
        <f>IFERROR(IF(LOOKUP(2,1/(GarminSessions!$A$2:$A$200=$A19),GarminSessions!$N$2:$N$200)&gt;0,LOOKUP(2,1/(GarminSessions!$A$2:$A$200=$A19),GarminSessions!$N$2:$N$200),""),"")</f>
        <v>2781</v>
      </c>
      <c r="O19" s="126">
        <f>IFERROR(LOOKUP(2,1/(GarminSessions!$A$2:$A$200=$A19),GarminSessions!$O$2:$O$200),"")</f>
        <v>2780.6</v>
      </c>
      <c r="P19" s="136">
        <f>IFERROR(LOOKUP(2,1/(GarminSessions!$A$2:$A$200=$A19),GarminSessions!$P$2:$P$200),"")</f>
        <v>0.8</v>
      </c>
      <c r="Q19" s="126">
        <f>IFERROR(LOOKUP(2,1/(GarminSessions!$A$2:$A$200=$A19),GarminSessions!$Q$2:$Q$200),"")</f>
        <v>2</v>
      </c>
      <c r="R19" s="137">
        <f>IFERROR(LOOKUP(2,1/(GarminSessions!$A$2:$A$200=$A19),GarminSessions!$R$2:$R$200),"")</f>
        <v>140</v>
      </c>
      <c r="S19" s="137">
        <f>IFERROR(LOOKUP(2,1/(GarminSessions!$A$2:$A$200=$A19),GarminSessions!$S$2:$S$200),"")</f>
        <v>2403</v>
      </c>
      <c r="T19" s="138" t="str">
        <f>IFERROR(IF(LOOKUP(2,1/(GarminSessions!$A$2:$A$200=$A19),GarminSessions!$U$2:$U$200)="","",LOOKUP(2,1/(GarminSessions!$A$2:$A$200=$A19),GarminSessions!$U$2:$U$200)),"")</f>
        <v>42.4gr H4350, same brass/primer as PL</v>
      </c>
    </row>
    <row r="20" spans="1:20" ht="18.75" customHeight="1">
      <c r="A20" s="131" t="s">
        <v>193</v>
      </c>
      <c r="B20" s="132" t="str">
        <f>IFERROR(LOOKUP(2,1/(GarminSessions!$A$2:$A$200=$A20),GarminSessions!$D$2:$D$200),"")</f>
        <v>2026-04-26</v>
      </c>
      <c r="C20" s="133" t="str">
        <f>IFERROR(IF(LOOKUP(2,1/(GarminSessions!$A$2:$A$200=$A20),GarminSessions!$T$2:$T$200)="","",LOOKUP(2,1/(GarminSessions!$A$2:$A$200=$A20),GarminSessions!$T$2:$T$200)),"")</f>
        <v>Seating depth +0.050 jump</v>
      </c>
      <c r="D20" s="134">
        <f t="shared" si="1"/>
        <v>10</v>
      </c>
      <c r="E20" s="135">
        <f>IFERROR(IF(LOOKUP(2,1/(GarminSessions!$A$2:$A$200=$A20),GarminSessions!$E$2:$E$200)&gt;0,LOOKUP(2,1/(GarminSessions!$A$2:$A$200=$A20),GarminSessions!$E$2:$E$200),""),"")</f>
        <v>2780</v>
      </c>
      <c r="F20" s="135">
        <f>IFERROR(IF(LOOKUP(2,1/(GarminSessions!$A$2:$A$200=$A20),GarminSessions!$F$2:$F$200)&gt;0,LOOKUP(2,1/(GarminSessions!$A$2:$A$200=$A20),GarminSessions!$F$2:$F$200),""),"")</f>
        <v>2784</v>
      </c>
      <c r="G20" s="135">
        <f>IFERROR(IF(LOOKUP(2,1/(GarminSessions!$A$2:$A$200=$A20),GarminSessions!$G$2:$G$200)&gt;0,LOOKUP(2,1/(GarminSessions!$A$2:$A$200=$A20),GarminSessions!$G$2:$G$200),""),"")</f>
        <v>2776</v>
      </c>
      <c r="H20" s="135">
        <f>IFERROR(IF(LOOKUP(2,1/(GarminSessions!$A$2:$A$200=$A20),GarminSessions!$H$2:$H$200)&gt;0,LOOKUP(2,1/(GarminSessions!$A$2:$A$200=$A20),GarminSessions!$H$2:$H$200),""),"")</f>
        <v>2782</v>
      </c>
      <c r="I20" s="135">
        <f>IFERROR(IF(LOOKUP(2,1/(GarminSessions!$A$2:$A$200=$A20),GarminSessions!$I$2:$I$200)&gt;0,LOOKUP(2,1/(GarminSessions!$A$2:$A$200=$A20),GarminSessions!$I$2:$I$200),""),"")</f>
        <v>2780</v>
      </c>
      <c r="J20" s="135">
        <f>IFERROR(IF(LOOKUP(2,1/(GarminSessions!$A$2:$A$200=$A20),GarminSessions!$J$2:$J$200)&gt;0,LOOKUP(2,1/(GarminSessions!$A$2:$A$200=$A20),GarminSessions!$J$2:$J$200),""),"")</f>
        <v>2778</v>
      </c>
      <c r="K20" s="135">
        <f>IFERROR(IF(LOOKUP(2,1/(GarminSessions!$A$2:$A$200=$A20),GarminSessions!$K$2:$K$200)&gt;0,LOOKUP(2,1/(GarminSessions!$A$2:$A$200=$A20),GarminSessions!$K$2:$K$200),""),"")</f>
        <v>2784</v>
      </c>
      <c r="L20" s="132">
        <f>IFERROR(IF(LOOKUP(2,1/(GarminSessions!$A$2:$A$200=$A20),GarminSessions!$L$2:$L$200)&gt;0,LOOKUP(2,1/(GarminSessions!$A$2:$A$200=$A20),GarminSessions!$L$2:$L$200),""),"")</f>
        <v>2780</v>
      </c>
      <c r="M20" s="132">
        <f>IFERROR(IF(LOOKUP(2,1/(GarminSessions!$A$2:$A$200=$A20),GarminSessions!$M$2:$M$200)&gt;0,LOOKUP(2,1/(GarminSessions!$A$2:$A$200=$A20),GarminSessions!$M$2:$M$200),""),"")</f>
        <v>2782</v>
      </c>
      <c r="N20" s="132">
        <f>IFERROR(IF(LOOKUP(2,1/(GarminSessions!$A$2:$A$200=$A20),GarminSessions!$N$2:$N$200)&gt;0,LOOKUP(2,1/(GarminSessions!$A$2:$A$200=$A20),GarminSessions!$N$2:$N$200),""),"")</f>
        <v>2774</v>
      </c>
      <c r="O20" s="135">
        <f>IFERROR(LOOKUP(2,1/(GarminSessions!$A$2:$A$200=$A20),GarminSessions!$O$2:$O$200),"")</f>
        <v>2780</v>
      </c>
      <c r="P20" s="132">
        <f>IFERROR(LOOKUP(2,1/(GarminSessions!$A$2:$A$200=$A20),GarminSessions!$P$2:$P$200),"")</f>
        <v>3.4</v>
      </c>
      <c r="Q20" s="135">
        <f>IFERROR(LOOKUP(2,1/(GarminSessions!$A$2:$A$200=$A20),GarminSessions!$Q$2:$Q$200),"")</f>
        <v>10</v>
      </c>
      <c r="R20" s="132">
        <f>IFERROR(LOOKUP(2,1/(GarminSessions!$A$2:$A$200=$A20),GarminSessions!$R$2:$R$200),"")</f>
        <v>140</v>
      </c>
      <c r="S20" s="132">
        <f>IFERROR(LOOKUP(2,1/(GarminSessions!$A$2:$A$200=$A20),GarminSessions!$S$2:$S$200),"")</f>
        <v>2402</v>
      </c>
      <c r="T20" s="133" t="str">
        <f>IFERROR(IF(LOOKUP(2,1/(GarminSessions!$A$2:$A$200=$A20),GarminSessions!$U$2:$U$200)="","",LOOKUP(2,1/(GarminSessions!$A$2:$A$200=$A20),GarminSessions!$U$2:$U$200)),"")</f>
        <v>42.4gr H4350, same brass/primer as PL</v>
      </c>
    </row>
    <row r="21" spans="1:20" ht="18.75" customHeight="1">
      <c r="A21" s="125" t="s">
        <v>194</v>
      </c>
      <c r="B21" s="126" t="str">
        <f>IFERROR(LOOKUP(2,1/(GarminSessions!$A$2:$A$200=$A21),GarminSessions!$D$2:$D$200),"")</f>
        <v>2026-04-26</v>
      </c>
      <c r="C21" s="127" t="str">
        <f>IFERROR(IF(LOOKUP(2,1/(GarminSessions!$A$2:$A$200=$A21),GarminSessions!$T$2:$T$200)="","",LOOKUP(2,1/(GarminSessions!$A$2:$A$200=$A21),GarminSessions!$T$2:$T$200)),"")</f>
        <v>Seating depth +0.065 jump</v>
      </c>
      <c r="D21" s="128">
        <f t="shared" si="1"/>
        <v>10</v>
      </c>
      <c r="E21" s="129">
        <f>IFERROR(IF(LOOKUP(2,1/(GarminSessions!$A$2:$A$200=$A21),GarminSessions!$E$2:$E$200)&gt;0,LOOKUP(2,1/(GarminSessions!$A$2:$A$200=$A21),GarminSessions!$E$2:$E$200),""),"")</f>
        <v>2780</v>
      </c>
      <c r="F21" s="129">
        <f>IFERROR(IF(LOOKUP(2,1/(GarminSessions!$A$2:$A$200=$A21),GarminSessions!$F$2:$F$200)&gt;0,LOOKUP(2,1/(GarminSessions!$A$2:$A$200=$A21),GarminSessions!$F$2:$F$200),""),"")</f>
        <v>2786</v>
      </c>
      <c r="G21" s="129">
        <f>IFERROR(IF(LOOKUP(2,1/(GarminSessions!$A$2:$A$200=$A21),GarminSessions!$G$2:$G$200)&gt;0,LOOKUP(2,1/(GarminSessions!$A$2:$A$200=$A21),GarminSessions!$G$2:$G$200),""),"")</f>
        <v>2774</v>
      </c>
      <c r="H21" s="129">
        <f>IFERROR(IF(LOOKUP(2,1/(GarminSessions!$A$2:$A$200=$A21),GarminSessions!$H$2:$H$200)&gt;0,LOOKUP(2,1/(GarminSessions!$A$2:$A$200=$A21),GarminSessions!$H$2:$H$200),""),"")</f>
        <v>2784</v>
      </c>
      <c r="I21" s="129">
        <f>IFERROR(IF(LOOKUP(2,1/(GarminSessions!$A$2:$A$200=$A21),GarminSessions!$I$2:$I$200)&gt;0,LOOKUP(2,1/(GarminSessions!$A$2:$A$200=$A21),GarminSessions!$I$2:$I$200),""),"")</f>
        <v>2776</v>
      </c>
      <c r="J21" s="129">
        <f>IFERROR(IF(LOOKUP(2,1/(GarminSessions!$A$2:$A$200=$A21),GarminSessions!$J$2:$J$200)&gt;0,LOOKUP(2,1/(GarminSessions!$A$2:$A$200=$A21),GarminSessions!$J$2:$J$200),""),"")</f>
        <v>2782</v>
      </c>
      <c r="K21" s="129">
        <f>IFERROR(IF(LOOKUP(2,1/(GarminSessions!$A$2:$A$200=$A21),GarminSessions!$K$2:$K$200)&gt;0,LOOKUP(2,1/(GarminSessions!$A$2:$A$200=$A21),GarminSessions!$K$2:$K$200),""),"")</f>
        <v>2772</v>
      </c>
      <c r="L21" s="126">
        <f>IFERROR(IF(LOOKUP(2,1/(GarminSessions!$A$2:$A$200=$A21),GarminSessions!$L$2:$L$200)&gt;0,LOOKUP(2,1/(GarminSessions!$A$2:$A$200=$A21),GarminSessions!$L$2:$L$200),""),"")</f>
        <v>2786</v>
      </c>
      <c r="M21" s="126">
        <f>IFERROR(IF(LOOKUP(2,1/(GarminSessions!$A$2:$A$200=$A21),GarminSessions!$M$2:$M$200)&gt;0,LOOKUP(2,1/(GarminSessions!$A$2:$A$200=$A21),GarminSessions!$M$2:$M$200),""),"")</f>
        <v>2776</v>
      </c>
      <c r="N21" s="126">
        <f>IFERROR(IF(LOOKUP(2,1/(GarminSessions!$A$2:$A$200=$A21),GarminSessions!$N$2:$N$200)&gt;0,LOOKUP(2,1/(GarminSessions!$A$2:$A$200=$A21),GarminSessions!$N$2:$N$200),""),"")</f>
        <v>2784</v>
      </c>
      <c r="O21" s="126">
        <f>IFERROR(LOOKUP(2,1/(GarminSessions!$A$2:$A$200=$A21),GarminSessions!$O$2:$O$200),"")</f>
        <v>2780</v>
      </c>
      <c r="P21" s="136">
        <f>IFERROR(LOOKUP(2,1/(GarminSessions!$A$2:$A$200=$A21),GarminSessions!$P$2:$P$200),"")</f>
        <v>5.0999999999999996</v>
      </c>
      <c r="Q21" s="126">
        <f>IFERROR(LOOKUP(2,1/(GarminSessions!$A$2:$A$200=$A21),GarminSessions!$Q$2:$Q$200),"")</f>
        <v>14</v>
      </c>
      <c r="R21" s="137">
        <f>IFERROR(LOOKUP(2,1/(GarminSessions!$A$2:$A$200=$A21),GarminSessions!$R$2:$R$200),"")</f>
        <v>140</v>
      </c>
      <c r="S21" s="137">
        <f>IFERROR(LOOKUP(2,1/(GarminSessions!$A$2:$A$200=$A21),GarminSessions!$S$2:$S$200),"")</f>
        <v>2402</v>
      </c>
      <c r="T21" s="138" t="str">
        <f>IFERROR(IF(LOOKUP(2,1/(GarminSessions!$A$2:$A$200=$A21),GarminSessions!$U$2:$U$200)="","",LOOKUP(2,1/(GarminSessions!$A$2:$A$200=$A21),GarminSessions!$U$2:$U$200)),"")</f>
        <v>42.4gr H4350, same brass/primer as PL</v>
      </c>
    </row>
    <row r="22" spans="1:20" ht="18.75" customHeight="1">
      <c r="A22" s="131" t="s">
        <v>195</v>
      </c>
      <c r="B22" s="132" t="str">
        <f>IFERROR(LOOKUP(2,1/(GarminSessions!$A$2:$A$200=$A22),GarminSessions!$D$2:$D$200),"")</f>
        <v/>
      </c>
      <c r="C22" s="133" t="str">
        <f>IFERROR(IF(LOOKUP(2,1/(GarminSessions!$A$2:$A$200=$A22),GarminSessions!$T$2:$T$200)="","",LOOKUP(2,1/(GarminSessions!$A$2:$A$200=$A22),GarminSessions!$T$2:$T$200)),"")</f>
        <v/>
      </c>
      <c r="D22" s="134">
        <f t="shared" si="1"/>
        <v>0</v>
      </c>
      <c r="E22" s="135" t="str">
        <f>IFERROR(IF(LOOKUP(2,1/(GarminSessions!$A$2:$A$200=$A22),GarminSessions!$E$2:$E$200)&gt;0,LOOKUP(2,1/(GarminSessions!$A$2:$A$200=$A22),GarminSessions!$E$2:$E$200),""),"")</f>
        <v/>
      </c>
      <c r="F22" s="135" t="str">
        <f>IFERROR(IF(LOOKUP(2,1/(GarminSessions!$A$2:$A$200=$A22),GarminSessions!$F$2:$F$200)&gt;0,LOOKUP(2,1/(GarminSessions!$A$2:$A$200=$A22),GarminSessions!$F$2:$F$200),""),"")</f>
        <v/>
      </c>
      <c r="G22" s="135" t="str">
        <f>IFERROR(IF(LOOKUP(2,1/(GarminSessions!$A$2:$A$200=$A22),GarminSessions!$G$2:$G$200)&gt;0,LOOKUP(2,1/(GarminSessions!$A$2:$A$200=$A22),GarminSessions!$G$2:$G$200),""),"")</f>
        <v/>
      </c>
      <c r="H22" s="135" t="str">
        <f>IFERROR(IF(LOOKUP(2,1/(GarminSessions!$A$2:$A$200=$A22),GarminSessions!$H$2:$H$200)&gt;0,LOOKUP(2,1/(GarminSessions!$A$2:$A$200=$A22),GarminSessions!$H$2:$H$200),""),"")</f>
        <v/>
      </c>
      <c r="I22" s="135" t="str">
        <f>IFERROR(IF(LOOKUP(2,1/(GarminSessions!$A$2:$A$200=$A22),GarminSessions!$I$2:$I$200)&gt;0,LOOKUP(2,1/(GarminSessions!$A$2:$A$200=$A22),GarminSessions!$I$2:$I$200),""),"")</f>
        <v/>
      </c>
      <c r="J22" s="135" t="str">
        <f>IFERROR(IF(LOOKUP(2,1/(GarminSessions!$A$2:$A$200=$A22),GarminSessions!$J$2:$J$200)&gt;0,LOOKUP(2,1/(GarminSessions!$A$2:$A$200=$A22),GarminSessions!$J$2:$J$200),""),"")</f>
        <v/>
      </c>
      <c r="K22" s="135" t="str">
        <f>IFERROR(IF(LOOKUP(2,1/(GarminSessions!$A$2:$A$200=$A22),GarminSessions!$K$2:$K$200)&gt;0,LOOKUP(2,1/(GarminSessions!$A$2:$A$200=$A22),GarminSessions!$K$2:$K$200),""),"")</f>
        <v/>
      </c>
      <c r="L22" s="132" t="str">
        <f>IFERROR(IF(LOOKUP(2,1/(GarminSessions!$A$2:$A$200=$A22),GarminSessions!$L$2:$L$200)&gt;0,LOOKUP(2,1/(GarminSessions!$A$2:$A$200=$A22),GarminSessions!$L$2:$L$200),""),"")</f>
        <v/>
      </c>
      <c r="M22" s="132" t="str">
        <f>IFERROR(IF(LOOKUP(2,1/(GarminSessions!$A$2:$A$200=$A22),GarminSessions!$M$2:$M$200)&gt;0,LOOKUP(2,1/(GarminSessions!$A$2:$A$200=$A22),GarminSessions!$M$2:$M$200),""),"")</f>
        <v/>
      </c>
      <c r="N22" s="132" t="str">
        <f>IFERROR(IF(LOOKUP(2,1/(GarminSessions!$A$2:$A$200=$A22),GarminSessions!$N$2:$N$200)&gt;0,LOOKUP(2,1/(GarminSessions!$A$2:$A$200=$A22),GarminSessions!$N$2:$N$200),""),"")</f>
        <v/>
      </c>
      <c r="O22" s="135" t="str">
        <f>IFERROR(LOOKUP(2,1/(GarminSessions!$A$2:$A$200=$A22),GarminSessions!$O$2:$O$200),"")</f>
        <v/>
      </c>
      <c r="P22" s="132" t="str">
        <f>IFERROR(LOOKUP(2,1/(GarminSessions!$A$2:$A$200=$A22),GarminSessions!$P$2:$P$200),"")</f>
        <v/>
      </c>
      <c r="Q22" s="135" t="str">
        <f>IFERROR(LOOKUP(2,1/(GarminSessions!$A$2:$A$200=$A22),GarminSessions!$Q$2:$Q$200),"")</f>
        <v/>
      </c>
      <c r="R22" s="132" t="str">
        <f>IFERROR(LOOKUP(2,1/(GarminSessions!$A$2:$A$200=$A22),GarminSessions!$R$2:$R$200),"")</f>
        <v/>
      </c>
      <c r="S22" s="132" t="str">
        <f>IFERROR(LOOKUP(2,1/(GarminSessions!$A$2:$A$200=$A22),GarminSessions!$S$2:$S$200),"")</f>
        <v/>
      </c>
      <c r="T22" s="133" t="str">
        <f>IFERROR(IF(LOOKUP(2,1/(GarminSessions!$A$2:$A$200=$A22),GarminSessions!$U$2:$U$200)="","",LOOKUP(2,1/(GarminSessions!$A$2:$A$200=$A22),GarminSessions!$U$2:$U$200)),"")</f>
        <v/>
      </c>
    </row>
    <row r="23" spans="1:20" ht="18.75" customHeight="1">
      <c r="A23" s="125" t="s">
        <v>196</v>
      </c>
      <c r="B23" s="126" t="str">
        <f>IFERROR(LOOKUP(2,1/(GarminSessions!$A$2:$A$200=$A23),GarminSessions!$D$2:$D$200),"")</f>
        <v/>
      </c>
      <c r="C23" s="127" t="str">
        <f>IFERROR(IF(LOOKUP(2,1/(GarminSessions!$A$2:$A$200=$A23),GarminSessions!$T$2:$T$200)="","",LOOKUP(2,1/(GarminSessions!$A$2:$A$200=$A23),GarminSessions!$T$2:$T$200)),"")</f>
        <v/>
      </c>
      <c r="D23" s="128">
        <f t="shared" si="1"/>
        <v>0</v>
      </c>
      <c r="E23" s="129" t="str">
        <f>IFERROR(IF(LOOKUP(2,1/(GarminSessions!$A$2:$A$200=$A23),GarminSessions!$E$2:$E$200)&gt;0,LOOKUP(2,1/(GarminSessions!$A$2:$A$200=$A23),GarminSessions!$E$2:$E$200),""),"")</f>
        <v/>
      </c>
      <c r="F23" s="129" t="str">
        <f>IFERROR(IF(LOOKUP(2,1/(GarminSessions!$A$2:$A$200=$A23),GarminSessions!$F$2:$F$200)&gt;0,LOOKUP(2,1/(GarminSessions!$A$2:$A$200=$A23),GarminSessions!$F$2:$F$200),""),"")</f>
        <v/>
      </c>
      <c r="G23" s="129" t="str">
        <f>IFERROR(IF(LOOKUP(2,1/(GarminSessions!$A$2:$A$200=$A23),GarminSessions!$G$2:$G$200)&gt;0,LOOKUP(2,1/(GarminSessions!$A$2:$A$200=$A23),GarminSessions!$G$2:$G$200),""),"")</f>
        <v/>
      </c>
      <c r="H23" s="129" t="str">
        <f>IFERROR(IF(LOOKUP(2,1/(GarminSessions!$A$2:$A$200=$A23),GarminSessions!$H$2:$H$200)&gt;0,LOOKUP(2,1/(GarminSessions!$A$2:$A$200=$A23),GarminSessions!$H$2:$H$200),""),"")</f>
        <v/>
      </c>
      <c r="I23" s="129" t="str">
        <f>IFERROR(IF(LOOKUP(2,1/(GarminSessions!$A$2:$A$200=$A23),GarminSessions!$I$2:$I$200)&gt;0,LOOKUP(2,1/(GarminSessions!$A$2:$A$200=$A23),GarminSessions!$I$2:$I$200),""),"")</f>
        <v/>
      </c>
      <c r="J23" s="129" t="str">
        <f>IFERROR(IF(LOOKUP(2,1/(GarminSessions!$A$2:$A$200=$A23),GarminSessions!$J$2:$J$200)&gt;0,LOOKUP(2,1/(GarminSessions!$A$2:$A$200=$A23),GarminSessions!$J$2:$J$200),""),"")</f>
        <v/>
      </c>
      <c r="K23" s="129" t="str">
        <f>IFERROR(IF(LOOKUP(2,1/(GarminSessions!$A$2:$A$200=$A23),GarminSessions!$K$2:$K$200)&gt;0,LOOKUP(2,1/(GarminSessions!$A$2:$A$200=$A23),GarminSessions!$K$2:$K$200),""),"")</f>
        <v/>
      </c>
      <c r="L23" s="126" t="str">
        <f>IFERROR(IF(LOOKUP(2,1/(GarminSessions!$A$2:$A$200=$A23),GarminSessions!$L$2:$L$200)&gt;0,LOOKUP(2,1/(GarminSessions!$A$2:$A$200=$A23),GarminSessions!$L$2:$L$200),""),"")</f>
        <v/>
      </c>
      <c r="M23" s="126" t="str">
        <f>IFERROR(IF(LOOKUP(2,1/(GarminSessions!$A$2:$A$200=$A23),GarminSessions!$M$2:$M$200)&gt;0,LOOKUP(2,1/(GarminSessions!$A$2:$A$200=$A23),GarminSessions!$M$2:$M$200),""),"")</f>
        <v/>
      </c>
      <c r="N23" s="126" t="str">
        <f>IFERROR(IF(LOOKUP(2,1/(GarminSessions!$A$2:$A$200=$A23),GarminSessions!$N$2:$N$200)&gt;0,LOOKUP(2,1/(GarminSessions!$A$2:$A$200=$A23),GarminSessions!$N$2:$N$200),""),"")</f>
        <v/>
      </c>
      <c r="O23" s="126" t="str">
        <f>IFERROR(LOOKUP(2,1/(GarminSessions!$A$2:$A$200=$A23),GarminSessions!$O$2:$O$200),"")</f>
        <v/>
      </c>
      <c r="P23" s="136" t="str">
        <f>IFERROR(LOOKUP(2,1/(GarminSessions!$A$2:$A$200=$A23),GarminSessions!$P$2:$P$200),"")</f>
        <v/>
      </c>
      <c r="Q23" s="126" t="str">
        <f>IFERROR(LOOKUP(2,1/(GarminSessions!$A$2:$A$200=$A23),GarminSessions!$Q$2:$Q$200),"")</f>
        <v/>
      </c>
      <c r="R23" s="137" t="str">
        <f>IFERROR(LOOKUP(2,1/(GarminSessions!$A$2:$A$200=$A23),GarminSessions!$R$2:$R$200),"")</f>
        <v/>
      </c>
      <c r="S23" s="137" t="str">
        <f>IFERROR(LOOKUP(2,1/(GarminSessions!$A$2:$A$200=$A23),GarminSessions!$S$2:$S$200),"")</f>
        <v/>
      </c>
      <c r="T23" s="138" t="str">
        <f>IFERROR(IF(LOOKUP(2,1/(GarminSessions!$A$2:$A$200=$A23),GarminSessions!$U$2:$U$200)="","",LOOKUP(2,1/(GarminSessions!$A$2:$A$200=$A23),GarminSessions!$U$2:$U$200)),"")</f>
        <v/>
      </c>
    </row>
    <row r="24" spans="1:20" ht="18.75" customHeight="1">
      <c r="A24" s="131" t="s">
        <v>197</v>
      </c>
      <c r="B24" s="132" t="str">
        <f>IFERROR(LOOKUP(2,1/(GarminSessions!$A$2:$A$200=$A24),GarminSessions!$D$2:$D$200),"")</f>
        <v/>
      </c>
      <c r="C24" s="133" t="str">
        <f>IFERROR(IF(LOOKUP(2,1/(GarminSessions!$A$2:$A$200=$A24),GarminSessions!$T$2:$T$200)="","",LOOKUP(2,1/(GarminSessions!$A$2:$A$200=$A24),GarminSessions!$T$2:$T$200)),"")</f>
        <v/>
      </c>
      <c r="D24" s="134">
        <f t="shared" si="1"/>
        <v>0</v>
      </c>
      <c r="E24" s="135" t="str">
        <f>IFERROR(IF(LOOKUP(2,1/(GarminSessions!$A$2:$A$200=$A24),GarminSessions!$E$2:$E$200)&gt;0,LOOKUP(2,1/(GarminSessions!$A$2:$A$200=$A24),GarminSessions!$E$2:$E$200),""),"")</f>
        <v/>
      </c>
      <c r="F24" s="135" t="str">
        <f>IFERROR(IF(LOOKUP(2,1/(GarminSessions!$A$2:$A$200=$A24),GarminSessions!$F$2:$F$200)&gt;0,LOOKUP(2,1/(GarminSessions!$A$2:$A$200=$A24),GarminSessions!$F$2:$F$200),""),"")</f>
        <v/>
      </c>
      <c r="G24" s="135" t="str">
        <f>IFERROR(IF(LOOKUP(2,1/(GarminSessions!$A$2:$A$200=$A24),GarminSessions!$G$2:$G$200)&gt;0,LOOKUP(2,1/(GarminSessions!$A$2:$A$200=$A24),GarminSessions!$G$2:$G$200),""),"")</f>
        <v/>
      </c>
      <c r="H24" s="135" t="str">
        <f>IFERROR(IF(LOOKUP(2,1/(GarminSessions!$A$2:$A$200=$A24),GarminSessions!$H$2:$H$200)&gt;0,LOOKUP(2,1/(GarminSessions!$A$2:$A$200=$A24),GarminSessions!$H$2:$H$200),""),"")</f>
        <v/>
      </c>
      <c r="I24" s="135" t="str">
        <f>IFERROR(IF(LOOKUP(2,1/(GarminSessions!$A$2:$A$200=$A24),GarminSessions!$I$2:$I$200)&gt;0,LOOKUP(2,1/(GarminSessions!$A$2:$A$200=$A24),GarminSessions!$I$2:$I$200),""),"")</f>
        <v/>
      </c>
      <c r="J24" s="135" t="str">
        <f>IFERROR(IF(LOOKUP(2,1/(GarminSessions!$A$2:$A$200=$A24),GarminSessions!$J$2:$J$200)&gt;0,LOOKUP(2,1/(GarminSessions!$A$2:$A$200=$A24),GarminSessions!$J$2:$J$200),""),"")</f>
        <v/>
      </c>
      <c r="K24" s="135" t="str">
        <f>IFERROR(IF(LOOKUP(2,1/(GarminSessions!$A$2:$A$200=$A24),GarminSessions!$K$2:$K$200)&gt;0,LOOKUP(2,1/(GarminSessions!$A$2:$A$200=$A24),GarminSessions!$K$2:$K$200),""),"")</f>
        <v/>
      </c>
      <c r="L24" s="132" t="str">
        <f>IFERROR(IF(LOOKUP(2,1/(GarminSessions!$A$2:$A$200=$A24),GarminSessions!$L$2:$L$200)&gt;0,LOOKUP(2,1/(GarminSessions!$A$2:$A$200=$A24),GarminSessions!$L$2:$L$200),""),"")</f>
        <v/>
      </c>
      <c r="M24" s="132" t="str">
        <f>IFERROR(IF(LOOKUP(2,1/(GarminSessions!$A$2:$A$200=$A24),GarminSessions!$M$2:$M$200)&gt;0,LOOKUP(2,1/(GarminSessions!$A$2:$A$200=$A24),GarminSessions!$M$2:$M$200),""),"")</f>
        <v/>
      </c>
      <c r="N24" s="132" t="str">
        <f>IFERROR(IF(LOOKUP(2,1/(GarminSessions!$A$2:$A$200=$A24),GarminSessions!$N$2:$N$200)&gt;0,LOOKUP(2,1/(GarminSessions!$A$2:$A$200=$A24),GarminSessions!$N$2:$N$200),""),"")</f>
        <v/>
      </c>
      <c r="O24" s="135" t="str">
        <f>IFERROR(LOOKUP(2,1/(GarminSessions!$A$2:$A$200=$A24),GarminSessions!$O$2:$O$200),"")</f>
        <v/>
      </c>
      <c r="P24" s="132" t="str">
        <f>IFERROR(LOOKUP(2,1/(GarminSessions!$A$2:$A$200=$A24),GarminSessions!$P$2:$P$200),"")</f>
        <v/>
      </c>
      <c r="Q24" s="135" t="str">
        <f>IFERROR(LOOKUP(2,1/(GarminSessions!$A$2:$A$200=$A24),GarminSessions!$Q$2:$Q$200),"")</f>
        <v/>
      </c>
      <c r="R24" s="132" t="str">
        <f>IFERROR(LOOKUP(2,1/(GarminSessions!$A$2:$A$200=$A24),GarminSessions!$R$2:$R$200),"")</f>
        <v/>
      </c>
      <c r="S24" s="132" t="str">
        <f>IFERROR(LOOKUP(2,1/(GarminSessions!$A$2:$A$200=$A24),GarminSessions!$S$2:$S$200),"")</f>
        <v/>
      </c>
      <c r="T24" s="133" t="str">
        <f>IFERROR(IF(LOOKUP(2,1/(GarminSessions!$A$2:$A$200=$A24),GarminSessions!$U$2:$U$200)="","",LOOKUP(2,1/(GarminSessions!$A$2:$A$200=$A24),GarminSessions!$U$2:$U$200)),"")</f>
        <v/>
      </c>
    </row>
    <row r="25" spans="1:20" ht="18.75" customHeight="1">
      <c r="A25" s="125" t="s">
        <v>198</v>
      </c>
      <c r="B25" s="126" t="str">
        <f>IFERROR(LOOKUP(2,1/(GarminSessions!$A$2:$A$200=$A25),GarminSessions!$D$2:$D$200),"")</f>
        <v/>
      </c>
      <c r="C25" s="127" t="str">
        <f>IFERROR(IF(LOOKUP(2,1/(GarminSessions!$A$2:$A$200=$A25),GarminSessions!$T$2:$T$200)="","",LOOKUP(2,1/(GarminSessions!$A$2:$A$200=$A25),GarminSessions!$T$2:$T$200)),"")</f>
        <v/>
      </c>
      <c r="D25" s="128">
        <f t="shared" si="1"/>
        <v>0</v>
      </c>
      <c r="E25" s="129" t="str">
        <f>IFERROR(IF(LOOKUP(2,1/(GarminSessions!$A$2:$A$200=$A25),GarminSessions!$E$2:$E$200)&gt;0,LOOKUP(2,1/(GarminSessions!$A$2:$A$200=$A25),GarminSessions!$E$2:$E$200),""),"")</f>
        <v/>
      </c>
      <c r="F25" s="129" t="str">
        <f>IFERROR(IF(LOOKUP(2,1/(GarminSessions!$A$2:$A$200=$A25),GarminSessions!$F$2:$F$200)&gt;0,LOOKUP(2,1/(GarminSessions!$A$2:$A$200=$A25),GarminSessions!$F$2:$F$200),""),"")</f>
        <v/>
      </c>
      <c r="G25" s="129" t="str">
        <f>IFERROR(IF(LOOKUP(2,1/(GarminSessions!$A$2:$A$200=$A25),GarminSessions!$G$2:$G$200)&gt;0,LOOKUP(2,1/(GarminSessions!$A$2:$A$200=$A25),GarminSessions!$G$2:$G$200),""),"")</f>
        <v/>
      </c>
      <c r="H25" s="129" t="str">
        <f>IFERROR(IF(LOOKUP(2,1/(GarminSessions!$A$2:$A$200=$A25),GarminSessions!$H$2:$H$200)&gt;0,LOOKUP(2,1/(GarminSessions!$A$2:$A$200=$A25),GarminSessions!$H$2:$H$200),""),"")</f>
        <v/>
      </c>
      <c r="I25" s="129" t="str">
        <f>IFERROR(IF(LOOKUP(2,1/(GarminSessions!$A$2:$A$200=$A25),GarminSessions!$I$2:$I$200)&gt;0,LOOKUP(2,1/(GarminSessions!$A$2:$A$200=$A25),GarminSessions!$I$2:$I$200),""),"")</f>
        <v/>
      </c>
      <c r="J25" s="129" t="str">
        <f>IFERROR(IF(LOOKUP(2,1/(GarminSessions!$A$2:$A$200=$A25),GarminSessions!$J$2:$J$200)&gt;0,LOOKUP(2,1/(GarminSessions!$A$2:$A$200=$A25),GarminSessions!$J$2:$J$200),""),"")</f>
        <v/>
      </c>
      <c r="K25" s="129" t="str">
        <f>IFERROR(IF(LOOKUP(2,1/(GarminSessions!$A$2:$A$200=$A25),GarminSessions!$K$2:$K$200)&gt;0,LOOKUP(2,1/(GarminSessions!$A$2:$A$200=$A25),GarminSessions!$K$2:$K$200),""),"")</f>
        <v/>
      </c>
      <c r="L25" s="126" t="str">
        <f>IFERROR(IF(LOOKUP(2,1/(GarminSessions!$A$2:$A$200=$A25),GarminSessions!$L$2:$L$200)&gt;0,LOOKUP(2,1/(GarminSessions!$A$2:$A$200=$A25),GarminSessions!$L$2:$L$200),""),"")</f>
        <v/>
      </c>
      <c r="M25" s="126" t="str">
        <f>IFERROR(IF(LOOKUP(2,1/(GarminSessions!$A$2:$A$200=$A25),GarminSessions!$M$2:$M$200)&gt;0,LOOKUP(2,1/(GarminSessions!$A$2:$A$200=$A25),GarminSessions!$M$2:$M$200),""),"")</f>
        <v/>
      </c>
      <c r="N25" s="126" t="str">
        <f>IFERROR(IF(LOOKUP(2,1/(GarminSessions!$A$2:$A$200=$A25),GarminSessions!$N$2:$N$200)&gt;0,LOOKUP(2,1/(GarminSessions!$A$2:$A$200=$A25),GarminSessions!$N$2:$N$200),""),"")</f>
        <v/>
      </c>
      <c r="O25" s="126" t="str">
        <f>IFERROR(LOOKUP(2,1/(GarminSessions!$A$2:$A$200=$A25),GarminSessions!$O$2:$O$200),"")</f>
        <v/>
      </c>
      <c r="P25" s="136" t="str">
        <f>IFERROR(LOOKUP(2,1/(GarminSessions!$A$2:$A$200=$A25),GarminSessions!$P$2:$P$200),"")</f>
        <v/>
      </c>
      <c r="Q25" s="126" t="str">
        <f>IFERROR(LOOKUP(2,1/(GarminSessions!$A$2:$A$200=$A25),GarminSessions!$Q$2:$Q$200),"")</f>
        <v/>
      </c>
      <c r="R25" s="137" t="str">
        <f>IFERROR(LOOKUP(2,1/(GarminSessions!$A$2:$A$200=$A25),GarminSessions!$R$2:$R$200),"")</f>
        <v/>
      </c>
      <c r="S25" s="137" t="str">
        <f>IFERROR(LOOKUP(2,1/(GarminSessions!$A$2:$A$200=$A25),GarminSessions!$S$2:$S$200),"")</f>
        <v/>
      </c>
      <c r="T25" s="138" t="str">
        <f>IFERROR(IF(LOOKUP(2,1/(GarminSessions!$A$2:$A$200=$A25),GarminSessions!$U$2:$U$200)="","",LOOKUP(2,1/(GarminSessions!$A$2:$A$200=$A25),GarminSessions!$U$2:$U$200)),"")</f>
        <v/>
      </c>
    </row>
    <row r="26" spans="1:20" ht="18.75" customHeight="1">
      <c r="A26" s="131" t="s">
        <v>199</v>
      </c>
      <c r="B26" s="132" t="str">
        <f>IFERROR(LOOKUP(2,1/(GarminSessions!$A$2:$A$200=$A26),GarminSessions!$D$2:$D$200),"")</f>
        <v/>
      </c>
      <c r="C26" s="133" t="str">
        <f>IFERROR(IF(LOOKUP(2,1/(GarminSessions!$A$2:$A$200=$A26),GarminSessions!$T$2:$T$200)="","",LOOKUP(2,1/(GarminSessions!$A$2:$A$200=$A26),GarminSessions!$T$2:$T$200)),"")</f>
        <v/>
      </c>
      <c r="D26" s="134">
        <f t="shared" si="1"/>
        <v>0</v>
      </c>
      <c r="E26" s="135" t="str">
        <f>IFERROR(IF(LOOKUP(2,1/(GarminSessions!$A$2:$A$200=$A26),GarminSessions!$E$2:$E$200)&gt;0,LOOKUP(2,1/(GarminSessions!$A$2:$A$200=$A26),GarminSessions!$E$2:$E$200),""),"")</f>
        <v/>
      </c>
      <c r="F26" s="135" t="str">
        <f>IFERROR(IF(LOOKUP(2,1/(GarminSessions!$A$2:$A$200=$A26),GarminSessions!$F$2:$F$200)&gt;0,LOOKUP(2,1/(GarminSessions!$A$2:$A$200=$A26),GarminSessions!$F$2:$F$200),""),"")</f>
        <v/>
      </c>
      <c r="G26" s="135" t="str">
        <f>IFERROR(IF(LOOKUP(2,1/(GarminSessions!$A$2:$A$200=$A26),GarminSessions!$G$2:$G$200)&gt;0,LOOKUP(2,1/(GarminSessions!$A$2:$A$200=$A26),GarminSessions!$G$2:$G$200),""),"")</f>
        <v/>
      </c>
      <c r="H26" s="135" t="str">
        <f>IFERROR(IF(LOOKUP(2,1/(GarminSessions!$A$2:$A$200=$A26),GarminSessions!$H$2:$H$200)&gt;0,LOOKUP(2,1/(GarminSessions!$A$2:$A$200=$A26),GarminSessions!$H$2:$H$200),""),"")</f>
        <v/>
      </c>
      <c r="I26" s="135" t="str">
        <f>IFERROR(IF(LOOKUP(2,1/(GarminSessions!$A$2:$A$200=$A26),GarminSessions!$I$2:$I$200)&gt;0,LOOKUP(2,1/(GarminSessions!$A$2:$A$200=$A26),GarminSessions!$I$2:$I$200),""),"")</f>
        <v/>
      </c>
      <c r="J26" s="135" t="str">
        <f>IFERROR(IF(LOOKUP(2,1/(GarminSessions!$A$2:$A$200=$A26),GarminSessions!$J$2:$J$200)&gt;0,LOOKUP(2,1/(GarminSessions!$A$2:$A$200=$A26),GarminSessions!$J$2:$J$200),""),"")</f>
        <v/>
      </c>
      <c r="K26" s="135" t="str">
        <f>IFERROR(IF(LOOKUP(2,1/(GarminSessions!$A$2:$A$200=$A26),GarminSessions!$K$2:$K$200)&gt;0,LOOKUP(2,1/(GarminSessions!$A$2:$A$200=$A26),GarminSessions!$K$2:$K$200),""),"")</f>
        <v/>
      </c>
      <c r="L26" s="132" t="str">
        <f>IFERROR(IF(LOOKUP(2,1/(GarminSessions!$A$2:$A$200=$A26),GarminSessions!$L$2:$L$200)&gt;0,LOOKUP(2,1/(GarminSessions!$A$2:$A$200=$A26),GarminSessions!$L$2:$L$200),""),"")</f>
        <v/>
      </c>
      <c r="M26" s="132" t="str">
        <f>IFERROR(IF(LOOKUP(2,1/(GarminSessions!$A$2:$A$200=$A26),GarminSessions!$M$2:$M$200)&gt;0,LOOKUP(2,1/(GarminSessions!$A$2:$A$200=$A26),GarminSessions!$M$2:$M$200),""),"")</f>
        <v/>
      </c>
      <c r="N26" s="132" t="str">
        <f>IFERROR(IF(LOOKUP(2,1/(GarminSessions!$A$2:$A$200=$A26),GarminSessions!$N$2:$N$200)&gt;0,LOOKUP(2,1/(GarminSessions!$A$2:$A$200=$A26),GarminSessions!$N$2:$N$200),""),"")</f>
        <v/>
      </c>
      <c r="O26" s="135" t="str">
        <f>IFERROR(LOOKUP(2,1/(GarminSessions!$A$2:$A$200=$A26),GarminSessions!$O$2:$O$200),"")</f>
        <v/>
      </c>
      <c r="P26" s="132" t="str">
        <f>IFERROR(LOOKUP(2,1/(GarminSessions!$A$2:$A$200=$A26),GarminSessions!$P$2:$P$200),"")</f>
        <v/>
      </c>
      <c r="Q26" s="135" t="str">
        <f>IFERROR(LOOKUP(2,1/(GarminSessions!$A$2:$A$200=$A26),GarminSessions!$Q$2:$Q$200),"")</f>
        <v/>
      </c>
      <c r="R26" s="132" t="str">
        <f>IFERROR(LOOKUP(2,1/(GarminSessions!$A$2:$A$200=$A26),GarminSessions!$R$2:$R$200),"")</f>
        <v/>
      </c>
      <c r="S26" s="132" t="str">
        <f>IFERROR(LOOKUP(2,1/(GarminSessions!$A$2:$A$200=$A26),GarminSessions!$S$2:$S$200),"")</f>
        <v/>
      </c>
      <c r="T26" s="133" t="str">
        <f>IFERROR(IF(LOOKUP(2,1/(GarminSessions!$A$2:$A$200=$A26),GarminSessions!$U$2:$U$200)="","",LOOKUP(2,1/(GarminSessions!$A$2:$A$200=$A26),GarminSessions!$U$2:$U$200)),"")</f>
        <v/>
      </c>
    </row>
    <row r="27" spans="1:20" ht="7.5" customHeight="1"/>
    <row r="28" spans="1:20" ht="26" customHeight="1">
      <c r="A28" s="209" t="s">
        <v>200</v>
      </c>
      <c r="B28" s="210"/>
      <c r="C28" s="210"/>
      <c r="D28" s="210"/>
      <c r="E28" s="210"/>
      <c r="F28" s="210"/>
      <c r="G28" s="210"/>
      <c r="H28" s="210"/>
      <c r="I28" s="210"/>
      <c r="J28" s="210"/>
      <c r="K28" s="210"/>
      <c r="L28" s="210"/>
      <c r="M28" s="210"/>
      <c r="N28" s="210"/>
      <c r="O28" s="210"/>
      <c r="P28" s="210"/>
      <c r="Q28" s="210"/>
      <c r="R28" s="210"/>
      <c r="S28" s="210"/>
      <c r="T28" s="210"/>
    </row>
    <row r="29" spans="1:20" ht="18.75" customHeight="1">
      <c r="A29" s="125"/>
      <c r="B29" s="126">
        <f>IFERROR(LOOKUP(2,1/(GarminSessions!$A$2:$A$200=$A29),GarminSessions!$D$2:$D$200),"")</f>
        <v>0</v>
      </c>
      <c r="C29" s="127">
        <f>IFERROR(LOOKUP(2,1/(GarminSessions!$A$2:$A$200=$A29),GarminSessions!$Q$2:$Q$200),"")</f>
        <v>0</v>
      </c>
      <c r="D29" s="128">
        <f t="shared" ref="D29:D43" si="2">COUNT(E29:K29)</f>
        <v>7</v>
      </c>
      <c r="E29" s="129">
        <f>IFERROR(LOOKUP(2,1/(GarminSessions!$A$2:$A$200=$A29),GarminSessions!$E$2:$E$200),"")</f>
        <v>0</v>
      </c>
      <c r="F29" s="129">
        <f>IFERROR(LOOKUP(2,1/(GarminSessions!$A$2:$A$200=$A29),GarminSessions!$F$2:$F$200),"")</f>
        <v>0</v>
      </c>
      <c r="G29" s="129">
        <f>IFERROR(LOOKUP(2,1/(GarminSessions!$A$2:$A$200=$A29),GarminSessions!$G$2:$G$200),"")</f>
        <v>0</v>
      </c>
      <c r="H29" s="129">
        <f>IFERROR(LOOKUP(2,1/(GarminSessions!$A$2:$A$200=$A29),GarminSessions!$H$2:$H$200),"")</f>
        <v>0</v>
      </c>
      <c r="I29" s="129">
        <f>IFERROR(LOOKUP(2,1/(GarminSessions!$A$2:$A$200=$A29),GarminSessions!$I$2:$I$200),"")</f>
        <v>0</v>
      </c>
      <c r="J29" s="129">
        <f>IFERROR(LOOKUP(2,1/(GarminSessions!$A$2:$A$200=$A29),GarminSessions!$J$2:$J$200),"")</f>
        <v>0</v>
      </c>
      <c r="K29" s="129">
        <f>IFERROR(LOOKUP(2,1/(GarminSessions!$A$2:$A$200=$A29),GarminSessions!$K$2:$K$200),"")</f>
        <v>0</v>
      </c>
      <c r="L29" s="129">
        <f>IFERROR(LOOKUP(2,1/(GarminSessions!$A$2:$A$200=$A29),GarminSessions!$L$2:$L$200),"")</f>
        <v>0</v>
      </c>
      <c r="M29" s="130">
        <f>IFERROR(LOOKUP(2,1/(GarminSessions!$A$2:$A$200=$A29),GarminSessions!$M$2:$M$200),"")</f>
        <v>0</v>
      </c>
      <c r="N29" s="129">
        <f>IFERROR(LOOKUP(2,1/(GarminSessions!$A$2:$A$200=$A29),GarminSessions!$N$2:$N$200),"")</f>
        <v>0</v>
      </c>
      <c r="O29" s="128">
        <f>IFERROR(LOOKUP(2,1/(GarminSessions!$A$2:$A$200=$A29),GarminSessions!$O$2:$O$200),"")</f>
        <v>0</v>
      </c>
      <c r="P29" s="128">
        <f>IFERROR(LOOKUP(2,1/(GarminSessions!$A$2:$A$200=$A29),GarminSessions!$P$2:$P$200),"")</f>
        <v>0</v>
      </c>
      <c r="Q29" s="126">
        <f>IFERROR(LOOKUP(2,1/(GarminSessions!$A$2:$A$200=$A29),GarminSessions!$R$2:$R$200),"")</f>
        <v>0</v>
      </c>
      <c r="R29" s="125"/>
      <c r="S29" s="125"/>
      <c r="T29" s="127"/>
    </row>
    <row r="30" spans="1:20" ht="18.75" customHeight="1">
      <c r="A30" s="131"/>
      <c r="B30" s="132">
        <f>IFERROR(LOOKUP(2,1/(GarminSessions!$A$2:$A$200=$A30),GarminSessions!$D$2:$D$200),"")</f>
        <v>0</v>
      </c>
      <c r="C30" s="133">
        <f>IFERROR(LOOKUP(2,1/(GarminSessions!$A$2:$A$200=$A30),GarminSessions!$Q$2:$Q$200),"")</f>
        <v>0</v>
      </c>
      <c r="D30" s="134">
        <f t="shared" si="2"/>
        <v>7</v>
      </c>
      <c r="E30" s="135">
        <f>IFERROR(LOOKUP(2,1/(GarminSessions!$A$2:$A$200=$A30),GarminSessions!$E$2:$E$200),"")</f>
        <v>0</v>
      </c>
      <c r="F30" s="135">
        <f>IFERROR(LOOKUP(2,1/(GarminSessions!$A$2:$A$200=$A30),GarminSessions!$F$2:$F$200),"")</f>
        <v>0</v>
      </c>
      <c r="G30" s="135">
        <f>IFERROR(LOOKUP(2,1/(GarminSessions!$A$2:$A$200=$A30),GarminSessions!$G$2:$G$200),"")</f>
        <v>0</v>
      </c>
      <c r="H30" s="135">
        <f>IFERROR(LOOKUP(2,1/(GarminSessions!$A$2:$A$200=$A30),GarminSessions!$H$2:$H$200),"")</f>
        <v>0</v>
      </c>
      <c r="I30" s="135">
        <f>IFERROR(LOOKUP(2,1/(GarminSessions!$A$2:$A$200=$A30),GarminSessions!$I$2:$I$200),"")</f>
        <v>0</v>
      </c>
      <c r="J30" s="135">
        <f>IFERROR(LOOKUP(2,1/(GarminSessions!$A$2:$A$200=$A30),GarminSessions!$J$2:$J$200),"")</f>
        <v>0</v>
      </c>
      <c r="K30" s="135">
        <f>IFERROR(LOOKUP(2,1/(GarminSessions!$A$2:$A$200=$A30),GarminSessions!$K$2:$K$200),"")</f>
        <v>0</v>
      </c>
      <c r="L30" s="135">
        <f>IFERROR(LOOKUP(2,1/(GarminSessions!$A$2:$A$200=$A30),GarminSessions!$L$2:$L$200),"")</f>
        <v>0</v>
      </c>
      <c r="M30" s="139">
        <f>IFERROR(LOOKUP(2,1/(GarminSessions!$A$2:$A$200=$A30),GarminSessions!$M$2:$M$200),"")</f>
        <v>0</v>
      </c>
      <c r="N30" s="135">
        <f>IFERROR(LOOKUP(2,1/(GarminSessions!$A$2:$A$200=$A30),GarminSessions!$N$2:$N$200),"")</f>
        <v>0</v>
      </c>
      <c r="O30" s="134">
        <f>IFERROR(LOOKUP(2,1/(GarminSessions!$A$2:$A$200=$A30),GarminSessions!$O$2:$O$200),"")</f>
        <v>0</v>
      </c>
      <c r="P30" s="134">
        <f>IFERROR(LOOKUP(2,1/(GarminSessions!$A$2:$A$200=$A30),GarminSessions!$P$2:$P$200),"")</f>
        <v>0</v>
      </c>
      <c r="Q30" s="132">
        <f>IFERROR(LOOKUP(2,1/(GarminSessions!$A$2:$A$200=$A30),GarminSessions!$R$2:$R$200),"")</f>
        <v>0</v>
      </c>
      <c r="R30" s="131"/>
      <c r="S30" s="131"/>
      <c r="T30" s="133"/>
    </row>
    <row r="31" spans="1:20" ht="18.75" customHeight="1">
      <c r="A31" s="125"/>
      <c r="B31" s="126">
        <f>IFERROR(LOOKUP(2,1/(GarminSessions!$A$2:$A$200=$A31),GarminSessions!$D$2:$D$200),"")</f>
        <v>0</v>
      </c>
      <c r="C31" s="127">
        <f>IFERROR(LOOKUP(2,1/(GarminSessions!$A$2:$A$200=$A31),GarminSessions!$Q$2:$Q$200),"")</f>
        <v>0</v>
      </c>
      <c r="D31" s="128">
        <f t="shared" si="2"/>
        <v>7</v>
      </c>
      <c r="E31" s="129">
        <f>IFERROR(LOOKUP(2,1/(GarminSessions!$A$2:$A$200=$A31),GarminSessions!$E$2:$E$200),"")</f>
        <v>0</v>
      </c>
      <c r="F31" s="129">
        <f>IFERROR(LOOKUP(2,1/(GarminSessions!$A$2:$A$200=$A31),GarminSessions!$F$2:$F$200),"")</f>
        <v>0</v>
      </c>
      <c r="G31" s="129">
        <f>IFERROR(LOOKUP(2,1/(GarminSessions!$A$2:$A$200=$A31),GarminSessions!$G$2:$G$200),"")</f>
        <v>0</v>
      </c>
      <c r="H31" s="129">
        <f>IFERROR(LOOKUP(2,1/(GarminSessions!$A$2:$A$200=$A31),GarminSessions!$H$2:$H$200),"")</f>
        <v>0</v>
      </c>
      <c r="I31" s="129">
        <f>IFERROR(LOOKUP(2,1/(GarminSessions!$A$2:$A$200=$A31),GarminSessions!$I$2:$I$200),"")</f>
        <v>0</v>
      </c>
      <c r="J31" s="129">
        <f>IFERROR(LOOKUP(2,1/(GarminSessions!$A$2:$A$200=$A31),GarminSessions!$J$2:$J$200),"")</f>
        <v>0</v>
      </c>
      <c r="K31" s="129">
        <f>IFERROR(LOOKUP(2,1/(GarminSessions!$A$2:$A$200=$A31),GarminSessions!$K$2:$K$200),"")</f>
        <v>0</v>
      </c>
      <c r="L31" s="129">
        <f>IFERROR(LOOKUP(2,1/(GarminSessions!$A$2:$A$200=$A31),GarminSessions!$L$2:$L$200),"")</f>
        <v>0</v>
      </c>
      <c r="M31" s="130">
        <f>IFERROR(LOOKUP(2,1/(GarminSessions!$A$2:$A$200=$A31),GarminSessions!$M$2:$M$200),"")</f>
        <v>0</v>
      </c>
      <c r="N31" s="129">
        <f>IFERROR(LOOKUP(2,1/(GarminSessions!$A$2:$A$200=$A31),GarminSessions!$N$2:$N$200),"")</f>
        <v>0</v>
      </c>
      <c r="O31" s="128">
        <f>IFERROR(LOOKUP(2,1/(GarminSessions!$A$2:$A$200=$A31),GarminSessions!$O$2:$O$200),"")</f>
        <v>0</v>
      </c>
      <c r="P31" s="128">
        <f>IFERROR(LOOKUP(2,1/(GarminSessions!$A$2:$A$200=$A31),GarminSessions!$P$2:$P$200),"")</f>
        <v>0</v>
      </c>
      <c r="Q31" s="126">
        <f>IFERROR(LOOKUP(2,1/(GarminSessions!$A$2:$A$200=$A31),GarminSessions!$R$2:$R$200),"")</f>
        <v>0</v>
      </c>
      <c r="R31" s="125"/>
      <c r="S31" s="125"/>
      <c r="T31" s="127"/>
    </row>
    <row r="32" spans="1:20" ht="18.75" customHeight="1">
      <c r="A32" s="131"/>
      <c r="B32" s="132">
        <f>IFERROR(LOOKUP(2,1/(GarminSessions!$A$2:$A$200=$A32),GarminSessions!$D$2:$D$200),"")</f>
        <v>0</v>
      </c>
      <c r="C32" s="133">
        <f>IFERROR(LOOKUP(2,1/(GarminSessions!$A$2:$A$200=$A32),GarminSessions!$Q$2:$Q$200),"")</f>
        <v>0</v>
      </c>
      <c r="D32" s="134">
        <f t="shared" si="2"/>
        <v>7</v>
      </c>
      <c r="E32" s="135">
        <f>IFERROR(LOOKUP(2,1/(GarminSessions!$A$2:$A$200=$A32),GarminSessions!$E$2:$E$200),"")</f>
        <v>0</v>
      </c>
      <c r="F32" s="135">
        <f>IFERROR(LOOKUP(2,1/(GarminSessions!$A$2:$A$200=$A32),GarminSessions!$F$2:$F$200),"")</f>
        <v>0</v>
      </c>
      <c r="G32" s="135">
        <f>IFERROR(LOOKUP(2,1/(GarminSessions!$A$2:$A$200=$A32),GarminSessions!$G$2:$G$200),"")</f>
        <v>0</v>
      </c>
      <c r="H32" s="135">
        <f>IFERROR(LOOKUP(2,1/(GarminSessions!$A$2:$A$200=$A32),GarminSessions!$H$2:$H$200),"")</f>
        <v>0</v>
      </c>
      <c r="I32" s="135">
        <f>IFERROR(LOOKUP(2,1/(GarminSessions!$A$2:$A$200=$A32),GarminSessions!$I$2:$I$200),"")</f>
        <v>0</v>
      </c>
      <c r="J32" s="135">
        <f>IFERROR(LOOKUP(2,1/(GarminSessions!$A$2:$A$200=$A32),GarminSessions!$J$2:$J$200),"")</f>
        <v>0</v>
      </c>
      <c r="K32" s="135">
        <f>IFERROR(LOOKUP(2,1/(GarminSessions!$A$2:$A$200=$A32),GarminSessions!$K$2:$K$200),"")</f>
        <v>0</v>
      </c>
      <c r="L32" s="135">
        <f>IFERROR(LOOKUP(2,1/(GarminSessions!$A$2:$A$200=$A32),GarminSessions!$L$2:$L$200),"")</f>
        <v>0</v>
      </c>
      <c r="M32" s="139">
        <f>IFERROR(LOOKUP(2,1/(GarminSessions!$A$2:$A$200=$A32),GarminSessions!$M$2:$M$200),"")</f>
        <v>0</v>
      </c>
      <c r="N32" s="135">
        <f>IFERROR(LOOKUP(2,1/(GarminSessions!$A$2:$A$200=$A32),GarminSessions!$N$2:$N$200),"")</f>
        <v>0</v>
      </c>
      <c r="O32" s="134">
        <f>IFERROR(LOOKUP(2,1/(GarminSessions!$A$2:$A$200=$A32),GarminSessions!$O$2:$O$200),"")</f>
        <v>0</v>
      </c>
      <c r="P32" s="134">
        <f>IFERROR(LOOKUP(2,1/(GarminSessions!$A$2:$A$200=$A32),GarminSessions!$P$2:$P$200),"")</f>
        <v>0</v>
      </c>
      <c r="Q32" s="132">
        <f>IFERROR(LOOKUP(2,1/(GarminSessions!$A$2:$A$200=$A32),GarminSessions!$R$2:$R$200),"")</f>
        <v>0</v>
      </c>
      <c r="R32" s="131"/>
      <c r="S32" s="131"/>
      <c r="T32" s="133"/>
    </row>
    <row r="33" spans="1:20" ht="18.75" customHeight="1">
      <c r="A33" s="125"/>
      <c r="B33" s="126">
        <f>IFERROR(LOOKUP(2,1/(GarminSessions!$A$2:$A$200=$A33),GarminSessions!$D$2:$D$200),"")</f>
        <v>0</v>
      </c>
      <c r="C33" s="127">
        <f>IFERROR(LOOKUP(2,1/(GarminSessions!$A$2:$A$200=$A33),GarminSessions!$Q$2:$Q$200),"")</f>
        <v>0</v>
      </c>
      <c r="D33" s="128">
        <f t="shared" si="2"/>
        <v>7</v>
      </c>
      <c r="E33" s="129">
        <f>IFERROR(LOOKUP(2,1/(GarminSessions!$A$2:$A$200=$A33),GarminSessions!$E$2:$E$200),"")</f>
        <v>0</v>
      </c>
      <c r="F33" s="129">
        <f>IFERROR(LOOKUP(2,1/(GarminSessions!$A$2:$A$200=$A33),GarminSessions!$F$2:$F$200),"")</f>
        <v>0</v>
      </c>
      <c r="G33" s="129">
        <f>IFERROR(LOOKUP(2,1/(GarminSessions!$A$2:$A$200=$A33),GarminSessions!$G$2:$G$200),"")</f>
        <v>0</v>
      </c>
      <c r="H33" s="129">
        <f>IFERROR(LOOKUP(2,1/(GarminSessions!$A$2:$A$200=$A33),GarminSessions!$H$2:$H$200),"")</f>
        <v>0</v>
      </c>
      <c r="I33" s="129">
        <f>IFERROR(LOOKUP(2,1/(GarminSessions!$A$2:$A$200=$A33),GarminSessions!$I$2:$I$200),"")</f>
        <v>0</v>
      </c>
      <c r="J33" s="129">
        <f>IFERROR(LOOKUP(2,1/(GarminSessions!$A$2:$A$200=$A33),GarminSessions!$J$2:$J$200),"")</f>
        <v>0</v>
      </c>
      <c r="K33" s="129">
        <f>IFERROR(LOOKUP(2,1/(GarminSessions!$A$2:$A$200=$A33),GarminSessions!$K$2:$K$200),"")</f>
        <v>0</v>
      </c>
      <c r="L33" s="129">
        <f>IFERROR(LOOKUP(2,1/(GarminSessions!$A$2:$A$200=$A33),GarminSessions!$L$2:$L$200),"")</f>
        <v>0</v>
      </c>
      <c r="M33" s="130">
        <f>IFERROR(LOOKUP(2,1/(GarminSessions!$A$2:$A$200=$A33),GarminSessions!$M$2:$M$200),"")</f>
        <v>0</v>
      </c>
      <c r="N33" s="129">
        <f>IFERROR(LOOKUP(2,1/(GarminSessions!$A$2:$A$200=$A33),GarminSessions!$N$2:$N$200),"")</f>
        <v>0</v>
      </c>
      <c r="O33" s="128">
        <f>IFERROR(LOOKUP(2,1/(GarminSessions!$A$2:$A$200=$A33),GarminSessions!$O$2:$O$200),"")</f>
        <v>0</v>
      </c>
      <c r="P33" s="128">
        <f>IFERROR(LOOKUP(2,1/(GarminSessions!$A$2:$A$200=$A33),GarminSessions!$P$2:$P$200),"")</f>
        <v>0</v>
      </c>
      <c r="Q33" s="126">
        <f>IFERROR(LOOKUP(2,1/(GarminSessions!$A$2:$A$200=$A33),GarminSessions!$R$2:$R$200),"")</f>
        <v>0</v>
      </c>
      <c r="R33" s="125"/>
      <c r="S33" s="125"/>
      <c r="T33" s="127"/>
    </row>
    <row r="34" spans="1:20" ht="18.75" customHeight="1">
      <c r="A34" s="131"/>
      <c r="B34" s="132">
        <f>IFERROR(LOOKUP(2,1/(GarminSessions!$A$2:$A$200=$A34),GarminSessions!$D$2:$D$200),"")</f>
        <v>0</v>
      </c>
      <c r="C34" s="133">
        <f>IFERROR(LOOKUP(2,1/(GarminSessions!$A$2:$A$200=$A34),GarminSessions!$Q$2:$Q$200),"")</f>
        <v>0</v>
      </c>
      <c r="D34" s="134">
        <f t="shared" si="2"/>
        <v>7</v>
      </c>
      <c r="E34" s="135">
        <f>IFERROR(LOOKUP(2,1/(GarminSessions!$A$2:$A$200=$A34),GarminSessions!$E$2:$E$200),"")</f>
        <v>0</v>
      </c>
      <c r="F34" s="135">
        <f>IFERROR(LOOKUP(2,1/(GarminSessions!$A$2:$A$200=$A34),GarminSessions!$F$2:$F$200),"")</f>
        <v>0</v>
      </c>
      <c r="G34" s="135">
        <f>IFERROR(LOOKUP(2,1/(GarminSessions!$A$2:$A$200=$A34),GarminSessions!$G$2:$G$200),"")</f>
        <v>0</v>
      </c>
      <c r="H34" s="135">
        <f>IFERROR(LOOKUP(2,1/(GarminSessions!$A$2:$A$200=$A34),GarminSessions!$H$2:$H$200),"")</f>
        <v>0</v>
      </c>
      <c r="I34" s="135">
        <f>IFERROR(LOOKUP(2,1/(GarminSessions!$A$2:$A$200=$A34),GarminSessions!$I$2:$I$200),"")</f>
        <v>0</v>
      </c>
      <c r="J34" s="135">
        <f>IFERROR(LOOKUP(2,1/(GarminSessions!$A$2:$A$200=$A34),GarminSessions!$J$2:$J$200),"")</f>
        <v>0</v>
      </c>
      <c r="K34" s="135">
        <f>IFERROR(LOOKUP(2,1/(GarminSessions!$A$2:$A$200=$A34),GarminSessions!$K$2:$K$200),"")</f>
        <v>0</v>
      </c>
      <c r="L34" s="135">
        <f>IFERROR(LOOKUP(2,1/(GarminSessions!$A$2:$A$200=$A34),GarminSessions!$L$2:$L$200),"")</f>
        <v>0</v>
      </c>
      <c r="M34" s="139">
        <f>IFERROR(LOOKUP(2,1/(GarminSessions!$A$2:$A$200=$A34),GarminSessions!$M$2:$M$200),"")</f>
        <v>0</v>
      </c>
      <c r="N34" s="135">
        <f>IFERROR(LOOKUP(2,1/(GarminSessions!$A$2:$A$200=$A34),GarminSessions!$N$2:$N$200),"")</f>
        <v>0</v>
      </c>
      <c r="O34" s="134">
        <f>IFERROR(LOOKUP(2,1/(GarminSessions!$A$2:$A$200=$A34),GarminSessions!$O$2:$O$200),"")</f>
        <v>0</v>
      </c>
      <c r="P34" s="134">
        <f>IFERROR(LOOKUP(2,1/(GarminSessions!$A$2:$A$200=$A34),GarminSessions!$P$2:$P$200),"")</f>
        <v>0</v>
      </c>
      <c r="Q34" s="132">
        <f>IFERROR(LOOKUP(2,1/(GarminSessions!$A$2:$A$200=$A34),GarminSessions!$R$2:$R$200),"")</f>
        <v>0</v>
      </c>
      <c r="R34" s="131"/>
      <c r="S34" s="131"/>
      <c r="T34" s="133"/>
    </row>
    <row r="35" spans="1:20" ht="18.75" customHeight="1">
      <c r="A35" s="125"/>
      <c r="B35" s="126">
        <f>IFERROR(LOOKUP(2,1/(GarminSessions!$A$2:$A$200=$A35),GarminSessions!$D$2:$D$200),"")</f>
        <v>0</v>
      </c>
      <c r="C35" s="127">
        <f>IFERROR(LOOKUP(2,1/(GarminSessions!$A$2:$A$200=$A35),GarminSessions!$Q$2:$Q$200),"")</f>
        <v>0</v>
      </c>
      <c r="D35" s="128">
        <f t="shared" si="2"/>
        <v>7</v>
      </c>
      <c r="E35" s="129">
        <f>IFERROR(LOOKUP(2,1/(GarminSessions!$A$2:$A$200=$A35),GarminSessions!$E$2:$E$200),"")</f>
        <v>0</v>
      </c>
      <c r="F35" s="129">
        <f>IFERROR(LOOKUP(2,1/(GarminSessions!$A$2:$A$200=$A35),GarminSessions!$F$2:$F$200),"")</f>
        <v>0</v>
      </c>
      <c r="G35" s="129">
        <f>IFERROR(LOOKUP(2,1/(GarminSessions!$A$2:$A$200=$A35),GarminSessions!$G$2:$G$200),"")</f>
        <v>0</v>
      </c>
      <c r="H35" s="129">
        <f>IFERROR(LOOKUP(2,1/(GarminSessions!$A$2:$A$200=$A35),GarminSessions!$H$2:$H$200),"")</f>
        <v>0</v>
      </c>
      <c r="I35" s="129">
        <f>IFERROR(LOOKUP(2,1/(GarminSessions!$A$2:$A$200=$A35),GarminSessions!$I$2:$I$200),"")</f>
        <v>0</v>
      </c>
      <c r="J35" s="129">
        <f>IFERROR(LOOKUP(2,1/(GarminSessions!$A$2:$A$200=$A35),GarminSessions!$J$2:$J$200),"")</f>
        <v>0</v>
      </c>
      <c r="K35" s="129">
        <f>IFERROR(LOOKUP(2,1/(GarminSessions!$A$2:$A$200=$A35),GarminSessions!$K$2:$K$200),"")</f>
        <v>0</v>
      </c>
      <c r="L35" s="129">
        <f>IFERROR(LOOKUP(2,1/(GarminSessions!$A$2:$A$200=$A35),GarminSessions!$L$2:$L$200),"")</f>
        <v>0</v>
      </c>
      <c r="M35" s="130">
        <f>IFERROR(LOOKUP(2,1/(GarminSessions!$A$2:$A$200=$A35),GarminSessions!$M$2:$M$200),"")</f>
        <v>0</v>
      </c>
      <c r="N35" s="129">
        <f>IFERROR(LOOKUP(2,1/(GarminSessions!$A$2:$A$200=$A35),GarminSessions!$N$2:$N$200),"")</f>
        <v>0</v>
      </c>
      <c r="O35" s="128">
        <f>IFERROR(LOOKUP(2,1/(GarminSessions!$A$2:$A$200=$A35),GarminSessions!$O$2:$O$200),"")</f>
        <v>0</v>
      </c>
      <c r="P35" s="128">
        <f>IFERROR(LOOKUP(2,1/(GarminSessions!$A$2:$A$200=$A35),GarminSessions!$P$2:$P$200),"")</f>
        <v>0</v>
      </c>
      <c r="Q35" s="126">
        <f>IFERROR(LOOKUP(2,1/(GarminSessions!$A$2:$A$200=$A35),GarminSessions!$R$2:$R$200),"")</f>
        <v>0</v>
      </c>
      <c r="R35" s="125"/>
      <c r="S35" s="125"/>
      <c r="T35" s="127"/>
    </row>
    <row r="36" spans="1:20" ht="18.75" customHeight="1">
      <c r="A36" s="131"/>
      <c r="B36" s="132">
        <f>IFERROR(LOOKUP(2,1/(GarminSessions!$A$2:$A$200=$A36),GarminSessions!$D$2:$D$200),"")</f>
        <v>0</v>
      </c>
      <c r="C36" s="133">
        <f>IFERROR(LOOKUP(2,1/(GarminSessions!$A$2:$A$200=$A36),GarminSessions!$Q$2:$Q$200),"")</f>
        <v>0</v>
      </c>
      <c r="D36" s="134">
        <f t="shared" si="2"/>
        <v>7</v>
      </c>
      <c r="E36" s="135">
        <f>IFERROR(LOOKUP(2,1/(GarminSessions!$A$2:$A$200=$A36),GarminSessions!$E$2:$E$200),"")</f>
        <v>0</v>
      </c>
      <c r="F36" s="135">
        <f>IFERROR(LOOKUP(2,1/(GarminSessions!$A$2:$A$200=$A36),GarminSessions!$F$2:$F$200),"")</f>
        <v>0</v>
      </c>
      <c r="G36" s="135">
        <f>IFERROR(LOOKUP(2,1/(GarminSessions!$A$2:$A$200=$A36),GarminSessions!$G$2:$G$200),"")</f>
        <v>0</v>
      </c>
      <c r="H36" s="135">
        <f>IFERROR(LOOKUP(2,1/(GarminSessions!$A$2:$A$200=$A36),GarminSessions!$H$2:$H$200),"")</f>
        <v>0</v>
      </c>
      <c r="I36" s="135">
        <f>IFERROR(LOOKUP(2,1/(GarminSessions!$A$2:$A$200=$A36),GarminSessions!$I$2:$I$200),"")</f>
        <v>0</v>
      </c>
      <c r="J36" s="135">
        <f>IFERROR(LOOKUP(2,1/(GarminSessions!$A$2:$A$200=$A36),GarminSessions!$J$2:$J$200),"")</f>
        <v>0</v>
      </c>
      <c r="K36" s="135">
        <f>IFERROR(LOOKUP(2,1/(GarminSessions!$A$2:$A$200=$A36),GarminSessions!$K$2:$K$200),"")</f>
        <v>0</v>
      </c>
      <c r="L36" s="135">
        <f>IFERROR(LOOKUP(2,1/(GarminSessions!$A$2:$A$200=$A36),GarminSessions!$L$2:$L$200),"")</f>
        <v>0</v>
      </c>
      <c r="M36" s="139">
        <f>IFERROR(LOOKUP(2,1/(GarminSessions!$A$2:$A$200=$A36),GarminSessions!$M$2:$M$200),"")</f>
        <v>0</v>
      </c>
      <c r="N36" s="135">
        <f>IFERROR(LOOKUP(2,1/(GarminSessions!$A$2:$A$200=$A36),GarminSessions!$N$2:$N$200),"")</f>
        <v>0</v>
      </c>
      <c r="O36" s="134">
        <f>IFERROR(LOOKUP(2,1/(GarminSessions!$A$2:$A$200=$A36),GarminSessions!$O$2:$O$200),"")</f>
        <v>0</v>
      </c>
      <c r="P36" s="134">
        <f>IFERROR(LOOKUP(2,1/(GarminSessions!$A$2:$A$200=$A36),GarminSessions!$P$2:$P$200),"")</f>
        <v>0</v>
      </c>
      <c r="Q36" s="132">
        <f>IFERROR(LOOKUP(2,1/(GarminSessions!$A$2:$A$200=$A36),GarminSessions!$R$2:$R$200),"")</f>
        <v>0</v>
      </c>
      <c r="R36" s="131"/>
      <c r="S36" s="131"/>
      <c r="T36" s="133"/>
    </row>
    <row r="37" spans="1:20" ht="18.75" customHeight="1">
      <c r="A37" s="125"/>
      <c r="B37" s="126">
        <f>IFERROR(LOOKUP(2,1/(GarminSessions!$A$2:$A$200=$A37),GarminSessions!$D$2:$D$200),"")</f>
        <v>0</v>
      </c>
      <c r="C37" s="127">
        <f>IFERROR(LOOKUP(2,1/(GarminSessions!$A$2:$A$200=$A37),GarminSessions!$Q$2:$Q$200),"")</f>
        <v>0</v>
      </c>
      <c r="D37" s="128">
        <f t="shared" si="2"/>
        <v>7</v>
      </c>
      <c r="E37" s="129">
        <f>IFERROR(LOOKUP(2,1/(GarminSessions!$A$2:$A$200=$A37),GarminSessions!$E$2:$E$200),"")</f>
        <v>0</v>
      </c>
      <c r="F37" s="129">
        <f>IFERROR(LOOKUP(2,1/(GarminSessions!$A$2:$A$200=$A37),GarminSessions!$F$2:$F$200),"")</f>
        <v>0</v>
      </c>
      <c r="G37" s="129">
        <f>IFERROR(LOOKUP(2,1/(GarminSessions!$A$2:$A$200=$A37),GarminSessions!$G$2:$G$200),"")</f>
        <v>0</v>
      </c>
      <c r="H37" s="129">
        <f>IFERROR(LOOKUP(2,1/(GarminSessions!$A$2:$A$200=$A37),GarminSessions!$H$2:$H$200),"")</f>
        <v>0</v>
      </c>
      <c r="I37" s="129">
        <f>IFERROR(LOOKUP(2,1/(GarminSessions!$A$2:$A$200=$A37),GarminSessions!$I$2:$I$200),"")</f>
        <v>0</v>
      </c>
      <c r="J37" s="129">
        <f>IFERROR(LOOKUP(2,1/(GarminSessions!$A$2:$A$200=$A37),GarminSessions!$J$2:$J$200),"")</f>
        <v>0</v>
      </c>
      <c r="K37" s="129">
        <f>IFERROR(LOOKUP(2,1/(GarminSessions!$A$2:$A$200=$A37),GarminSessions!$K$2:$K$200),"")</f>
        <v>0</v>
      </c>
      <c r="L37" s="129">
        <f>IFERROR(LOOKUP(2,1/(GarminSessions!$A$2:$A$200=$A37),GarminSessions!$L$2:$L$200),"")</f>
        <v>0</v>
      </c>
      <c r="M37" s="130">
        <f>IFERROR(LOOKUP(2,1/(GarminSessions!$A$2:$A$200=$A37),GarminSessions!$M$2:$M$200),"")</f>
        <v>0</v>
      </c>
      <c r="N37" s="129">
        <f>IFERROR(LOOKUP(2,1/(GarminSessions!$A$2:$A$200=$A37),GarminSessions!$N$2:$N$200),"")</f>
        <v>0</v>
      </c>
      <c r="O37" s="128">
        <f>IFERROR(LOOKUP(2,1/(GarminSessions!$A$2:$A$200=$A37),GarminSessions!$O$2:$O$200),"")</f>
        <v>0</v>
      </c>
      <c r="P37" s="128">
        <f>IFERROR(LOOKUP(2,1/(GarminSessions!$A$2:$A$200=$A37),GarminSessions!$P$2:$P$200),"")</f>
        <v>0</v>
      </c>
      <c r="Q37" s="126">
        <f>IFERROR(LOOKUP(2,1/(GarminSessions!$A$2:$A$200=$A37),GarminSessions!$R$2:$R$200),"")</f>
        <v>0</v>
      </c>
      <c r="R37" s="125"/>
      <c r="S37" s="125"/>
      <c r="T37" s="127"/>
    </row>
    <row r="38" spans="1:20" ht="18.75" customHeight="1">
      <c r="A38" s="131"/>
      <c r="B38" s="132">
        <f>IFERROR(LOOKUP(2,1/(GarminSessions!$A$2:$A$200=$A38),GarminSessions!$D$2:$D$200),"")</f>
        <v>0</v>
      </c>
      <c r="C38" s="133">
        <f>IFERROR(LOOKUP(2,1/(GarminSessions!$A$2:$A$200=$A38),GarminSessions!$Q$2:$Q$200),"")</f>
        <v>0</v>
      </c>
      <c r="D38" s="134">
        <f t="shared" si="2"/>
        <v>7</v>
      </c>
      <c r="E38" s="135">
        <f>IFERROR(LOOKUP(2,1/(GarminSessions!$A$2:$A$200=$A38),GarminSessions!$E$2:$E$200),"")</f>
        <v>0</v>
      </c>
      <c r="F38" s="135">
        <f>IFERROR(LOOKUP(2,1/(GarminSessions!$A$2:$A$200=$A38),GarminSessions!$F$2:$F$200),"")</f>
        <v>0</v>
      </c>
      <c r="G38" s="135">
        <f>IFERROR(LOOKUP(2,1/(GarminSessions!$A$2:$A$200=$A38),GarminSessions!$G$2:$G$200),"")</f>
        <v>0</v>
      </c>
      <c r="H38" s="135">
        <f>IFERROR(LOOKUP(2,1/(GarminSessions!$A$2:$A$200=$A38),GarminSessions!$H$2:$H$200),"")</f>
        <v>0</v>
      </c>
      <c r="I38" s="135">
        <f>IFERROR(LOOKUP(2,1/(GarminSessions!$A$2:$A$200=$A38),GarminSessions!$I$2:$I$200),"")</f>
        <v>0</v>
      </c>
      <c r="J38" s="135">
        <f>IFERROR(LOOKUP(2,1/(GarminSessions!$A$2:$A$200=$A38),GarminSessions!$J$2:$J$200),"")</f>
        <v>0</v>
      </c>
      <c r="K38" s="135">
        <f>IFERROR(LOOKUP(2,1/(GarminSessions!$A$2:$A$200=$A38),GarminSessions!$K$2:$K$200),"")</f>
        <v>0</v>
      </c>
      <c r="L38" s="135">
        <f>IFERROR(LOOKUP(2,1/(GarminSessions!$A$2:$A$200=$A38),GarminSessions!$L$2:$L$200),"")</f>
        <v>0</v>
      </c>
      <c r="M38" s="139">
        <f>IFERROR(LOOKUP(2,1/(GarminSessions!$A$2:$A$200=$A38),GarminSessions!$M$2:$M$200),"")</f>
        <v>0</v>
      </c>
      <c r="N38" s="135">
        <f>IFERROR(LOOKUP(2,1/(GarminSessions!$A$2:$A$200=$A38),GarminSessions!$N$2:$N$200),"")</f>
        <v>0</v>
      </c>
      <c r="O38" s="134">
        <f>IFERROR(LOOKUP(2,1/(GarminSessions!$A$2:$A$200=$A38),GarminSessions!$O$2:$O$200),"")</f>
        <v>0</v>
      </c>
      <c r="P38" s="134">
        <f>IFERROR(LOOKUP(2,1/(GarminSessions!$A$2:$A$200=$A38),GarminSessions!$P$2:$P$200),"")</f>
        <v>0</v>
      </c>
      <c r="Q38" s="132">
        <f>IFERROR(LOOKUP(2,1/(GarminSessions!$A$2:$A$200=$A38),GarminSessions!$R$2:$R$200),"")</f>
        <v>0</v>
      </c>
      <c r="R38" s="131"/>
      <c r="S38" s="131"/>
      <c r="T38" s="133"/>
    </row>
    <row r="39" spans="1:20" ht="18.75" customHeight="1">
      <c r="A39" s="125"/>
      <c r="B39" s="126">
        <f>IFERROR(LOOKUP(2,1/(GarminSessions!$A$2:$A$200=$A39),GarminSessions!$D$2:$D$200),"")</f>
        <v>0</v>
      </c>
      <c r="C39" s="127">
        <f>IFERROR(LOOKUP(2,1/(GarminSessions!$A$2:$A$200=$A39),GarminSessions!$Q$2:$Q$200),"")</f>
        <v>0</v>
      </c>
      <c r="D39" s="128">
        <f t="shared" si="2"/>
        <v>7</v>
      </c>
      <c r="E39" s="129">
        <f>IFERROR(LOOKUP(2,1/(GarminSessions!$A$2:$A$200=$A39),GarminSessions!$E$2:$E$200),"")</f>
        <v>0</v>
      </c>
      <c r="F39" s="129">
        <f>IFERROR(LOOKUP(2,1/(GarminSessions!$A$2:$A$200=$A39),GarminSessions!$F$2:$F$200),"")</f>
        <v>0</v>
      </c>
      <c r="G39" s="129">
        <f>IFERROR(LOOKUP(2,1/(GarminSessions!$A$2:$A$200=$A39),GarminSessions!$G$2:$G$200),"")</f>
        <v>0</v>
      </c>
      <c r="H39" s="129">
        <f>IFERROR(LOOKUP(2,1/(GarminSessions!$A$2:$A$200=$A39),GarminSessions!$H$2:$H$200),"")</f>
        <v>0</v>
      </c>
      <c r="I39" s="129">
        <f>IFERROR(LOOKUP(2,1/(GarminSessions!$A$2:$A$200=$A39),GarminSessions!$I$2:$I$200),"")</f>
        <v>0</v>
      </c>
      <c r="J39" s="129">
        <f>IFERROR(LOOKUP(2,1/(GarminSessions!$A$2:$A$200=$A39),GarminSessions!$J$2:$J$200),"")</f>
        <v>0</v>
      </c>
      <c r="K39" s="129">
        <f>IFERROR(LOOKUP(2,1/(GarminSessions!$A$2:$A$200=$A39),GarminSessions!$K$2:$K$200),"")</f>
        <v>0</v>
      </c>
      <c r="L39" s="129">
        <f>IFERROR(LOOKUP(2,1/(GarminSessions!$A$2:$A$200=$A39),GarminSessions!$L$2:$L$200),"")</f>
        <v>0</v>
      </c>
      <c r="M39" s="130">
        <f>IFERROR(LOOKUP(2,1/(GarminSessions!$A$2:$A$200=$A39),GarminSessions!$M$2:$M$200),"")</f>
        <v>0</v>
      </c>
      <c r="N39" s="129">
        <f>IFERROR(LOOKUP(2,1/(GarminSessions!$A$2:$A$200=$A39),GarminSessions!$N$2:$N$200),"")</f>
        <v>0</v>
      </c>
      <c r="O39" s="128">
        <f>IFERROR(LOOKUP(2,1/(GarminSessions!$A$2:$A$200=$A39),GarminSessions!$O$2:$O$200),"")</f>
        <v>0</v>
      </c>
      <c r="P39" s="128">
        <f>IFERROR(LOOKUP(2,1/(GarminSessions!$A$2:$A$200=$A39),GarminSessions!$P$2:$P$200),"")</f>
        <v>0</v>
      </c>
      <c r="Q39" s="126">
        <f>IFERROR(LOOKUP(2,1/(GarminSessions!$A$2:$A$200=$A39),GarminSessions!$R$2:$R$200),"")</f>
        <v>0</v>
      </c>
      <c r="R39" s="125"/>
      <c r="S39" s="125"/>
      <c r="T39" s="127"/>
    </row>
    <row r="40" spans="1:20" ht="18.75" customHeight="1">
      <c r="A40" s="131"/>
      <c r="B40" s="132">
        <f>IFERROR(LOOKUP(2,1/(GarminSessions!$A$2:$A$200=$A40),GarminSessions!$D$2:$D$200),"")</f>
        <v>0</v>
      </c>
      <c r="C40" s="133">
        <f>IFERROR(LOOKUP(2,1/(GarminSessions!$A$2:$A$200=$A40),GarminSessions!$Q$2:$Q$200),"")</f>
        <v>0</v>
      </c>
      <c r="D40" s="134">
        <f t="shared" si="2"/>
        <v>7</v>
      </c>
      <c r="E40" s="135">
        <f>IFERROR(LOOKUP(2,1/(GarminSessions!$A$2:$A$200=$A40),GarminSessions!$E$2:$E$200),"")</f>
        <v>0</v>
      </c>
      <c r="F40" s="135">
        <f>IFERROR(LOOKUP(2,1/(GarminSessions!$A$2:$A$200=$A40),GarminSessions!$F$2:$F$200),"")</f>
        <v>0</v>
      </c>
      <c r="G40" s="135">
        <f>IFERROR(LOOKUP(2,1/(GarminSessions!$A$2:$A$200=$A40),GarminSessions!$G$2:$G$200),"")</f>
        <v>0</v>
      </c>
      <c r="H40" s="135">
        <f>IFERROR(LOOKUP(2,1/(GarminSessions!$A$2:$A$200=$A40),GarminSessions!$H$2:$H$200),"")</f>
        <v>0</v>
      </c>
      <c r="I40" s="135">
        <f>IFERROR(LOOKUP(2,1/(GarminSessions!$A$2:$A$200=$A40),GarminSessions!$I$2:$I$200),"")</f>
        <v>0</v>
      </c>
      <c r="J40" s="135">
        <f>IFERROR(LOOKUP(2,1/(GarminSessions!$A$2:$A$200=$A40),GarminSessions!$J$2:$J$200),"")</f>
        <v>0</v>
      </c>
      <c r="K40" s="135">
        <f>IFERROR(LOOKUP(2,1/(GarminSessions!$A$2:$A$200=$A40),GarminSessions!$K$2:$K$200),"")</f>
        <v>0</v>
      </c>
      <c r="L40" s="135">
        <f>IFERROR(LOOKUP(2,1/(GarminSessions!$A$2:$A$200=$A40),GarminSessions!$L$2:$L$200),"")</f>
        <v>0</v>
      </c>
      <c r="M40" s="139">
        <f>IFERROR(LOOKUP(2,1/(GarminSessions!$A$2:$A$200=$A40),GarminSessions!$M$2:$M$200),"")</f>
        <v>0</v>
      </c>
      <c r="N40" s="135">
        <f>IFERROR(LOOKUP(2,1/(GarminSessions!$A$2:$A$200=$A40),GarminSessions!$N$2:$N$200),"")</f>
        <v>0</v>
      </c>
      <c r="O40" s="134">
        <f>IFERROR(LOOKUP(2,1/(GarminSessions!$A$2:$A$200=$A40),GarminSessions!$O$2:$O$200),"")</f>
        <v>0</v>
      </c>
      <c r="P40" s="134">
        <f>IFERROR(LOOKUP(2,1/(GarminSessions!$A$2:$A$200=$A40),GarminSessions!$P$2:$P$200),"")</f>
        <v>0</v>
      </c>
      <c r="Q40" s="132">
        <f>IFERROR(LOOKUP(2,1/(GarminSessions!$A$2:$A$200=$A40),GarminSessions!$R$2:$R$200),"")</f>
        <v>0</v>
      </c>
      <c r="R40" s="131"/>
      <c r="S40" s="131"/>
      <c r="T40" s="133"/>
    </row>
    <row r="41" spans="1:20" ht="18.75" customHeight="1">
      <c r="A41" s="125"/>
      <c r="B41" s="126">
        <f>IFERROR(LOOKUP(2,1/(GarminSessions!$A$2:$A$200=$A41),GarminSessions!$D$2:$D$200),"")</f>
        <v>0</v>
      </c>
      <c r="C41" s="127">
        <f>IFERROR(LOOKUP(2,1/(GarminSessions!$A$2:$A$200=$A41),GarminSessions!$Q$2:$Q$200),"")</f>
        <v>0</v>
      </c>
      <c r="D41" s="128">
        <f t="shared" si="2"/>
        <v>7</v>
      </c>
      <c r="E41" s="129">
        <f>IFERROR(LOOKUP(2,1/(GarminSessions!$A$2:$A$200=$A41),GarminSessions!$E$2:$E$200),"")</f>
        <v>0</v>
      </c>
      <c r="F41" s="129">
        <f>IFERROR(LOOKUP(2,1/(GarminSessions!$A$2:$A$200=$A41),GarminSessions!$F$2:$F$200),"")</f>
        <v>0</v>
      </c>
      <c r="G41" s="129">
        <f>IFERROR(LOOKUP(2,1/(GarminSessions!$A$2:$A$200=$A41),GarminSessions!$G$2:$G$200),"")</f>
        <v>0</v>
      </c>
      <c r="H41" s="129">
        <f>IFERROR(LOOKUP(2,1/(GarminSessions!$A$2:$A$200=$A41),GarminSessions!$H$2:$H$200),"")</f>
        <v>0</v>
      </c>
      <c r="I41" s="129">
        <f>IFERROR(LOOKUP(2,1/(GarminSessions!$A$2:$A$200=$A41),GarminSessions!$I$2:$I$200),"")</f>
        <v>0</v>
      </c>
      <c r="J41" s="129">
        <f>IFERROR(LOOKUP(2,1/(GarminSessions!$A$2:$A$200=$A41),GarminSessions!$J$2:$J$200),"")</f>
        <v>0</v>
      </c>
      <c r="K41" s="129">
        <f>IFERROR(LOOKUP(2,1/(GarminSessions!$A$2:$A$200=$A41),GarminSessions!$K$2:$K$200),"")</f>
        <v>0</v>
      </c>
      <c r="L41" s="129">
        <f>IFERROR(LOOKUP(2,1/(GarminSessions!$A$2:$A$200=$A41),GarminSessions!$L$2:$L$200),"")</f>
        <v>0</v>
      </c>
      <c r="M41" s="130">
        <f>IFERROR(LOOKUP(2,1/(GarminSessions!$A$2:$A$200=$A41),GarminSessions!$M$2:$M$200),"")</f>
        <v>0</v>
      </c>
      <c r="N41" s="129">
        <f>IFERROR(LOOKUP(2,1/(GarminSessions!$A$2:$A$200=$A41),GarminSessions!$N$2:$N$200),"")</f>
        <v>0</v>
      </c>
      <c r="O41" s="128">
        <f>IFERROR(LOOKUP(2,1/(GarminSessions!$A$2:$A$200=$A41),GarminSessions!$O$2:$O$200),"")</f>
        <v>0</v>
      </c>
      <c r="P41" s="128">
        <f>IFERROR(LOOKUP(2,1/(GarminSessions!$A$2:$A$200=$A41),GarminSessions!$P$2:$P$200),"")</f>
        <v>0</v>
      </c>
      <c r="Q41" s="126">
        <f>IFERROR(LOOKUP(2,1/(GarminSessions!$A$2:$A$200=$A41),GarminSessions!$R$2:$R$200),"")</f>
        <v>0</v>
      </c>
      <c r="R41" s="125"/>
      <c r="S41" s="125"/>
      <c r="T41" s="127"/>
    </row>
    <row r="42" spans="1:20" ht="18.75" customHeight="1">
      <c r="A42" s="131"/>
      <c r="B42" s="132">
        <f>IFERROR(LOOKUP(2,1/(GarminSessions!$A$2:$A$200=$A42),GarminSessions!$D$2:$D$200),"")</f>
        <v>0</v>
      </c>
      <c r="C42" s="133">
        <f>IFERROR(LOOKUP(2,1/(GarminSessions!$A$2:$A$200=$A42),GarminSessions!$Q$2:$Q$200),"")</f>
        <v>0</v>
      </c>
      <c r="D42" s="134">
        <f t="shared" si="2"/>
        <v>7</v>
      </c>
      <c r="E42" s="135">
        <f>IFERROR(LOOKUP(2,1/(GarminSessions!$A$2:$A$200=$A42),GarminSessions!$E$2:$E$200),"")</f>
        <v>0</v>
      </c>
      <c r="F42" s="135">
        <f>IFERROR(LOOKUP(2,1/(GarminSessions!$A$2:$A$200=$A42),GarminSessions!$F$2:$F$200),"")</f>
        <v>0</v>
      </c>
      <c r="G42" s="135">
        <f>IFERROR(LOOKUP(2,1/(GarminSessions!$A$2:$A$200=$A42),GarminSessions!$G$2:$G$200),"")</f>
        <v>0</v>
      </c>
      <c r="H42" s="135">
        <f>IFERROR(LOOKUP(2,1/(GarminSessions!$A$2:$A$200=$A42),GarminSessions!$H$2:$H$200),"")</f>
        <v>0</v>
      </c>
      <c r="I42" s="135">
        <f>IFERROR(LOOKUP(2,1/(GarminSessions!$A$2:$A$200=$A42),GarminSessions!$I$2:$I$200),"")</f>
        <v>0</v>
      </c>
      <c r="J42" s="135">
        <f>IFERROR(LOOKUP(2,1/(GarminSessions!$A$2:$A$200=$A42),GarminSessions!$J$2:$J$200),"")</f>
        <v>0</v>
      </c>
      <c r="K42" s="135">
        <f>IFERROR(LOOKUP(2,1/(GarminSessions!$A$2:$A$200=$A42),GarminSessions!$K$2:$K$200),"")</f>
        <v>0</v>
      </c>
      <c r="L42" s="135">
        <f>IFERROR(LOOKUP(2,1/(GarminSessions!$A$2:$A$200=$A42),GarminSessions!$L$2:$L$200),"")</f>
        <v>0</v>
      </c>
      <c r="M42" s="139">
        <f>IFERROR(LOOKUP(2,1/(GarminSessions!$A$2:$A$200=$A42),GarminSessions!$M$2:$M$200),"")</f>
        <v>0</v>
      </c>
      <c r="N42" s="135">
        <f>IFERROR(LOOKUP(2,1/(GarminSessions!$A$2:$A$200=$A42),GarminSessions!$N$2:$N$200),"")</f>
        <v>0</v>
      </c>
      <c r="O42" s="134">
        <f>IFERROR(LOOKUP(2,1/(GarminSessions!$A$2:$A$200=$A42),GarminSessions!$O$2:$O$200),"")</f>
        <v>0</v>
      </c>
      <c r="P42" s="134">
        <f>IFERROR(LOOKUP(2,1/(GarminSessions!$A$2:$A$200=$A42),GarminSessions!$P$2:$P$200),"")</f>
        <v>0</v>
      </c>
      <c r="Q42" s="132">
        <f>IFERROR(LOOKUP(2,1/(GarminSessions!$A$2:$A$200=$A42),GarminSessions!$R$2:$R$200),"")</f>
        <v>0</v>
      </c>
      <c r="R42" s="131"/>
      <c r="S42" s="131"/>
      <c r="T42" s="133"/>
    </row>
    <row r="43" spans="1:20" ht="18.75" customHeight="1">
      <c r="A43" s="125"/>
      <c r="B43" s="126">
        <f>IFERROR(LOOKUP(2,1/(GarminSessions!$A$2:$A$200=$A43),GarminSessions!$D$2:$D$200),"")</f>
        <v>0</v>
      </c>
      <c r="C43" s="127">
        <f>IFERROR(LOOKUP(2,1/(GarminSessions!$A$2:$A$200=$A43),GarminSessions!$Q$2:$Q$200),"")</f>
        <v>0</v>
      </c>
      <c r="D43" s="128">
        <f t="shared" si="2"/>
        <v>7</v>
      </c>
      <c r="E43" s="129">
        <f>IFERROR(LOOKUP(2,1/(GarminSessions!$A$2:$A$200=$A43),GarminSessions!$E$2:$E$200),"")</f>
        <v>0</v>
      </c>
      <c r="F43" s="129">
        <f>IFERROR(LOOKUP(2,1/(GarminSessions!$A$2:$A$200=$A43),GarminSessions!$F$2:$F$200),"")</f>
        <v>0</v>
      </c>
      <c r="G43" s="129">
        <f>IFERROR(LOOKUP(2,1/(GarminSessions!$A$2:$A$200=$A43),GarminSessions!$G$2:$G$200),"")</f>
        <v>0</v>
      </c>
      <c r="H43" s="129">
        <f>IFERROR(LOOKUP(2,1/(GarminSessions!$A$2:$A$200=$A43),GarminSessions!$H$2:$H$200),"")</f>
        <v>0</v>
      </c>
      <c r="I43" s="129">
        <f>IFERROR(LOOKUP(2,1/(GarminSessions!$A$2:$A$200=$A43),GarminSessions!$I$2:$I$200),"")</f>
        <v>0</v>
      </c>
      <c r="J43" s="129">
        <f>IFERROR(LOOKUP(2,1/(GarminSessions!$A$2:$A$200=$A43),GarminSessions!$J$2:$J$200),"")</f>
        <v>0</v>
      </c>
      <c r="K43" s="129">
        <f>IFERROR(LOOKUP(2,1/(GarminSessions!$A$2:$A$200=$A43),GarminSessions!$K$2:$K$200),"")</f>
        <v>0</v>
      </c>
      <c r="L43" s="129">
        <f>IFERROR(LOOKUP(2,1/(GarminSessions!$A$2:$A$200=$A43),GarminSessions!$L$2:$L$200),"")</f>
        <v>0</v>
      </c>
      <c r="M43" s="130">
        <f>IFERROR(LOOKUP(2,1/(GarminSessions!$A$2:$A$200=$A43),GarminSessions!$M$2:$M$200),"")</f>
        <v>0</v>
      </c>
      <c r="N43" s="129">
        <f>IFERROR(LOOKUP(2,1/(GarminSessions!$A$2:$A$200=$A43),GarminSessions!$N$2:$N$200),"")</f>
        <v>0</v>
      </c>
      <c r="O43" s="128">
        <f>IFERROR(LOOKUP(2,1/(GarminSessions!$A$2:$A$200=$A43),GarminSessions!$O$2:$O$200),"")</f>
        <v>0</v>
      </c>
      <c r="P43" s="128">
        <f>IFERROR(LOOKUP(2,1/(GarminSessions!$A$2:$A$200=$A43),GarminSessions!$P$2:$P$200),"")</f>
        <v>0</v>
      </c>
      <c r="Q43" s="126">
        <f>IFERROR(LOOKUP(2,1/(GarminSessions!$A$2:$A$200=$A43),GarminSessions!$R$2:$R$200),"")</f>
        <v>0</v>
      </c>
      <c r="R43" s="125"/>
      <c r="S43" s="125"/>
      <c r="T43" s="127"/>
    </row>
    <row r="45" spans="1:20" ht="26" customHeight="1">
      <c r="A45" s="209" t="s">
        <v>201</v>
      </c>
      <c r="B45" s="210"/>
      <c r="C45" s="210"/>
      <c r="D45" s="210"/>
      <c r="E45" s="210"/>
      <c r="F45" s="210"/>
      <c r="G45" s="210"/>
      <c r="H45" s="210"/>
      <c r="I45" s="210"/>
      <c r="J45" s="210"/>
      <c r="K45" s="210"/>
      <c r="L45" s="210"/>
      <c r="M45" s="210"/>
      <c r="N45" s="210"/>
      <c r="O45" s="210"/>
      <c r="P45" s="210"/>
      <c r="Q45" s="210"/>
      <c r="R45" s="210"/>
      <c r="S45" s="210"/>
      <c r="T45" s="210"/>
    </row>
    <row r="46" spans="1:20" ht="21.75" customHeight="1">
      <c r="A46" s="207" t="s">
        <v>202</v>
      </c>
      <c r="B46" s="208"/>
      <c r="C46" s="208"/>
      <c r="D46" s="208"/>
      <c r="E46" s="208"/>
      <c r="F46" s="154"/>
      <c r="G46" s="154"/>
      <c r="H46" s="154"/>
      <c r="I46" s="154"/>
      <c r="J46" s="154"/>
      <c r="K46" s="154"/>
      <c r="L46" s="154"/>
      <c r="M46" s="154"/>
      <c r="N46" s="154"/>
      <c r="O46" s="208"/>
      <c r="P46" s="154"/>
      <c r="Q46" s="154"/>
      <c r="R46" s="208"/>
      <c r="S46" s="208"/>
      <c r="T46" s="208"/>
    </row>
    <row r="47" spans="1:20" ht="21.75" customHeight="1">
      <c r="A47" s="208"/>
      <c r="B47" s="208"/>
      <c r="C47" s="208"/>
      <c r="D47" s="208"/>
      <c r="E47" s="208"/>
      <c r="F47" s="154"/>
      <c r="G47" s="154"/>
      <c r="H47" s="154"/>
      <c r="I47" s="154"/>
      <c r="J47" s="154"/>
      <c r="K47" s="154"/>
      <c r="L47" s="154"/>
      <c r="M47" s="154"/>
      <c r="N47" s="154"/>
      <c r="O47" s="208"/>
      <c r="P47" s="154"/>
      <c r="Q47" s="154"/>
      <c r="R47" s="208"/>
      <c r="S47" s="208"/>
      <c r="T47" s="208"/>
    </row>
    <row r="48" spans="1:20" ht="21.75" customHeight="1">
      <c r="A48" s="208"/>
      <c r="B48" s="208"/>
      <c r="C48" s="208"/>
      <c r="D48" s="208"/>
      <c r="E48" s="208"/>
      <c r="F48" s="154"/>
      <c r="G48" s="154"/>
      <c r="H48" s="154"/>
      <c r="I48" s="154"/>
      <c r="J48" s="154"/>
      <c r="K48" s="154"/>
      <c r="L48" s="154"/>
      <c r="M48" s="154"/>
      <c r="N48" s="154"/>
      <c r="O48" s="208"/>
      <c r="P48" s="154"/>
      <c r="Q48" s="154"/>
      <c r="R48" s="208"/>
      <c r="S48" s="208"/>
      <c r="T48" s="208"/>
    </row>
    <row r="49" spans="1:20" ht="21.75" customHeight="1">
      <c r="A49" s="208"/>
      <c r="B49" s="208"/>
      <c r="C49" s="208"/>
      <c r="D49" s="208"/>
      <c r="E49" s="208"/>
      <c r="F49" s="154"/>
      <c r="G49" s="154"/>
      <c r="H49" s="154"/>
      <c r="I49" s="154"/>
      <c r="J49" s="154"/>
      <c r="K49" s="154"/>
      <c r="L49" s="154"/>
      <c r="M49" s="154"/>
      <c r="N49" s="154"/>
      <c r="O49" s="208"/>
      <c r="P49" s="154"/>
      <c r="Q49" s="154"/>
      <c r="R49" s="208"/>
      <c r="S49" s="208"/>
      <c r="T49" s="208"/>
    </row>
    <row r="50" spans="1:20" ht="21.75" customHeight="1">
      <c r="A50" s="208"/>
      <c r="B50" s="208"/>
      <c r="C50" s="208"/>
      <c r="D50" s="208"/>
      <c r="E50" s="208"/>
      <c r="F50" s="154"/>
      <c r="G50" s="154"/>
      <c r="H50" s="154"/>
      <c r="I50" s="154"/>
      <c r="J50" s="154"/>
      <c r="K50" s="154"/>
      <c r="L50" s="154"/>
      <c r="M50" s="154"/>
      <c r="N50" s="154"/>
      <c r="O50" s="208"/>
      <c r="P50" s="154"/>
      <c r="Q50" s="154"/>
      <c r="R50" s="208"/>
      <c r="S50" s="208"/>
      <c r="T50" s="208"/>
    </row>
    <row r="51" spans="1:20" ht="21.75" customHeight="1">
      <c r="A51" s="208"/>
      <c r="B51" s="208"/>
      <c r="C51" s="208"/>
      <c r="D51" s="208"/>
      <c r="E51" s="208"/>
      <c r="F51" s="154"/>
      <c r="G51" s="154"/>
      <c r="H51" s="154"/>
      <c r="I51" s="154"/>
      <c r="J51" s="154"/>
      <c r="K51" s="154"/>
      <c r="L51" s="154"/>
      <c r="M51" s="154"/>
      <c r="N51" s="154"/>
      <c r="O51" s="208"/>
      <c r="P51" s="154"/>
      <c r="Q51" s="154"/>
      <c r="R51" s="208"/>
      <c r="S51" s="208"/>
      <c r="T51" s="208"/>
    </row>
    <row r="52" spans="1:20" ht="21.75" customHeight="1">
      <c r="A52" s="208"/>
      <c r="B52" s="208"/>
      <c r="C52" s="208"/>
      <c r="D52" s="208"/>
      <c r="E52" s="208"/>
      <c r="F52" s="154"/>
      <c r="G52" s="154"/>
      <c r="H52" s="154"/>
      <c r="I52" s="154"/>
      <c r="J52" s="154"/>
      <c r="K52" s="154"/>
      <c r="L52" s="154"/>
      <c r="M52" s="154"/>
      <c r="N52" s="154"/>
      <c r="O52" s="208"/>
      <c r="P52" s="154"/>
      <c r="Q52" s="154"/>
      <c r="R52" s="208"/>
      <c r="S52" s="208"/>
      <c r="T52" s="208"/>
    </row>
    <row r="53" spans="1:20" ht="21.75" customHeight="1">
      <c r="A53" s="208"/>
      <c r="B53" s="208"/>
      <c r="C53" s="208"/>
      <c r="D53" s="208"/>
      <c r="E53" s="208"/>
      <c r="F53" s="154"/>
      <c r="G53" s="154"/>
      <c r="H53" s="154"/>
      <c r="I53" s="154"/>
      <c r="J53" s="154"/>
      <c r="K53" s="154"/>
      <c r="L53" s="154"/>
      <c r="M53" s="154"/>
      <c r="N53" s="154"/>
      <c r="O53" s="208"/>
      <c r="P53" s="154"/>
      <c r="Q53" s="154"/>
      <c r="R53" s="208"/>
      <c r="S53" s="208"/>
      <c r="T53" s="208"/>
    </row>
    <row r="54" spans="1:20" ht="21.75" customHeight="1">
      <c r="A54" s="208"/>
      <c r="B54" s="208"/>
      <c r="C54" s="208"/>
      <c r="D54" s="208"/>
      <c r="E54" s="208"/>
      <c r="F54" s="154"/>
      <c r="G54" s="154"/>
      <c r="H54" s="154"/>
      <c r="I54" s="154"/>
      <c r="J54" s="154"/>
      <c r="K54" s="154"/>
      <c r="L54" s="154"/>
      <c r="M54" s="154"/>
      <c r="N54" s="154"/>
      <c r="O54" s="208"/>
      <c r="P54" s="154"/>
      <c r="Q54" s="154"/>
      <c r="R54" s="208"/>
      <c r="S54" s="208"/>
      <c r="T54" s="208"/>
    </row>
    <row r="55" spans="1:20" ht="21.75" customHeight="1">
      <c r="A55" s="208"/>
      <c r="B55" s="208"/>
      <c r="C55" s="208"/>
      <c r="D55" s="208"/>
      <c r="E55" s="208"/>
      <c r="F55" s="154"/>
      <c r="G55" s="154"/>
      <c r="H55" s="154"/>
      <c r="I55" s="154"/>
      <c r="J55" s="154"/>
      <c r="K55" s="154"/>
      <c r="L55" s="154"/>
      <c r="M55" s="154"/>
      <c r="N55" s="154"/>
      <c r="O55" s="208"/>
      <c r="P55" s="154"/>
      <c r="Q55" s="154"/>
      <c r="R55" s="208"/>
      <c r="S55" s="208"/>
      <c r="T55" s="208"/>
    </row>
    <row r="56" spans="1:20" ht="21.75" customHeight="1">
      <c r="A56" s="208"/>
      <c r="B56" s="208"/>
      <c r="C56" s="208"/>
      <c r="D56" s="208"/>
      <c r="E56" s="208"/>
      <c r="F56" s="154"/>
      <c r="G56" s="154"/>
      <c r="H56" s="154"/>
      <c r="I56" s="154"/>
      <c r="J56" s="154"/>
      <c r="K56" s="154"/>
      <c r="L56" s="154"/>
      <c r="M56" s="154"/>
      <c r="N56" s="154"/>
      <c r="O56" s="208"/>
      <c r="P56" s="154"/>
      <c r="Q56" s="154"/>
      <c r="R56" s="208"/>
      <c r="S56" s="208"/>
      <c r="T56" s="208"/>
    </row>
    <row r="57" spans="1:20" ht="21.75" customHeight="1">
      <c r="A57" s="208"/>
      <c r="B57" s="208"/>
      <c r="C57" s="208"/>
      <c r="D57" s="208"/>
      <c r="E57" s="208"/>
      <c r="F57" s="154"/>
      <c r="G57" s="154"/>
      <c r="H57" s="154"/>
      <c r="I57" s="154"/>
      <c r="J57" s="154"/>
      <c r="K57" s="154"/>
      <c r="L57" s="154"/>
      <c r="M57" s="154"/>
      <c r="N57" s="154"/>
      <c r="O57" s="208"/>
      <c r="P57" s="154"/>
      <c r="Q57" s="154"/>
      <c r="R57" s="208"/>
      <c r="S57" s="208"/>
      <c r="T57" s="208"/>
    </row>
    <row r="58" spans="1:20" ht="21.75" customHeight="1">
      <c r="A58" s="208"/>
      <c r="B58" s="208"/>
      <c r="C58" s="208"/>
      <c r="D58" s="208"/>
      <c r="E58" s="208"/>
      <c r="F58" s="154"/>
      <c r="G58" s="154"/>
      <c r="H58" s="154"/>
      <c r="I58" s="154"/>
      <c r="J58" s="154"/>
      <c r="K58" s="154"/>
      <c r="L58" s="154"/>
      <c r="M58" s="154"/>
      <c r="N58" s="154"/>
      <c r="O58" s="208"/>
      <c r="P58" s="154"/>
      <c r="Q58" s="154"/>
      <c r="R58" s="208"/>
      <c r="S58" s="208"/>
      <c r="T58" s="208"/>
    </row>
  </sheetData>
  <sheetProtection sheet="1" formatCells="0" formatColumns="0" formatRows="0" sort="0" autoFilter="0"/>
  <mergeCells count="7">
    <mergeCell ref="A46:T58"/>
    <mergeCell ref="A45:T45"/>
    <mergeCell ref="A28:T28"/>
    <mergeCell ref="A1:T1"/>
    <mergeCell ref="A3:T3"/>
    <mergeCell ref="A16:T16"/>
    <mergeCell ref="A2:T2"/>
  </mergeCells>
  <conditionalFormatting sqref="M6:M15">
    <cfRule type="colorScale" priority="2">
      <colorScale>
        <cfvo type="min"/>
        <cfvo type="percentile" val="50"/>
        <cfvo type="max"/>
        <color rgb="FF63BE7B"/>
        <color rgb="FFFFEB84"/>
        <color rgb="FFF8696B"/>
      </colorScale>
    </cfRule>
  </conditionalFormatting>
  <conditionalFormatting sqref="N6:N15">
    <cfRule type="colorScale" priority="3">
      <colorScale>
        <cfvo type="min"/>
        <cfvo type="percentile" val="50"/>
        <cfvo type="max"/>
        <color rgb="FF63BE7B"/>
        <color rgb="FFFFEB84"/>
        <color rgb="FFF8696B"/>
      </colorScale>
    </cfRule>
  </conditionalFormatting>
  <conditionalFormatting sqref="M17:M26">
    <cfRule type="colorScale" priority="4">
      <colorScale>
        <cfvo type="min"/>
        <cfvo type="percentile" val="50"/>
        <cfvo type="max"/>
        <color rgb="FF63BE7B"/>
        <color rgb="FFFFEB84"/>
        <color rgb="FFF8696B"/>
      </colorScale>
    </cfRule>
  </conditionalFormatting>
  <conditionalFormatting sqref="N17:N26">
    <cfRule type="colorScale" priority="5">
      <colorScale>
        <cfvo type="min"/>
        <cfvo type="percentile" val="50"/>
        <cfvo type="max"/>
        <color rgb="FF63BE7B"/>
        <color rgb="FFFFEB84"/>
        <color rgb="FFF8696B"/>
      </colorScale>
    </cfRule>
  </conditionalFormatting>
  <printOptions horizontalCentered="1"/>
  <pageMargins left="0.75" right="0.75" top="1" bottom="1" header="0.511811023622047" footer="0.511811023622047"/>
  <pageSetup orientation="landscape"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56"/>
  <sheetViews>
    <sheetView showGridLines="0" zoomScaleNormal="100" workbookViewId="0"/>
  </sheetViews>
  <sheetFormatPr baseColWidth="10" defaultColWidth="8.6640625" defaultRowHeight="15"/>
  <cols>
    <col min="1" max="1" width="6" style="1" customWidth="1"/>
    <col min="2" max="3" width="11" style="1" customWidth="1"/>
    <col min="4" max="4" width="9" style="1" customWidth="1"/>
    <col min="5" max="6" width="9" style="2" customWidth="1"/>
    <col min="7" max="7" width="9" style="1" customWidth="1"/>
    <col min="8" max="8" width="9" style="2" customWidth="1"/>
    <col min="9" max="9" width="11" style="1" customWidth="1"/>
    <col min="10" max="11" width="11" style="2" customWidth="1"/>
    <col min="12" max="12" width="9" style="1" customWidth="1"/>
    <col min="13" max="13" width="28" style="1" customWidth="1"/>
  </cols>
  <sheetData>
    <row r="1" spans="1:13" ht="31.5" customHeight="1">
      <c r="A1" s="176" t="s">
        <v>203</v>
      </c>
      <c r="B1" s="169"/>
      <c r="C1" s="169"/>
      <c r="D1" s="169"/>
      <c r="E1" s="154"/>
      <c r="F1" s="154"/>
      <c r="G1" s="169"/>
      <c r="H1" s="154"/>
      <c r="I1" s="169"/>
      <c r="J1" s="154"/>
      <c r="K1" s="154"/>
      <c r="L1" s="169"/>
      <c r="M1" s="169"/>
    </row>
    <row r="2" spans="1:13" ht="42" customHeight="1">
      <c r="A2" s="211" t="s">
        <v>204</v>
      </c>
      <c r="B2" s="169"/>
      <c r="C2" s="169"/>
      <c r="D2" s="169"/>
      <c r="E2" s="154"/>
      <c r="F2" s="154"/>
      <c r="G2" s="169"/>
      <c r="H2" s="154"/>
      <c r="I2" s="169"/>
      <c r="J2" s="154"/>
      <c r="K2" s="154"/>
      <c r="L2" s="169"/>
      <c r="M2" s="169"/>
    </row>
    <row r="3" spans="1:13" ht="26" customHeight="1">
      <c r="A3" s="209" t="s">
        <v>161</v>
      </c>
      <c r="B3" s="210"/>
      <c r="C3" s="210"/>
      <c r="D3" s="210"/>
      <c r="E3" s="210"/>
      <c r="F3" s="210"/>
      <c r="G3" s="210"/>
      <c r="H3" s="210"/>
      <c r="I3" s="210"/>
      <c r="J3" s="210"/>
      <c r="K3" s="210"/>
      <c r="L3" s="210"/>
      <c r="M3" s="210"/>
    </row>
    <row r="4" spans="1:13" ht="6" customHeight="1"/>
    <row r="5" spans="1:13" ht="32" customHeight="1">
      <c r="A5" s="123" t="s">
        <v>162</v>
      </c>
      <c r="B5" s="123" t="s">
        <v>163</v>
      </c>
      <c r="C5" s="123" t="s">
        <v>205</v>
      </c>
      <c r="D5" s="123" t="s">
        <v>98</v>
      </c>
      <c r="E5" s="123" t="s">
        <v>206</v>
      </c>
      <c r="F5" s="123" t="s">
        <v>207</v>
      </c>
      <c r="G5" s="123" t="s">
        <v>208</v>
      </c>
      <c r="H5" s="123" t="s">
        <v>209</v>
      </c>
      <c r="I5" s="123" t="s">
        <v>210</v>
      </c>
      <c r="J5" s="123" t="s">
        <v>211</v>
      </c>
      <c r="K5" s="123" t="s">
        <v>212</v>
      </c>
      <c r="L5" s="123" t="s">
        <v>213</v>
      </c>
      <c r="M5" s="123" t="s">
        <v>153</v>
      </c>
    </row>
    <row r="6" spans="1:13" ht="18.75" customHeight="1">
      <c r="A6" s="125" t="s">
        <v>179</v>
      </c>
      <c r="B6" s="126" t="str">
        <f>IFERROR(LOOKUP(2,1/(BallisticXGroups!$A$2:$A$200=$A6),BallisticXGroups!$D$2:$D$200),"")</f>
        <v>2026-04-12</v>
      </c>
      <c r="C6" s="128">
        <f>IFERROR(LOOKUP(2,1/(BallisticXGroups!$A$2:$A$200=$A6),BallisticXGroups!$E$2:$E$200),"")</f>
        <v>100</v>
      </c>
      <c r="D6" s="140">
        <f>IFERROR(LOOKUP(2,1/(BallisticXGroups!$A$2:$A$200=$A6),BallisticXGroups!$G$2:$G$200),"")</f>
        <v>0.62</v>
      </c>
      <c r="E6" s="140">
        <f>IFERROR(LOOKUP(2,1/(BallisticXGroups!$A$2:$A$200=$A6),BallisticXGroups!$H$2:$H$200),"")</f>
        <v>0.57999999999999996</v>
      </c>
      <c r="F6" s="140">
        <f>IFERROR(LOOKUP(2,1/(BallisticXGroups!$A$2:$A$200=$A6),BallisticXGroups!$I$2:$I$200),"")</f>
        <v>0.55000000000000004</v>
      </c>
      <c r="G6" s="140">
        <f>IFERROR(LOOKUP(2,1/(BallisticXGroups!$A$2:$A$200=$A6),BallisticXGroups!$J$2:$J$200),"")</f>
        <v>0.31</v>
      </c>
      <c r="H6" s="140">
        <f>IFERROR(LOOKUP(2,1/(BallisticXGroups!$A$2:$A$200=$A6),BallisticXGroups!$K$2:$K$200),"")</f>
        <v>0.28000000000000003</v>
      </c>
      <c r="I6" s="140">
        <f>IFERROR(LOOKUP(2,1/(BallisticXGroups!$A$2:$A$200=$A6),BallisticXGroups!$L$2:$L$200),"")</f>
        <v>0.18</v>
      </c>
      <c r="J6" s="140">
        <f>IFERROR(LOOKUP(2,1/(BallisticXGroups!$A$2:$A$200=$A6),BallisticXGroups!$M$2:$M$200),"")</f>
        <v>0.2</v>
      </c>
      <c r="K6" s="140">
        <f>IFERROR(LOOKUP(2,1/(BallisticXGroups!$A$2:$A$200=$A6),BallisticXGroups!$N$2:$N$200),"")</f>
        <v>0.22</v>
      </c>
      <c r="L6" s="126" t="str">
        <f>IFERROR(LOOKUP(2,1/(BallisticXGroups!$A$2:$A$200=$A6),BallisticXGroups!$F$2:$F$200),"")</f>
        <v>6.5mm</v>
      </c>
      <c r="M6" s="127"/>
    </row>
    <row r="7" spans="1:13" ht="18.75" customHeight="1">
      <c r="A7" s="131" t="s">
        <v>180</v>
      </c>
      <c r="B7" s="132" t="str">
        <f>IFERROR(LOOKUP(2,1/(BallisticXGroups!$A$2:$A$200=$A7),BallisticXGroups!$D$2:$D$200),"")</f>
        <v>2026-04-12</v>
      </c>
      <c r="C7" s="134">
        <f>IFERROR(LOOKUP(2,1/(BallisticXGroups!$A$2:$A$200=$A7),BallisticXGroups!$E$2:$E$200),"")</f>
        <v>100</v>
      </c>
      <c r="D7" s="141">
        <f>IFERROR(LOOKUP(2,1/(BallisticXGroups!$A$2:$A$200=$A7),BallisticXGroups!$G$2:$G$200),"")</f>
        <v>0.81</v>
      </c>
      <c r="E7" s="141">
        <f>IFERROR(LOOKUP(2,1/(BallisticXGroups!$A$2:$A$200=$A7),BallisticXGroups!$H$2:$H$200),"")</f>
        <v>0.76</v>
      </c>
      <c r="F7" s="141">
        <f>IFERROR(LOOKUP(2,1/(BallisticXGroups!$A$2:$A$200=$A7),BallisticXGroups!$I$2:$I$200),"")</f>
        <v>0.72</v>
      </c>
      <c r="G7" s="141">
        <f>IFERROR(LOOKUP(2,1/(BallisticXGroups!$A$2:$A$200=$A7),BallisticXGroups!$J$2:$J$200),"")</f>
        <v>0.42</v>
      </c>
      <c r="H7" s="141">
        <f>IFERROR(LOOKUP(2,1/(BallisticXGroups!$A$2:$A$200=$A7),BallisticXGroups!$K$2:$K$200),"")</f>
        <v>0.38</v>
      </c>
      <c r="I7" s="141">
        <f>IFERROR(LOOKUP(2,1/(BallisticXGroups!$A$2:$A$200=$A7),BallisticXGroups!$L$2:$L$200),"")</f>
        <v>0.24</v>
      </c>
      <c r="J7" s="141">
        <f>IFERROR(LOOKUP(2,1/(BallisticXGroups!$A$2:$A$200=$A7),BallisticXGroups!$M$2:$M$200),"")</f>
        <v>0.26</v>
      </c>
      <c r="K7" s="141">
        <f>IFERROR(LOOKUP(2,1/(BallisticXGroups!$A$2:$A$200=$A7),BallisticXGroups!$N$2:$N$200),"")</f>
        <v>0.28000000000000003</v>
      </c>
      <c r="L7" s="132" t="str">
        <f>IFERROR(LOOKUP(2,1/(BallisticXGroups!$A$2:$A$200=$A7),BallisticXGroups!$F$2:$F$200),"")</f>
        <v>6.5mm</v>
      </c>
      <c r="M7" s="133"/>
    </row>
    <row r="8" spans="1:13" ht="18.75" customHeight="1">
      <c r="A8" s="125" t="s">
        <v>181</v>
      </c>
      <c r="B8" s="126" t="str">
        <f>IFERROR(LOOKUP(2,1/(BallisticXGroups!$A$2:$A$200=$A8),BallisticXGroups!$D$2:$D$200),"")</f>
        <v>2026-04-12</v>
      </c>
      <c r="C8" s="128">
        <f>IFERROR(LOOKUP(2,1/(BallisticXGroups!$A$2:$A$200=$A8),BallisticXGroups!$E$2:$E$200),"")</f>
        <v>100</v>
      </c>
      <c r="D8" s="140">
        <f>IFERROR(LOOKUP(2,1/(BallisticXGroups!$A$2:$A$200=$A8),BallisticXGroups!$G$2:$G$200),"")</f>
        <v>0.45</v>
      </c>
      <c r="E8" s="140">
        <f>IFERROR(LOOKUP(2,1/(BallisticXGroups!$A$2:$A$200=$A8),BallisticXGroups!$H$2:$H$200),"")</f>
        <v>0.42</v>
      </c>
      <c r="F8" s="140">
        <f>IFERROR(LOOKUP(2,1/(BallisticXGroups!$A$2:$A$200=$A8),BallisticXGroups!$I$2:$I$200),"")</f>
        <v>0.4</v>
      </c>
      <c r="G8" s="140">
        <f>IFERROR(LOOKUP(2,1/(BallisticXGroups!$A$2:$A$200=$A8),BallisticXGroups!$J$2:$J$200),"")</f>
        <v>0.22</v>
      </c>
      <c r="H8" s="140">
        <f>IFERROR(LOOKUP(2,1/(BallisticXGroups!$A$2:$A$200=$A8),BallisticXGroups!$K$2:$K$200),"")</f>
        <v>0.2</v>
      </c>
      <c r="I8" s="140">
        <f>IFERROR(LOOKUP(2,1/(BallisticXGroups!$A$2:$A$200=$A8),BallisticXGroups!$L$2:$L$200),"")</f>
        <v>0.13</v>
      </c>
      <c r="J8" s="140">
        <f>IFERROR(LOOKUP(2,1/(BallisticXGroups!$A$2:$A$200=$A8),BallisticXGroups!$M$2:$M$200),"")</f>
        <v>0.14000000000000001</v>
      </c>
      <c r="K8" s="140">
        <f>IFERROR(LOOKUP(2,1/(BallisticXGroups!$A$2:$A$200=$A8),BallisticXGroups!$N$2:$N$200),"")</f>
        <v>0.15</v>
      </c>
      <c r="L8" s="126" t="str">
        <f>IFERROR(LOOKUP(2,1/(BallisticXGroups!$A$2:$A$200=$A8),BallisticXGroups!$F$2:$F$200),"")</f>
        <v>6.5mm</v>
      </c>
      <c r="M8" s="127"/>
    </row>
    <row r="9" spans="1:13" ht="18.75" customHeight="1">
      <c r="A9" s="131" t="s">
        <v>182</v>
      </c>
      <c r="B9" s="132" t="str">
        <f>IFERROR(LOOKUP(2,1/(BallisticXGroups!$A$2:$A$200=$A9),BallisticXGroups!$D$2:$D$200),"")</f>
        <v>2026-04-12</v>
      </c>
      <c r="C9" s="134">
        <f>IFERROR(LOOKUP(2,1/(BallisticXGroups!$A$2:$A$200=$A9),BallisticXGroups!$E$2:$E$200),"")</f>
        <v>100</v>
      </c>
      <c r="D9" s="141">
        <f>IFERROR(LOOKUP(2,1/(BallisticXGroups!$A$2:$A$200=$A9),BallisticXGroups!$G$2:$G$200),"")</f>
        <v>0.38</v>
      </c>
      <c r="E9" s="141">
        <f>IFERROR(LOOKUP(2,1/(BallisticXGroups!$A$2:$A$200=$A9),BallisticXGroups!$H$2:$H$200),"")</f>
        <v>0.34</v>
      </c>
      <c r="F9" s="141">
        <f>IFERROR(LOOKUP(2,1/(BallisticXGroups!$A$2:$A$200=$A9),BallisticXGroups!$I$2:$I$200),"")</f>
        <v>0.32</v>
      </c>
      <c r="G9" s="141">
        <f>IFERROR(LOOKUP(2,1/(BallisticXGroups!$A$2:$A$200=$A9),BallisticXGroups!$J$2:$J$200),"")</f>
        <v>0.18</v>
      </c>
      <c r="H9" s="141">
        <f>IFERROR(LOOKUP(2,1/(BallisticXGroups!$A$2:$A$200=$A9),BallisticXGroups!$K$2:$K$200),"")</f>
        <v>0.16</v>
      </c>
      <c r="I9" s="141">
        <f>IFERROR(LOOKUP(2,1/(BallisticXGroups!$A$2:$A$200=$A9),BallisticXGroups!$L$2:$L$200),"")</f>
        <v>0.11</v>
      </c>
      <c r="J9" s="141">
        <f>IFERROR(LOOKUP(2,1/(BallisticXGroups!$A$2:$A$200=$A9),BallisticXGroups!$M$2:$M$200),"")</f>
        <v>0.12</v>
      </c>
      <c r="K9" s="141">
        <f>IFERROR(LOOKUP(2,1/(BallisticXGroups!$A$2:$A$200=$A9),BallisticXGroups!$N$2:$N$200),"")</f>
        <v>0.13</v>
      </c>
      <c r="L9" s="132" t="str">
        <f>IFERROR(LOOKUP(2,1/(BallisticXGroups!$A$2:$A$200=$A9),BallisticXGroups!$F$2:$F$200),"")</f>
        <v>6.5mm</v>
      </c>
      <c r="M9" s="133"/>
    </row>
    <row r="10" spans="1:13" ht="18.75" customHeight="1">
      <c r="A10" s="125" t="s">
        <v>183</v>
      </c>
      <c r="B10" s="126" t="str">
        <f>IFERROR(LOOKUP(2,1/(BallisticXGroups!$A$2:$A$200=$A10),BallisticXGroups!$D$2:$D$200),"")</f>
        <v>2026-04-12</v>
      </c>
      <c r="C10" s="128">
        <f>IFERROR(LOOKUP(2,1/(BallisticXGroups!$A$2:$A$200=$A10),BallisticXGroups!$E$2:$E$200),"")</f>
        <v>100</v>
      </c>
      <c r="D10" s="140">
        <f>IFERROR(LOOKUP(2,1/(BallisticXGroups!$A$2:$A$200=$A10),BallisticXGroups!$G$2:$G$200),"")</f>
        <v>0.57999999999999996</v>
      </c>
      <c r="E10" s="140">
        <f>IFERROR(LOOKUP(2,1/(BallisticXGroups!$A$2:$A$200=$A10),BallisticXGroups!$H$2:$H$200),"")</f>
        <v>0.55000000000000004</v>
      </c>
      <c r="F10" s="140">
        <f>IFERROR(LOOKUP(2,1/(BallisticXGroups!$A$2:$A$200=$A10),BallisticXGroups!$I$2:$I$200),"")</f>
        <v>0.52</v>
      </c>
      <c r="G10" s="140">
        <f>IFERROR(LOOKUP(2,1/(BallisticXGroups!$A$2:$A$200=$A10),BallisticXGroups!$J$2:$J$200),"")</f>
        <v>0.28999999999999998</v>
      </c>
      <c r="H10" s="140">
        <f>IFERROR(LOOKUP(2,1/(BallisticXGroups!$A$2:$A$200=$A10),BallisticXGroups!$K$2:$K$200),"")</f>
        <v>0.26</v>
      </c>
      <c r="I10" s="140">
        <f>IFERROR(LOOKUP(2,1/(BallisticXGroups!$A$2:$A$200=$A10),BallisticXGroups!$L$2:$L$200),"")</f>
        <v>0.17</v>
      </c>
      <c r="J10" s="140">
        <f>IFERROR(LOOKUP(2,1/(BallisticXGroups!$A$2:$A$200=$A10),BallisticXGroups!$M$2:$M$200),"")</f>
        <v>0.18</v>
      </c>
      <c r="K10" s="140">
        <f>IFERROR(LOOKUP(2,1/(BallisticXGroups!$A$2:$A$200=$A10),BallisticXGroups!$N$2:$N$200),"")</f>
        <v>0.19</v>
      </c>
      <c r="L10" s="126" t="str">
        <f>IFERROR(LOOKUP(2,1/(BallisticXGroups!$A$2:$A$200=$A10),BallisticXGroups!$F$2:$F$200),"")</f>
        <v>6.5mm</v>
      </c>
      <c r="M10" s="127"/>
    </row>
    <row r="11" spans="1:13" ht="18.75" customHeight="1">
      <c r="A11" s="131" t="s">
        <v>184</v>
      </c>
      <c r="B11" s="132" t="str">
        <f>IFERROR(LOOKUP(2,1/(BallisticXGroups!$A$2:$A$200=$A11),BallisticXGroups!$D$2:$D$200),"")</f>
        <v/>
      </c>
      <c r="C11" s="134" t="str">
        <f>IFERROR(LOOKUP(2,1/(BallisticXGroups!$A$2:$A$200=$A11),BallisticXGroups!$E$2:$E$200),"")</f>
        <v/>
      </c>
      <c r="D11" s="141" t="str">
        <f>IFERROR(LOOKUP(2,1/(BallisticXGroups!$A$2:$A$200=$A11),BallisticXGroups!$G$2:$G$200),"")</f>
        <v/>
      </c>
      <c r="E11" s="141" t="str">
        <f>IFERROR(LOOKUP(2,1/(BallisticXGroups!$A$2:$A$200=$A11),BallisticXGroups!$H$2:$H$200),"")</f>
        <v/>
      </c>
      <c r="F11" s="141" t="str">
        <f>IFERROR(LOOKUP(2,1/(BallisticXGroups!$A$2:$A$200=$A11),BallisticXGroups!$I$2:$I$200),"")</f>
        <v/>
      </c>
      <c r="G11" s="141" t="str">
        <f>IFERROR(LOOKUP(2,1/(BallisticXGroups!$A$2:$A$200=$A11),BallisticXGroups!$J$2:$J$200),"")</f>
        <v/>
      </c>
      <c r="H11" s="141" t="str">
        <f>IFERROR(LOOKUP(2,1/(BallisticXGroups!$A$2:$A$200=$A11),BallisticXGroups!$K$2:$K$200),"")</f>
        <v/>
      </c>
      <c r="I11" s="141" t="str">
        <f>IFERROR(LOOKUP(2,1/(BallisticXGroups!$A$2:$A$200=$A11),BallisticXGroups!$L$2:$L$200),"")</f>
        <v/>
      </c>
      <c r="J11" s="141" t="str">
        <f>IFERROR(LOOKUP(2,1/(BallisticXGroups!$A$2:$A$200=$A11),BallisticXGroups!$M$2:$M$200),"")</f>
        <v/>
      </c>
      <c r="K11" s="141" t="str">
        <f>IFERROR(LOOKUP(2,1/(BallisticXGroups!$A$2:$A$200=$A11),BallisticXGroups!$N$2:$N$200),"")</f>
        <v/>
      </c>
      <c r="L11" s="132" t="str">
        <f>IFERROR(LOOKUP(2,1/(BallisticXGroups!$A$2:$A$200=$A11),BallisticXGroups!$F$2:$F$200),"")</f>
        <v/>
      </c>
      <c r="M11" s="133"/>
    </row>
    <row r="12" spans="1:13" ht="18.75" customHeight="1">
      <c r="A12" s="125" t="s">
        <v>185</v>
      </c>
      <c r="B12" s="126" t="str">
        <f>IFERROR(LOOKUP(2,1/(BallisticXGroups!$A$2:$A$200=$A12),BallisticXGroups!$D$2:$D$200),"")</f>
        <v/>
      </c>
      <c r="C12" s="128" t="str">
        <f>IFERROR(LOOKUP(2,1/(BallisticXGroups!$A$2:$A$200=$A12),BallisticXGroups!$E$2:$E$200),"")</f>
        <v/>
      </c>
      <c r="D12" s="140" t="str">
        <f>IFERROR(LOOKUP(2,1/(BallisticXGroups!$A$2:$A$200=$A12),BallisticXGroups!$G$2:$G$200),"")</f>
        <v/>
      </c>
      <c r="E12" s="140" t="str">
        <f>IFERROR(LOOKUP(2,1/(BallisticXGroups!$A$2:$A$200=$A12),BallisticXGroups!$H$2:$H$200),"")</f>
        <v/>
      </c>
      <c r="F12" s="140" t="str">
        <f>IFERROR(LOOKUP(2,1/(BallisticXGroups!$A$2:$A$200=$A12),BallisticXGroups!$I$2:$I$200),"")</f>
        <v/>
      </c>
      <c r="G12" s="140" t="str">
        <f>IFERROR(LOOKUP(2,1/(BallisticXGroups!$A$2:$A$200=$A12),BallisticXGroups!$J$2:$J$200),"")</f>
        <v/>
      </c>
      <c r="H12" s="140" t="str">
        <f>IFERROR(LOOKUP(2,1/(BallisticXGroups!$A$2:$A$200=$A12),BallisticXGroups!$K$2:$K$200),"")</f>
        <v/>
      </c>
      <c r="I12" s="140" t="str">
        <f>IFERROR(LOOKUP(2,1/(BallisticXGroups!$A$2:$A$200=$A12),BallisticXGroups!$L$2:$L$200),"")</f>
        <v/>
      </c>
      <c r="J12" s="140" t="str">
        <f>IFERROR(LOOKUP(2,1/(BallisticXGroups!$A$2:$A$200=$A12),BallisticXGroups!$M$2:$M$200),"")</f>
        <v/>
      </c>
      <c r="K12" s="140" t="str">
        <f>IFERROR(LOOKUP(2,1/(BallisticXGroups!$A$2:$A$200=$A12),BallisticXGroups!$N$2:$N$200),"")</f>
        <v/>
      </c>
      <c r="L12" s="126" t="str">
        <f>IFERROR(LOOKUP(2,1/(BallisticXGroups!$A$2:$A$200=$A12),BallisticXGroups!$F$2:$F$200),"")</f>
        <v/>
      </c>
      <c r="M12" s="127"/>
    </row>
    <row r="13" spans="1:13" ht="18.75" customHeight="1">
      <c r="A13" s="131" t="s">
        <v>186</v>
      </c>
      <c r="B13" s="132" t="str">
        <f>IFERROR(LOOKUP(2,1/(BallisticXGroups!$A$2:$A$200=$A13),BallisticXGroups!$D$2:$D$200),"")</f>
        <v/>
      </c>
      <c r="C13" s="134" t="str">
        <f>IFERROR(LOOKUP(2,1/(BallisticXGroups!$A$2:$A$200=$A13),BallisticXGroups!$E$2:$E$200),"")</f>
        <v/>
      </c>
      <c r="D13" s="141" t="str">
        <f>IFERROR(LOOKUP(2,1/(BallisticXGroups!$A$2:$A$200=$A13),BallisticXGroups!$G$2:$G$200),"")</f>
        <v/>
      </c>
      <c r="E13" s="141" t="str">
        <f>IFERROR(LOOKUP(2,1/(BallisticXGroups!$A$2:$A$200=$A13),BallisticXGroups!$H$2:$H$200),"")</f>
        <v/>
      </c>
      <c r="F13" s="141" t="str">
        <f>IFERROR(LOOKUP(2,1/(BallisticXGroups!$A$2:$A$200=$A13),BallisticXGroups!$I$2:$I$200),"")</f>
        <v/>
      </c>
      <c r="G13" s="141" t="str">
        <f>IFERROR(LOOKUP(2,1/(BallisticXGroups!$A$2:$A$200=$A13),BallisticXGroups!$J$2:$J$200),"")</f>
        <v/>
      </c>
      <c r="H13" s="141" t="str">
        <f>IFERROR(LOOKUP(2,1/(BallisticXGroups!$A$2:$A$200=$A13),BallisticXGroups!$K$2:$K$200),"")</f>
        <v/>
      </c>
      <c r="I13" s="141" t="str">
        <f>IFERROR(LOOKUP(2,1/(BallisticXGroups!$A$2:$A$200=$A13),BallisticXGroups!$L$2:$L$200),"")</f>
        <v/>
      </c>
      <c r="J13" s="141" t="str">
        <f>IFERROR(LOOKUP(2,1/(BallisticXGroups!$A$2:$A$200=$A13),BallisticXGroups!$M$2:$M$200),"")</f>
        <v/>
      </c>
      <c r="K13" s="141" t="str">
        <f>IFERROR(LOOKUP(2,1/(BallisticXGroups!$A$2:$A$200=$A13),BallisticXGroups!$N$2:$N$200),"")</f>
        <v/>
      </c>
      <c r="L13" s="132" t="str">
        <f>IFERROR(LOOKUP(2,1/(BallisticXGroups!$A$2:$A$200=$A13),BallisticXGroups!$F$2:$F$200),"")</f>
        <v/>
      </c>
      <c r="M13" s="133"/>
    </row>
    <row r="14" spans="1:13" ht="18.75" customHeight="1">
      <c r="A14" s="125" t="s">
        <v>187</v>
      </c>
      <c r="B14" s="126" t="str">
        <f>IFERROR(LOOKUP(2,1/(BallisticXGroups!$A$2:$A$200=$A14),BallisticXGroups!$D$2:$D$200),"")</f>
        <v/>
      </c>
      <c r="C14" s="128" t="str">
        <f>IFERROR(LOOKUP(2,1/(BallisticXGroups!$A$2:$A$200=$A14),BallisticXGroups!$E$2:$E$200),"")</f>
        <v/>
      </c>
      <c r="D14" s="140" t="str">
        <f>IFERROR(LOOKUP(2,1/(BallisticXGroups!$A$2:$A$200=$A14),BallisticXGroups!$G$2:$G$200),"")</f>
        <v/>
      </c>
      <c r="E14" s="140" t="str">
        <f>IFERROR(LOOKUP(2,1/(BallisticXGroups!$A$2:$A$200=$A14),BallisticXGroups!$H$2:$H$200),"")</f>
        <v/>
      </c>
      <c r="F14" s="140" t="str">
        <f>IFERROR(LOOKUP(2,1/(BallisticXGroups!$A$2:$A$200=$A14),BallisticXGroups!$I$2:$I$200),"")</f>
        <v/>
      </c>
      <c r="G14" s="140" t="str">
        <f>IFERROR(LOOKUP(2,1/(BallisticXGroups!$A$2:$A$200=$A14),BallisticXGroups!$J$2:$J$200),"")</f>
        <v/>
      </c>
      <c r="H14" s="140" t="str">
        <f>IFERROR(LOOKUP(2,1/(BallisticXGroups!$A$2:$A$200=$A14),BallisticXGroups!$K$2:$K$200),"")</f>
        <v/>
      </c>
      <c r="I14" s="140" t="str">
        <f>IFERROR(LOOKUP(2,1/(BallisticXGroups!$A$2:$A$200=$A14),BallisticXGroups!$L$2:$L$200),"")</f>
        <v/>
      </c>
      <c r="J14" s="140" t="str">
        <f>IFERROR(LOOKUP(2,1/(BallisticXGroups!$A$2:$A$200=$A14),BallisticXGroups!$M$2:$M$200),"")</f>
        <v/>
      </c>
      <c r="K14" s="140" t="str">
        <f>IFERROR(LOOKUP(2,1/(BallisticXGroups!$A$2:$A$200=$A14),BallisticXGroups!$N$2:$N$200),"")</f>
        <v/>
      </c>
      <c r="L14" s="126" t="str">
        <f>IFERROR(LOOKUP(2,1/(BallisticXGroups!$A$2:$A$200=$A14),BallisticXGroups!$F$2:$F$200),"")</f>
        <v/>
      </c>
      <c r="M14" s="127"/>
    </row>
    <row r="15" spans="1:13" ht="18.75" customHeight="1">
      <c r="A15" s="131" t="s">
        <v>188</v>
      </c>
      <c r="B15" s="132" t="str">
        <f>IFERROR(LOOKUP(2,1/(BallisticXGroups!$A$2:$A$200=$A15),BallisticXGroups!$D$2:$D$200),"")</f>
        <v/>
      </c>
      <c r="C15" s="134" t="str">
        <f>IFERROR(LOOKUP(2,1/(BallisticXGroups!$A$2:$A$200=$A15),BallisticXGroups!$E$2:$E$200),"")</f>
        <v/>
      </c>
      <c r="D15" s="141" t="str">
        <f>IFERROR(LOOKUP(2,1/(BallisticXGroups!$A$2:$A$200=$A15),BallisticXGroups!$G$2:$G$200),"")</f>
        <v/>
      </c>
      <c r="E15" s="141" t="str">
        <f>IFERROR(LOOKUP(2,1/(BallisticXGroups!$A$2:$A$200=$A15),BallisticXGroups!$H$2:$H$200),"")</f>
        <v/>
      </c>
      <c r="F15" s="141" t="str">
        <f>IFERROR(LOOKUP(2,1/(BallisticXGroups!$A$2:$A$200=$A15),BallisticXGroups!$I$2:$I$200),"")</f>
        <v/>
      </c>
      <c r="G15" s="141" t="str">
        <f>IFERROR(LOOKUP(2,1/(BallisticXGroups!$A$2:$A$200=$A15),BallisticXGroups!$J$2:$J$200),"")</f>
        <v/>
      </c>
      <c r="H15" s="141" t="str">
        <f>IFERROR(LOOKUP(2,1/(BallisticXGroups!$A$2:$A$200=$A15),BallisticXGroups!$K$2:$K$200),"")</f>
        <v/>
      </c>
      <c r="I15" s="141" t="str">
        <f>IFERROR(LOOKUP(2,1/(BallisticXGroups!$A$2:$A$200=$A15),BallisticXGroups!$L$2:$L$200),"")</f>
        <v/>
      </c>
      <c r="J15" s="141" t="str">
        <f>IFERROR(LOOKUP(2,1/(BallisticXGroups!$A$2:$A$200=$A15),BallisticXGroups!$M$2:$M$200),"")</f>
        <v/>
      </c>
      <c r="K15" s="141" t="str">
        <f>IFERROR(LOOKUP(2,1/(BallisticXGroups!$A$2:$A$200=$A15),BallisticXGroups!$N$2:$N$200),"")</f>
        <v/>
      </c>
      <c r="L15" s="132" t="str">
        <f>IFERROR(LOOKUP(2,1/(BallisticXGroups!$A$2:$A$200=$A15),BallisticXGroups!$F$2:$F$200),"")</f>
        <v/>
      </c>
      <c r="M15" s="133"/>
    </row>
    <row r="16" spans="1:13" ht="26" customHeight="1">
      <c r="A16" s="209" t="s">
        <v>189</v>
      </c>
      <c r="B16" s="210"/>
      <c r="C16" s="210"/>
      <c r="D16" s="210"/>
      <c r="E16" s="210"/>
      <c r="F16" s="210"/>
      <c r="G16" s="210"/>
      <c r="H16" s="210"/>
      <c r="I16" s="210"/>
      <c r="J16" s="210"/>
      <c r="K16" s="210"/>
      <c r="L16" s="210"/>
      <c r="M16" s="210"/>
    </row>
    <row r="17" spans="1:13" ht="18.75" customHeight="1">
      <c r="A17" s="125" t="s">
        <v>190</v>
      </c>
      <c r="B17" s="126" t="str">
        <f>IFERROR(LOOKUP(2,1/(BallisticXGroups!$A$2:$A$200=$A17),BallisticXGroups!$D$2:$D$200),"")</f>
        <v>2026-04-26</v>
      </c>
      <c r="C17" s="128">
        <f>IFERROR(LOOKUP(2,1/(BallisticXGroups!$A$2:$A$200=$A17),BallisticXGroups!$E$2:$E$200),"")</f>
        <v>100</v>
      </c>
      <c r="D17" s="140">
        <f>IFERROR(LOOKUP(2,1/(BallisticXGroups!$A$2:$A$200=$A17),BallisticXGroups!$G$2:$G$200),"")</f>
        <v>0.55000000000000004</v>
      </c>
      <c r="E17" s="140">
        <f>IFERROR(LOOKUP(2,1/(BallisticXGroups!$A$2:$A$200=$A17),BallisticXGroups!$H$2:$H$200),"")</f>
        <v>0.52</v>
      </c>
      <c r="F17" s="140">
        <f>IFERROR(LOOKUP(2,1/(BallisticXGroups!$A$2:$A$200=$A17),BallisticXGroups!$I$2:$I$200),"")</f>
        <v>0.48</v>
      </c>
      <c r="G17" s="140">
        <f>IFERROR(LOOKUP(2,1/(BallisticXGroups!$A$2:$A$200=$A17),BallisticXGroups!$J$2:$J$200),"")</f>
        <v>0.27</v>
      </c>
      <c r="H17" s="140">
        <f>IFERROR(LOOKUP(2,1/(BallisticXGroups!$A$2:$A$200=$A17),BallisticXGroups!$K$2:$K$200),"")</f>
        <v>0.24</v>
      </c>
      <c r="I17" s="140">
        <f>IFERROR(LOOKUP(2,1/(BallisticXGroups!$A$2:$A$200=$A17),BallisticXGroups!$L$2:$L$200),"")</f>
        <v>0.16</v>
      </c>
      <c r="J17" s="140">
        <f>IFERROR(LOOKUP(2,1/(BallisticXGroups!$A$2:$A$200=$A17),BallisticXGroups!$M$2:$M$200),"")</f>
        <v>0.17</v>
      </c>
      <c r="K17" s="140">
        <f>IFERROR(LOOKUP(2,1/(BallisticXGroups!$A$2:$A$200=$A17),BallisticXGroups!$N$2:$N$200),"")</f>
        <v>0.18</v>
      </c>
      <c r="L17" s="126" t="str">
        <f>IFERROR(LOOKUP(2,1/(BallisticXGroups!$A$2:$A$200=$A17),BallisticXGroups!$F$2:$F$200),"")</f>
        <v>6.5mm</v>
      </c>
      <c r="M17" s="127"/>
    </row>
    <row r="18" spans="1:13" ht="18.75" customHeight="1">
      <c r="A18" s="131" t="s">
        <v>191</v>
      </c>
      <c r="B18" s="132" t="str">
        <f>IFERROR(LOOKUP(2,1/(BallisticXGroups!$A$2:$A$200=$A18),BallisticXGroups!$D$2:$D$200),"")</f>
        <v>2026-04-26</v>
      </c>
      <c r="C18" s="134">
        <f>IFERROR(LOOKUP(2,1/(BallisticXGroups!$A$2:$A$200=$A18),BallisticXGroups!$E$2:$E$200),"")</f>
        <v>100</v>
      </c>
      <c r="D18" s="141">
        <f>IFERROR(LOOKUP(2,1/(BallisticXGroups!$A$2:$A$200=$A18),BallisticXGroups!$G$2:$G$200),"")</f>
        <v>0.41</v>
      </c>
      <c r="E18" s="141">
        <f>IFERROR(LOOKUP(2,1/(BallisticXGroups!$A$2:$A$200=$A18),BallisticXGroups!$H$2:$H$200),"")</f>
        <v>0.38</v>
      </c>
      <c r="F18" s="141">
        <f>IFERROR(LOOKUP(2,1/(BallisticXGroups!$A$2:$A$200=$A18),BallisticXGroups!$I$2:$I$200),"")</f>
        <v>0.36</v>
      </c>
      <c r="G18" s="141">
        <f>IFERROR(LOOKUP(2,1/(BallisticXGroups!$A$2:$A$200=$A18),BallisticXGroups!$J$2:$J$200),"")</f>
        <v>0.21</v>
      </c>
      <c r="H18" s="141">
        <f>IFERROR(LOOKUP(2,1/(BallisticXGroups!$A$2:$A$200=$A18),BallisticXGroups!$K$2:$K$200),"")</f>
        <v>0.19</v>
      </c>
      <c r="I18" s="141">
        <f>IFERROR(LOOKUP(2,1/(BallisticXGroups!$A$2:$A$200=$A18),BallisticXGroups!$L$2:$L$200),"")</f>
        <v>0.12</v>
      </c>
      <c r="J18" s="141">
        <f>IFERROR(LOOKUP(2,1/(BallisticXGroups!$A$2:$A$200=$A18),BallisticXGroups!$M$2:$M$200),"")</f>
        <v>0.13</v>
      </c>
      <c r="K18" s="141">
        <f>IFERROR(LOOKUP(2,1/(BallisticXGroups!$A$2:$A$200=$A18),BallisticXGroups!$N$2:$N$200),"")</f>
        <v>0.14000000000000001</v>
      </c>
      <c r="L18" s="132" t="str">
        <f>IFERROR(LOOKUP(2,1/(BallisticXGroups!$A$2:$A$200=$A18),BallisticXGroups!$F$2:$F$200),"")</f>
        <v>6.5mm</v>
      </c>
      <c r="M18" s="133"/>
    </row>
    <row r="19" spans="1:13" ht="18.75" customHeight="1">
      <c r="A19" s="125" t="s">
        <v>192</v>
      </c>
      <c r="B19" s="126" t="str">
        <f>IFERROR(LOOKUP(2,1/(BallisticXGroups!$A$2:$A$200=$A19),BallisticXGroups!$D$2:$D$200),"")</f>
        <v>2026-04-26</v>
      </c>
      <c r="C19" s="128">
        <f>IFERROR(LOOKUP(2,1/(BallisticXGroups!$A$2:$A$200=$A19),BallisticXGroups!$E$2:$E$200),"")</f>
        <v>100</v>
      </c>
      <c r="D19" s="140">
        <f>IFERROR(LOOKUP(2,1/(BallisticXGroups!$A$2:$A$200=$A19),BallisticXGroups!$G$2:$G$200),"")</f>
        <v>0.32</v>
      </c>
      <c r="E19" s="140">
        <f>IFERROR(LOOKUP(2,1/(BallisticXGroups!$A$2:$A$200=$A19),BallisticXGroups!$H$2:$H$200),"")</f>
        <v>0.28999999999999998</v>
      </c>
      <c r="F19" s="140">
        <f>IFERROR(LOOKUP(2,1/(BallisticXGroups!$A$2:$A$200=$A19),BallisticXGroups!$I$2:$I$200),"")</f>
        <v>0.27</v>
      </c>
      <c r="G19" s="140">
        <f>IFERROR(LOOKUP(2,1/(BallisticXGroups!$A$2:$A$200=$A19),BallisticXGroups!$J$2:$J$200),"")</f>
        <v>0.16</v>
      </c>
      <c r="H19" s="140">
        <f>IFERROR(LOOKUP(2,1/(BallisticXGroups!$A$2:$A$200=$A19),BallisticXGroups!$K$2:$K$200),"")</f>
        <v>0.14000000000000001</v>
      </c>
      <c r="I19" s="140">
        <f>IFERROR(LOOKUP(2,1/(BallisticXGroups!$A$2:$A$200=$A19),BallisticXGroups!$L$2:$L$200),"")</f>
        <v>0.1</v>
      </c>
      <c r="J19" s="140">
        <f>IFERROR(LOOKUP(2,1/(BallisticXGroups!$A$2:$A$200=$A19),BallisticXGroups!$M$2:$M$200),"")</f>
        <v>0.1</v>
      </c>
      <c r="K19" s="140">
        <f>IFERROR(LOOKUP(2,1/(BallisticXGroups!$A$2:$A$200=$A19),BallisticXGroups!$N$2:$N$200),"")</f>
        <v>0.11</v>
      </c>
      <c r="L19" s="126" t="str">
        <f>IFERROR(LOOKUP(2,1/(BallisticXGroups!$A$2:$A$200=$A19),BallisticXGroups!$F$2:$F$200),"")</f>
        <v>6.5mm</v>
      </c>
      <c r="M19" s="127"/>
    </row>
    <row r="20" spans="1:13" ht="18.75" customHeight="1">
      <c r="A20" s="131" t="s">
        <v>193</v>
      </c>
      <c r="B20" s="132" t="str">
        <f>IFERROR(LOOKUP(2,1/(BallisticXGroups!$A$2:$A$200=$A20),BallisticXGroups!$D$2:$D$200),"")</f>
        <v>2026-04-26</v>
      </c>
      <c r="C20" s="134">
        <f>IFERROR(LOOKUP(2,1/(BallisticXGroups!$A$2:$A$200=$A20),BallisticXGroups!$E$2:$E$200),"")</f>
        <v>100</v>
      </c>
      <c r="D20" s="141">
        <f>IFERROR(LOOKUP(2,1/(BallisticXGroups!$A$2:$A$200=$A20),BallisticXGroups!$G$2:$G$200),"")</f>
        <v>0.48</v>
      </c>
      <c r="E20" s="141">
        <f>IFERROR(LOOKUP(2,1/(BallisticXGroups!$A$2:$A$200=$A20),BallisticXGroups!$H$2:$H$200),"")</f>
        <v>0.45</v>
      </c>
      <c r="F20" s="141">
        <f>IFERROR(LOOKUP(2,1/(BallisticXGroups!$A$2:$A$200=$A20),BallisticXGroups!$I$2:$I$200),"")</f>
        <v>0.42</v>
      </c>
      <c r="G20" s="141">
        <f>IFERROR(LOOKUP(2,1/(BallisticXGroups!$A$2:$A$200=$A20),BallisticXGroups!$J$2:$J$200),"")</f>
        <v>0.24</v>
      </c>
      <c r="H20" s="141">
        <f>IFERROR(LOOKUP(2,1/(BallisticXGroups!$A$2:$A$200=$A20),BallisticXGroups!$K$2:$K$200),"")</f>
        <v>0.22</v>
      </c>
      <c r="I20" s="141">
        <f>IFERROR(LOOKUP(2,1/(BallisticXGroups!$A$2:$A$200=$A20),BallisticXGroups!$L$2:$L$200),"")</f>
        <v>0.14000000000000001</v>
      </c>
      <c r="J20" s="141">
        <f>IFERROR(LOOKUP(2,1/(BallisticXGroups!$A$2:$A$200=$A20),BallisticXGroups!$M$2:$M$200),"")</f>
        <v>0.15</v>
      </c>
      <c r="K20" s="141">
        <f>IFERROR(LOOKUP(2,1/(BallisticXGroups!$A$2:$A$200=$A20),BallisticXGroups!$N$2:$N$200),"")</f>
        <v>0.16</v>
      </c>
      <c r="L20" s="132" t="str">
        <f>IFERROR(LOOKUP(2,1/(BallisticXGroups!$A$2:$A$200=$A20),BallisticXGroups!$F$2:$F$200),"")</f>
        <v>6.5mm</v>
      </c>
      <c r="M20" s="133"/>
    </row>
    <row r="21" spans="1:13" ht="18.75" customHeight="1">
      <c r="A21" s="125" t="s">
        <v>194</v>
      </c>
      <c r="B21" s="126" t="str">
        <f>IFERROR(LOOKUP(2,1/(BallisticXGroups!$A$2:$A$200=$A21),BallisticXGroups!$D$2:$D$200),"")</f>
        <v>2026-04-26</v>
      </c>
      <c r="C21" s="128">
        <f>IFERROR(LOOKUP(2,1/(BallisticXGroups!$A$2:$A$200=$A21),BallisticXGroups!$E$2:$E$200),"")</f>
        <v>100</v>
      </c>
      <c r="D21" s="140">
        <f>IFERROR(LOOKUP(2,1/(BallisticXGroups!$A$2:$A$200=$A21),BallisticXGroups!$G$2:$G$200),"")</f>
        <v>0.62</v>
      </c>
      <c r="E21" s="140">
        <f>IFERROR(LOOKUP(2,1/(BallisticXGroups!$A$2:$A$200=$A21),BallisticXGroups!$H$2:$H$200),"")</f>
        <v>0.57999999999999996</v>
      </c>
      <c r="F21" s="140">
        <f>IFERROR(LOOKUP(2,1/(BallisticXGroups!$A$2:$A$200=$A21),BallisticXGroups!$I$2:$I$200),"")</f>
        <v>0.55000000000000004</v>
      </c>
      <c r="G21" s="140">
        <f>IFERROR(LOOKUP(2,1/(BallisticXGroups!$A$2:$A$200=$A21),BallisticXGroups!$J$2:$J$200),"")</f>
        <v>0.31</v>
      </c>
      <c r="H21" s="140">
        <f>IFERROR(LOOKUP(2,1/(BallisticXGroups!$A$2:$A$200=$A21),BallisticXGroups!$K$2:$K$200),"")</f>
        <v>0.28000000000000003</v>
      </c>
      <c r="I21" s="140">
        <f>IFERROR(LOOKUP(2,1/(BallisticXGroups!$A$2:$A$200=$A21),BallisticXGroups!$L$2:$L$200),"")</f>
        <v>0.18</v>
      </c>
      <c r="J21" s="140">
        <f>IFERROR(LOOKUP(2,1/(BallisticXGroups!$A$2:$A$200=$A21),BallisticXGroups!$M$2:$M$200),"")</f>
        <v>0.19</v>
      </c>
      <c r="K21" s="140">
        <f>IFERROR(LOOKUP(2,1/(BallisticXGroups!$A$2:$A$200=$A21),BallisticXGroups!$N$2:$N$200),"")</f>
        <v>0.21</v>
      </c>
      <c r="L21" s="126" t="str">
        <f>IFERROR(LOOKUP(2,1/(BallisticXGroups!$A$2:$A$200=$A21),BallisticXGroups!$F$2:$F$200),"")</f>
        <v>6.5mm</v>
      </c>
      <c r="M21" s="127"/>
    </row>
    <row r="22" spans="1:13" ht="18.75" customHeight="1">
      <c r="A22" s="131" t="s">
        <v>195</v>
      </c>
      <c r="B22" s="132" t="str">
        <f>IFERROR(LOOKUP(2,1/(BallisticXGroups!$A$2:$A$200=$A22),BallisticXGroups!$D$2:$D$200),"")</f>
        <v/>
      </c>
      <c r="C22" s="134" t="str">
        <f>IFERROR(LOOKUP(2,1/(BallisticXGroups!$A$2:$A$200=$A22),BallisticXGroups!$E$2:$E$200),"")</f>
        <v/>
      </c>
      <c r="D22" s="141" t="str">
        <f>IFERROR(LOOKUP(2,1/(BallisticXGroups!$A$2:$A$200=$A22),BallisticXGroups!$G$2:$G$200),"")</f>
        <v/>
      </c>
      <c r="E22" s="141" t="str">
        <f>IFERROR(LOOKUP(2,1/(BallisticXGroups!$A$2:$A$200=$A22),BallisticXGroups!$H$2:$H$200),"")</f>
        <v/>
      </c>
      <c r="F22" s="141" t="str">
        <f>IFERROR(LOOKUP(2,1/(BallisticXGroups!$A$2:$A$200=$A22),BallisticXGroups!$I$2:$I$200),"")</f>
        <v/>
      </c>
      <c r="G22" s="141" t="str">
        <f>IFERROR(LOOKUP(2,1/(BallisticXGroups!$A$2:$A$200=$A22),BallisticXGroups!$J$2:$J$200),"")</f>
        <v/>
      </c>
      <c r="H22" s="141" t="str">
        <f>IFERROR(LOOKUP(2,1/(BallisticXGroups!$A$2:$A$200=$A22),BallisticXGroups!$K$2:$K$200),"")</f>
        <v/>
      </c>
      <c r="I22" s="141" t="str">
        <f>IFERROR(LOOKUP(2,1/(BallisticXGroups!$A$2:$A$200=$A22),BallisticXGroups!$L$2:$L$200),"")</f>
        <v/>
      </c>
      <c r="J22" s="141" t="str">
        <f>IFERROR(LOOKUP(2,1/(BallisticXGroups!$A$2:$A$200=$A22),BallisticXGroups!$M$2:$M$200),"")</f>
        <v/>
      </c>
      <c r="K22" s="141" t="str">
        <f>IFERROR(LOOKUP(2,1/(BallisticXGroups!$A$2:$A$200=$A22),BallisticXGroups!$N$2:$N$200),"")</f>
        <v/>
      </c>
      <c r="L22" s="132" t="str">
        <f>IFERROR(LOOKUP(2,1/(BallisticXGroups!$A$2:$A$200=$A22),BallisticXGroups!$F$2:$F$200),"")</f>
        <v/>
      </c>
      <c r="M22" s="133"/>
    </row>
    <row r="23" spans="1:13" ht="18.75" customHeight="1">
      <c r="A23" s="125" t="s">
        <v>196</v>
      </c>
      <c r="B23" s="126" t="str">
        <f>IFERROR(LOOKUP(2,1/(BallisticXGroups!$A$2:$A$200=$A23),BallisticXGroups!$D$2:$D$200),"")</f>
        <v/>
      </c>
      <c r="C23" s="128" t="str">
        <f>IFERROR(LOOKUP(2,1/(BallisticXGroups!$A$2:$A$200=$A23),BallisticXGroups!$E$2:$E$200),"")</f>
        <v/>
      </c>
      <c r="D23" s="140" t="str">
        <f>IFERROR(LOOKUP(2,1/(BallisticXGroups!$A$2:$A$200=$A23),BallisticXGroups!$G$2:$G$200),"")</f>
        <v/>
      </c>
      <c r="E23" s="140" t="str">
        <f>IFERROR(LOOKUP(2,1/(BallisticXGroups!$A$2:$A$200=$A23),BallisticXGroups!$H$2:$H$200),"")</f>
        <v/>
      </c>
      <c r="F23" s="140" t="str">
        <f>IFERROR(LOOKUP(2,1/(BallisticXGroups!$A$2:$A$200=$A23),BallisticXGroups!$I$2:$I$200),"")</f>
        <v/>
      </c>
      <c r="G23" s="140" t="str">
        <f>IFERROR(LOOKUP(2,1/(BallisticXGroups!$A$2:$A$200=$A23),BallisticXGroups!$J$2:$J$200),"")</f>
        <v/>
      </c>
      <c r="H23" s="140" t="str">
        <f>IFERROR(LOOKUP(2,1/(BallisticXGroups!$A$2:$A$200=$A23),BallisticXGroups!$K$2:$K$200),"")</f>
        <v/>
      </c>
      <c r="I23" s="140" t="str">
        <f>IFERROR(LOOKUP(2,1/(BallisticXGroups!$A$2:$A$200=$A23),BallisticXGroups!$L$2:$L$200),"")</f>
        <v/>
      </c>
      <c r="J23" s="140" t="str">
        <f>IFERROR(LOOKUP(2,1/(BallisticXGroups!$A$2:$A$200=$A23),BallisticXGroups!$M$2:$M$200),"")</f>
        <v/>
      </c>
      <c r="K23" s="140" t="str">
        <f>IFERROR(LOOKUP(2,1/(BallisticXGroups!$A$2:$A$200=$A23),BallisticXGroups!$N$2:$N$200),"")</f>
        <v/>
      </c>
      <c r="L23" s="126" t="str">
        <f>IFERROR(LOOKUP(2,1/(BallisticXGroups!$A$2:$A$200=$A23),BallisticXGroups!$F$2:$F$200),"")</f>
        <v/>
      </c>
      <c r="M23" s="127"/>
    </row>
    <row r="24" spans="1:13" ht="18.75" customHeight="1">
      <c r="A24" s="131" t="s">
        <v>197</v>
      </c>
      <c r="B24" s="132" t="str">
        <f>IFERROR(LOOKUP(2,1/(BallisticXGroups!$A$2:$A$200=$A24),BallisticXGroups!$D$2:$D$200),"")</f>
        <v/>
      </c>
      <c r="C24" s="134" t="str">
        <f>IFERROR(LOOKUP(2,1/(BallisticXGroups!$A$2:$A$200=$A24),BallisticXGroups!$E$2:$E$200),"")</f>
        <v/>
      </c>
      <c r="D24" s="141" t="str">
        <f>IFERROR(LOOKUP(2,1/(BallisticXGroups!$A$2:$A$200=$A24),BallisticXGroups!$G$2:$G$200),"")</f>
        <v/>
      </c>
      <c r="E24" s="141" t="str">
        <f>IFERROR(LOOKUP(2,1/(BallisticXGroups!$A$2:$A$200=$A24),BallisticXGroups!$H$2:$H$200),"")</f>
        <v/>
      </c>
      <c r="F24" s="141" t="str">
        <f>IFERROR(LOOKUP(2,1/(BallisticXGroups!$A$2:$A$200=$A24),BallisticXGroups!$I$2:$I$200),"")</f>
        <v/>
      </c>
      <c r="G24" s="141" t="str">
        <f>IFERROR(LOOKUP(2,1/(BallisticXGroups!$A$2:$A$200=$A24),BallisticXGroups!$J$2:$J$200),"")</f>
        <v/>
      </c>
      <c r="H24" s="141" t="str">
        <f>IFERROR(LOOKUP(2,1/(BallisticXGroups!$A$2:$A$200=$A24),BallisticXGroups!$K$2:$K$200),"")</f>
        <v/>
      </c>
      <c r="I24" s="141" t="str">
        <f>IFERROR(LOOKUP(2,1/(BallisticXGroups!$A$2:$A$200=$A24),BallisticXGroups!$L$2:$L$200),"")</f>
        <v/>
      </c>
      <c r="J24" s="141" t="str">
        <f>IFERROR(LOOKUP(2,1/(BallisticXGroups!$A$2:$A$200=$A24),BallisticXGroups!$M$2:$M$200),"")</f>
        <v/>
      </c>
      <c r="K24" s="141" t="str">
        <f>IFERROR(LOOKUP(2,1/(BallisticXGroups!$A$2:$A$200=$A24),BallisticXGroups!$N$2:$N$200),"")</f>
        <v/>
      </c>
      <c r="L24" s="132" t="str">
        <f>IFERROR(LOOKUP(2,1/(BallisticXGroups!$A$2:$A$200=$A24),BallisticXGroups!$F$2:$F$200),"")</f>
        <v/>
      </c>
      <c r="M24" s="133"/>
    </row>
    <row r="25" spans="1:13" ht="18.75" customHeight="1">
      <c r="A25" s="125" t="s">
        <v>198</v>
      </c>
      <c r="B25" s="126" t="str">
        <f>IFERROR(LOOKUP(2,1/(BallisticXGroups!$A$2:$A$200=$A25),BallisticXGroups!$D$2:$D$200),"")</f>
        <v/>
      </c>
      <c r="C25" s="128" t="str">
        <f>IFERROR(LOOKUP(2,1/(BallisticXGroups!$A$2:$A$200=$A25),BallisticXGroups!$E$2:$E$200),"")</f>
        <v/>
      </c>
      <c r="D25" s="140" t="str">
        <f>IFERROR(LOOKUP(2,1/(BallisticXGroups!$A$2:$A$200=$A25),BallisticXGroups!$G$2:$G$200),"")</f>
        <v/>
      </c>
      <c r="E25" s="140" t="str">
        <f>IFERROR(LOOKUP(2,1/(BallisticXGroups!$A$2:$A$200=$A25),BallisticXGroups!$H$2:$H$200),"")</f>
        <v/>
      </c>
      <c r="F25" s="140" t="str">
        <f>IFERROR(LOOKUP(2,1/(BallisticXGroups!$A$2:$A$200=$A25),BallisticXGroups!$I$2:$I$200),"")</f>
        <v/>
      </c>
      <c r="G25" s="140" t="str">
        <f>IFERROR(LOOKUP(2,1/(BallisticXGroups!$A$2:$A$200=$A25),BallisticXGroups!$J$2:$J$200),"")</f>
        <v/>
      </c>
      <c r="H25" s="140" t="str">
        <f>IFERROR(LOOKUP(2,1/(BallisticXGroups!$A$2:$A$200=$A25),BallisticXGroups!$K$2:$K$200),"")</f>
        <v/>
      </c>
      <c r="I25" s="140" t="str">
        <f>IFERROR(LOOKUP(2,1/(BallisticXGroups!$A$2:$A$200=$A25),BallisticXGroups!$L$2:$L$200),"")</f>
        <v/>
      </c>
      <c r="J25" s="140" t="str">
        <f>IFERROR(LOOKUP(2,1/(BallisticXGroups!$A$2:$A$200=$A25),BallisticXGroups!$M$2:$M$200),"")</f>
        <v/>
      </c>
      <c r="K25" s="140" t="str">
        <f>IFERROR(LOOKUP(2,1/(BallisticXGroups!$A$2:$A$200=$A25),BallisticXGroups!$N$2:$N$200),"")</f>
        <v/>
      </c>
      <c r="L25" s="126" t="str">
        <f>IFERROR(LOOKUP(2,1/(BallisticXGroups!$A$2:$A$200=$A25),BallisticXGroups!$F$2:$F$200),"")</f>
        <v/>
      </c>
      <c r="M25" s="127"/>
    </row>
    <row r="26" spans="1:13" ht="18.75" customHeight="1">
      <c r="A26" s="131" t="s">
        <v>199</v>
      </c>
      <c r="B26" s="132" t="str">
        <f>IFERROR(LOOKUP(2,1/(BallisticXGroups!$A$2:$A$200=$A26),BallisticXGroups!$D$2:$D$200),"")</f>
        <v/>
      </c>
      <c r="C26" s="134" t="str">
        <f>IFERROR(LOOKUP(2,1/(BallisticXGroups!$A$2:$A$200=$A26),BallisticXGroups!$E$2:$E$200),"")</f>
        <v/>
      </c>
      <c r="D26" s="141" t="str">
        <f>IFERROR(LOOKUP(2,1/(BallisticXGroups!$A$2:$A$200=$A26),BallisticXGroups!$G$2:$G$200),"")</f>
        <v/>
      </c>
      <c r="E26" s="141" t="str">
        <f>IFERROR(LOOKUP(2,1/(BallisticXGroups!$A$2:$A$200=$A26),BallisticXGroups!$H$2:$H$200),"")</f>
        <v/>
      </c>
      <c r="F26" s="141" t="str">
        <f>IFERROR(LOOKUP(2,1/(BallisticXGroups!$A$2:$A$200=$A26),BallisticXGroups!$I$2:$I$200),"")</f>
        <v/>
      </c>
      <c r="G26" s="141" t="str">
        <f>IFERROR(LOOKUP(2,1/(BallisticXGroups!$A$2:$A$200=$A26),BallisticXGroups!$J$2:$J$200),"")</f>
        <v/>
      </c>
      <c r="H26" s="141" t="str">
        <f>IFERROR(LOOKUP(2,1/(BallisticXGroups!$A$2:$A$200=$A26),BallisticXGroups!$K$2:$K$200),"")</f>
        <v/>
      </c>
      <c r="I26" s="141" t="str">
        <f>IFERROR(LOOKUP(2,1/(BallisticXGroups!$A$2:$A$200=$A26),BallisticXGroups!$L$2:$L$200),"")</f>
        <v/>
      </c>
      <c r="J26" s="141" t="str">
        <f>IFERROR(LOOKUP(2,1/(BallisticXGroups!$A$2:$A$200=$A26),BallisticXGroups!$M$2:$M$200),"")</f>
        <v/>
      </c>
      <c r="K26" s="141" t="str">
        <f>IFERROR(LOOKUP(2,1/(BallisticXGroups!$A$2:$A$200=$A26),BallisticXGroups!$N$2:$N$200),"")</f>
        <v/>
      </c>
      <c r="L26" s="132" t="str">
        <f>IFERROR(LOOKUP(2,1/(BallisticXGroups!$A$2:$A$200=$A26),BallisticXGroups!$F$2:$F$200),"")</f>
        <v/>
      </c>
      <c r="M26" s="133"/>
    </row>
    <row r="27" spans="1:13" ht="7.5" customHeight="1"/>
    <row r="28" spans="1:13" ht="26" customHeight="1">
      <c r="A28" s="209" t="s">
        <v>214</v>
      </c>
      <c r="B28" s="210"/>
      <c r="C28" s="210"/>
      <c r="D28" s="210"/>
      <c r="E28" s="210"/>
      <c r="F28" s="210"/>
      <c r="G28" s="210"/>
      <c r="H28" s="210"/>
      <c r="I28" s="210"/>
      <c r="J28" s="210"/>
      <c r="K28" s="210"/>
      <c r="L28" s="210"/>
      <c r="M28" s="210"/>
    </row>
    <row r="29" spans="1:13" ht="18.75" customHeight="1">
      <c r="A29" s="125"/>
      <c r="B29" s="126">
        <f>IFERROR(LOOKUP(2,1/(BallisticXGroups!$A$2:$A$200=$A29),BallisticXGroups!$D$2:$D$200),"")</f>
        <v>0</v>
      </c>
      <c r="C29" s="128">
        <f>IFERROR(LOOKUP(2,1/(BallisticXGroups!$A$2:$A$200=$A29),BallisticXGroups!$E$2:$E$200),"")</f>
        <v>0</v>
      </c>
      <c r="D29" s="140">
        <f>IFERROR(LOOKUP(2,1/(BallisticXGroups!$A$2:$A$200=$A29),BallisticXGroups!$G$2:$G$200),"")</f>
        <v>0</v>
      </c>
      <c r="E29" s="140">
        <f>IFERROR(LOOKUP(2,1/(BallisticXGroups!$A$2:$A$200=$A29),BallisticXGroups!$H$2:$H$200),"")</f>
        <v>0</v>
      </c>
      <c r="F29" s="140">
        <f>IFERROR(LOOKUP(2,1/(BallisticXGroups!$A$2:$A$200=$A29),BallisticXGroups!$I$2:$I$200),"")</f>
        <v>0</v>
      </c>
      <c r="G29" s="140">
        <f>IFERROR(LOOKUP(2,1/(BallisticXGroups!$A$2:$A$200=$A29),BallisticXGroups!$J$2:$J$200),"")</f>
        <v>0</v>
      </c>
      <c r="H29" s="140">
        <f>IFERROR(LOOKUP(2,1/(BallisticXGroups!$A$2:$A$200=$A29),BallisticXGroups!$K$2:$K$200),"")</f>
        <v>0</v>
      </c>
      <c r="I29" s="140">
        <f>IFERROR(LOOKUP(2,1/(BallisticXGroups!$A$2:$A$200=$A29),BallisticXGroups!$L$2:$L$200),"")</f>
        <v>0</v>
      </c>
      <c r="J29" s="140">
        <f>IFERROR(LOOKUP(2,1/(BallisticXGroups!$A$2:$A$200=$A29),BallisticXGroups!$M$2:$M$200),"")</f>
        <v>0</v>
      </c>
      <c r="K29" s="140">
        <f>IFERROR(LOOKUP(2,1/(BallisticXGroups!$A$2:$A$200=$A29),BallisticXGroups!$N$2:$N$200),"")</f>
        <v>0</v>
      </c>
      <c r="L29" s="126">
        <f>IFERROR(LOOKUP(2,1/(BallisticXGroups!$A$2:$A$200=$A29),BallisticXGroups!$F$2:$F$200),"")</f>
        <v>0</v>
      </c>
      <c r="M29" s="127"/>
    </row>
    <row r="30" spans="1:13" ht="18.75" customHeight="1">
      <c r="A30" s="131"/>
      <c r="B30" s="132">
        <f>IFERROR(LOOKUP(2,1/(BallisticXGroups!$A$2:$A$200=$A30),BallisticXGroups!$D$2:$D$200),"")</f>
        <v>0</v>
      </c>
      <c r="C30" s="134">
        <f>IFERROR(LOOKUP(2,1/(BallisticXGroups!$A$2:$A$200=$A30),BallisticXGroups!$E$2:$E$200),"")</f>
        <v>0</v>
      </c>
      <c r="D30" s="141">
        <f>IFERROR(LOOKUP(2,1/(BallisticXGroups!$A$2:$A$200=$A30),BallisticXGroups!$G$2:$G$200),"")</f>
        <v>0</v>
      </c>
      <c r="E30" s="141">
        <f>IFERROR(LOOKUP(2,1/(BallisticXGroups!$A$2:$A$200=$A30),BallisticXGroups!$H$2:$H$200),"")</f>
        <v>0</v>
      </c>
      <c r="F30" s="141">
        <f>IFERROR(LOOKUP(2,1/(BallisticXGroups!$A$2:$A$200=$A30),BallisticXGroups!$I$2:$I$200),"")</f>
        <v>0</v>
      </c>
      <c r="G30" s="141">
        <f>IFERROR(LOOKUP(2,1/(BallisticXGroups!$A$2:$A$200=$A30),BallisticXGroups!$J$2:$J$200),"")</f>
        <v>0</v>
      </c>
      <c r="H30" s="141">
        <f>IFERROR(LOOKUP(2,1/(BallisticXGroups!$A$2:$A$200=$A30),BallisticXGroups!$K$2:$K$200),"")</f>
        <v>0</v>
      </c>
      <c r="I30" s="141">
        <f>IFERROR(LOOKUP(2,1/(BallisticXGroups!$A$2:$A$200=$A30),BallisticXGroups!$L$2:$L$200),"")</f>
        <v>0</v>
      </c>
      <c r="J30" s="141">
        <f>IFERROR(LOOKUP(2,1/(BallisticXGroups!$A$2:$A$200=$A30),BallisticXGroups!$M$2:$M$200),"")</f>
        <v>0</v>
      </c>
      <c r="K30" s="141">
        <f>IFERROR(LOOKUP(2,1/(BallisticXGroups!$A$2:$A$200=$A30),BallisticXGroups!$N$2:$N$200),"")</f>
        <v>0</v>
      </c>
      <c r="L30" s="132">
        <f>IFERROR(LOOKUP(2,1/(BallisticXGroups!$A$2:$A$200=$A30),BallisticXGroups!$F$2:$F$200),"")</f>
        <v>0</v>
      </c>
      <c r="M30" s="133"/>
    </row>
    <row r="31" spans="1:13" ht="18.75" customHeight="1">
      <c r="A31" s="125"/>
      <c r="B31" s="126">
        <f>IFERROR(LOOKUP(2,1/(BallisticXGroups!$A$2:$A$200=$A31),BallisticXGroups!$D$2:$D$200),"")</f>
        <v>0</v>
      </c>
      <c r="C31" s="128">
        <f>IFERROR(LOOKUP(2,1/(BallisticXGroups!$A$2:$A$200=$A31),BallisticXGroups!$E$2:$E$200),"")</f>
        <v>0</v>
      </c>
      <c r="D31" s="140">
        <f>IFERROR(LOOKUP(2,1/(BallisticXGroups!$A$2:$A$200=$A31),BallisticXGroups!$G$2:$G$200),"")</f>
        <v>0</v>
      </c>
      <c r="E31" s="140">
        <f>IFERROR(LOOKUP(2,1/(BallisticXGroups!$A$2:$A$200=$A31),BallisticXGroups!$H$2:$H$200),"")</f>
        <v>0</v>
      </c>
      <c r="F31" s="140">
        <f>IFERROR(LOOKUP(2,1/(BallisticXGroups!$A$2:$A$200=$A31),BallisticXGroups!$I$2:$I$200),"")</f>
        <v>0</v>
      </c>
      <c r="G31" s="140">
        <f>IFERROR(LOOKUP(2,1/(BallisticXGroups!$A$2:$A$200=$A31),BallisticXGroups!$J$2:$J$200),"")</f>
        <v>0</v>
      </c>
      <c r="H31" s="140">
        <f>IFERROR(LOOKUP(2,1/(BallisticXGroups!$A$2:$A$200=$A31),BallisticXGroups!$K$2:$K$200),"")</f>
        <v>0</v>
      </c>
      <c r="I31" s="140">
        <f>IFERROR(LOOKUP(2,1/(BallisticXGroups!$A$2:$A$200=$A31),BallisticXGroups!$L$2:$L$200),"")</f>
        <v>0</v>
      </c>
      <c r="J31" s="140">
        <f>IFERROR(LOOKUP(2,1/(BallisticXGroups!$A$2:$A$200=$A31),BallisticXGroups!$M$2:$M$200),"")</f>
        <v>0</v>
      </c>
      <c r="K31" s="140">
        <f>IFERROR(LOOKUP(2,1/(BallisticXGroups!$A$2:$A$200=$A31),BallisticXGroups!$N$2:$N$200),"")</f>
        <v>0</v>
      </c>
      <c r="L31" s="126">
        <f>IFERROR(LOOKUP(2,1/(BallisticXGroups!$A$2:$A$200=$A31),BallisticXGroups!$F$2:$F$200),"")</f>
        <v>0</v>
      </c>
      <c r="M31" s="127"/>
    </row>
    <row r="32" spans="1:13" ht="18.75" customHeight="1">
      <c r="A32" s="131"/>
      <c r="B32" s="132">
        <f>IFERROR(LOOKUP(2,1/(BallisticXGroups!$A$2:$A$200=$A32),BallisticXGroups!$D$2:$D$200),"")</f>
        <v>0</v>
      </c>
      <c r="C32" s="134">
        <f>IFERROR(LOOKUP(2,1/(BallisticXGroups!$A$2:$A$200=$A32),BallisticXGroups!$E$2:$E$200),"")</f>
        <v>0</v>
      </c>
      <c r="D32" s="141">
        <f>IFERROR(LOOKUP(2,1/(BallisticXGroups!$A$2:$A$200=$A32),BallisticXGroups!$G$2:$G$200),"")</f>
        <v>0</v>
      </c>
      <c r="E32" s="141">
        <f>IFERROR(LOOKUP(2,1/(BallisticXGroups!$A$2:$A$200=$A32),BallisticXGroups!$H$2:$H$200),"")</f>
        <v>0</v>
      </c>
      <c r="F32" s="141">
        <f>IFERROR(LOOKUP(2,1/(BallisticXGroups!$A$2:$A$200=$A32),BallisticXGroups!$I$2:$I$200),"")</f>
        <v>0</v>
      </c>
      <c r="G32" s="141">
        <f>IFERROR(LOOKUP(2,1/(BallisticXGroups!$A$2:$A$200=$A32),BallisticXGroups!$J$2:$J$200),"")</f>
        <v>0</v>
      </c>
      <c r="H32" s="141">
        <f>IFERROR(LOOKUP(2,1/(BallisticXGroups!$A$2:$A$200=$A32),BallisticXGroups!$K$2:$K$200),"")</f>
        <v>0</v>
      </c>
      <c r="I32" s="141">
        <f>IFERROR(LOOKUP(2,1/(BallisticXGroups!$A$2:$A$200=$A32),BallisticXGroups!$L$2:$L$200),"")</f>
        <v>0</v>
      </c>
      <c r="J32" s="141">
        <f>IFERROR(LOOKUP(2,1/(BallisticXGroups!$A$2:$A$200=$A32),BallisticXGroups!$M$2:$M$200),"")</f>
        <v>0</v>
      </c>
      <c r="K32" s="141">
        <f>IFERROR(LOOKUP(2,1/(BallisticXGroups!$A$2:$A$200=$A32),BallisticXGroups!$N$2:$N$200),"")</f>
        <v>0</v>
      </c>
      <c r="L32" s="132">
        <f>IFERROR(LOOKUP(2,1/(BallisticXGroups!$A$2:$A$200=$A32),BallisticXGroups!$F$2:$F$200),"")</f>
        <v>0</v>
      </c>
      <c r="M32" s="133"/>
    </row>
    <row r="33" spans="1:13" ht="18.75" customHeight="1">
      <c r="A33" s="125"/>
      <c r="B33" s="126">
        <f>IFERROR(LOOKUP(2,1/(BallisticXGroups!$A$2:$A$200=$A33),BallisticXGroups!$D$2:$D$200),"")</f>
        <v>0</v>
      </c>
      <c r="C33" s="128">
        <f>IFERROR(LOOKUP(2,1/(BallisticXGroups!$A$2:$A$200=$A33),BallisticXGroups!$E$2:$E$200),"")</f>
        <v>0</v>
      </c>
      <c r="D33" s="140">
        <f>IFERROR(LOOKUP(2,1/(BallisticXGroups!$A$2:$A$200=$A33),BallisticXGroups!$G$2:$G$200),"")</f>
        <v>0</v>
      </c>
      <c r="E33" s="140">
        <f>IFERROR(LOOKUP(2,1/(BallisticXGroups!$A$2:$A$200=$A33),BallisticXGroups!$H$2:$H$200),"")</f>
        <v>0</v>
      </c>
      <c r="F33" s="140">
        <f>IFERROR(LOOKUP(2,1/(BallisticXGroups!$A$2:$A$200=$A33),BallisticXGroups!$I$2:$I$200),"")</f>
        <v>0</v>
      </c>
      <c r="G33" s="140">
        <f>IFERROR(LOOKUP(2,1/(BallisticXGroups!$A$2:$A$200=$A33),BallisticXGroups!$J$2:$J$200),"")</f>
        <v>0</v>
      </c>
      <c r="H33" s="140">
        <f>IFERROR(LOOKUP(2,1/(BallisticXGroups!$A$2:$A$200=$A33),BallisticXGroups!$K$2:$K$200),"")</f>
        <v>0</v>
      </c>
      <c r="I33" s="140">
        <f>IFERROR(LOOKUP(2,1/(BallisticXGroups!$A$2:$A$200=$A33),BallisticXGroups!$L$2:$L$200),"")</f>
        <v>0</v>
      </c>
      <c r="J33" s="140">
        <f>IFERROR(LOOKUP(2,1/(BallisticXGroups!$A$2:$A$200=$A33),BallisticXGroups!$M$2:$M$200),"")</f>
        <v>0</v>
      </c>
      <c r="K33" s="140">
        <f>IFERROR(LOOKUP(2,1/(BallisticXGroups!$A$2:$A$200=$A33),BallisticXGroups!$N$2:$N$200),"")</f>
        <v>0</v>
      </c>
      <c r="L33" s="126">
        <f>IFERROR(LOOKUP(2,1/(BallisticXGroups!$A$2:$A$200=$A33),BallisticXGroups!$F$2:$F$200),"")</f>
        <v>0</v>
      </c>
      <c r="M33" s="127"/>
    </row>
    <row r="34" spans="1:13" ht="18.75" customHeight="1">
      <c r="A34" s="131"/>
      <c r="B34" s="132">
        <f>IFERROR(LOOKUP(2,1/(BallisticXGroups!$A$2:$A$200=$A34),BallisticXGroups!$D$2:$D$200),"")</f>
        <v>0</v>
      </c>
      <c r="C34" s="134">
        <f>IFERROR(LOOKUP(2,1/(BallisticXGroups!$A$2:$A$200=$A34),BallisticXGroups!$E$2:$E$200),"")</f>
        <v>0</v>
      </c>
      <c r="D34" s="141">
        <f>IFERROR(LOOKUP(2,1/(BallisticXGroups!$A$2:$A$200=$A34),BallisticXGroups!$G$2:$G$200),"")</f>
        <v>0</v>
      </c>
      <c r="E34" s="141">
        <f>IFERROR(LOOKUP(2,1/(BallisticXGroups!$A$2:$A$200=$A34),BallisticXGroups!$H$2:$H$200),"")</f>
        <v>0</v>
      </c>
      <c r="F34" s="141">
        <f>IFERROR(LOOKUP(2,1/(BallisticXGroups!$A$2:$A$200=$A34),BallisticXGroups!$I$2:$I$200),"")</f>
        <v>0</v>
      </c>
      <c r="G34" s="141">
        <f>IFERROR(LOOKUP(2,1/(BallisticXGroups!$A$2:$A$200=$A34),BallisticXGroups!$J$2:$J$200),"")</f>
        <v>0</v>
      </c>
      <c r="H34" s="141">
        <f>IFERROR(LOOKUP(2,1/(BallisticXGroups!$A$2:$A$200=$A34),BallisticXGroups!$K$2:$K$200),"")</f>
        <v>0</v>
      </c>
      <c r="I34" s="141">
        <f>IFERROR(LOOKUP(2,1/(BallisticXGroups!$A$2:$A$200=$A34),BallisticXGroups!$L$2:$L$200),"")</f>
        <v>0</v>
      </c>
      <c r="J34" s="141">
        <f>IFERROR(LOOKUP(2,1/(BallisticXGroups!$A$2:$A$200=$A34),BallisticXGroups!$M$2:$M$200),"")</f>
        <v>0</v>
      </c>
      <c r="K34" s="141">
        <f>IFERROR(LOOKUP(2,1/(BallisticXGroups!$A$2:$A$200=$A34),BallisticXGroups!$N$2:$N$200),"")</f>
        <v>0</v>
      </c>
      <c r="L34" s="132">
        <f>IFERROR(LOOKUP(2,1/(BallisticXGroups!$A$2:$A$200=$A34),BallisticXGroups!$F$2:$F$200),"")</f>
        <v>0</v>
      </c>
      <c r="M34" s="133"/>
    </row>
    <row r="35" spans="1:13" ht="18.75" customHeight="1">
      <c r="A35" s="125"/>
      <c r="B35" s="126">
        <f>IFERROR(LOOKUP(2,1/(BallisticXGroups!$A$2:$A$200=$A35),BallisticXGroups!$D$2:$D$200),"")</f>
        <v>0</v>
      </c>
      <c r="C35" s="128">
        <f>IFERROR(LOOKUP(2,1/(BallisticXGroups!$A$2:$A$200=$A35),BallisticXGroups!$E$2:$E$200),"")</f>
        <v>0</v>
      </c>
      <c r="D35" s="140">
        <f>IFERROR(LOOKUP(2,1/(BallisticXGroups!$A$2:$A$200=$A35),BallisticXGroups!$G$2:$G$200),"")</f>
        <v>0</v>
      </c>
      <c r="E35" s="140">
        <f>IFERROR(LOOKUP(2,1/(BallisticXGroups!$A$2:$A$200=$A35),BallisticXGroups!$H$2:$H$200),"")</f>
        <v>0</v>
      </c>
      <c r="F35" s="140">
        <f>IFERROR(LOOKUP(2,1/(BallisticXGroups!$A$2:$A$200=$A35),BallisticXGroups!$I$2:$I$200),"")</f>
        <v>0</v>
      </c>
      <c r="G35" s="140">
        <f>IFERROR(LOOKUP(2,1/(BallisticXGroups!$A$2:$A$200=$A35),BallisticXGroups!$J$2:$J$200),"")</f>
        <v>0</v>
      </c>
      <c r="H35" s="140">
        <f>IFERROR(LOOKUP(2,1/(BallisticXGroups!$A$2:$A$200=$A35),BallisticXGroups!$K$2:$K$200),"")</f>
        <v>0</v>
      </c>
      <c r="I35" s="140">
        <f>IFERROR(LOOKUP(2,1/(BallisticXGroups!$A$2:$A$200=$A35),BallisticXGroups!$L$2:$L$200),"")</f>
        <v>0</v>
      </c>
      <c r="J35" s="140">
        <f>IFERROR(LOOKUP(2,1/(BallisticXGroups!$A$2:$A$200=$A35),BallisticXGroups!$M$2:$M$200),"")</f>
        <v>0</v>
      </c>
      <c r="K35" s="140">
        <f>IFERROR(LOOKUP(2,1/(BallisticXGroups!$A$2:$A$200=$A35),BallisticXGroups!$N$2:$N$200),"")</f>
        <v>0</v>
      </c>
      <c r="L35" s="126">
        <f>IFERROR(LOOKUP(2,1/(BallisticXGroups!$A$2:$A$200=$A35),BallisticXGroups!$F$2:$F$200),"")</f>
        <v>0</v>
      </c>
      <c r="M35" s="127"/>
    </row>
    <row r="36" spans="1:13" ht="18.75" customHeight="1">
      <c r="A36" s="131"/>
      <c r="B36" s="132">
        <f>IFERROR(LOOKUP(2,1/(BallisticXGroups!$A$2:$A$200=$A36),BallisticXGroups!$D$2:$D$200),"")</f>
        <v>0</v>
      </c>
      <c r="C36" s="134">
        <f>IFERROR(LOOKUP(2,1/(BallisticXGroups!$A$2:$A$200=$A36),BallisticXGroups!$E$2:$E$200),"")</f>
        <v>0</v>
      </c>
      <c r="D36" s="141">
        <f>IFERROR(LOOKUP(2,1/(BallisticXGroups!$A$2:$A$200=$A36),BallisticXGroups!$G$2:$G$200),"")</f>
        <v>0</v>
      </c>
      <c r="E36" s="141">
        <f>IFERROR(LOOKUP(2,1/(BallisticXGroups!$A$2:$A$200=$A36),BallisticXGroups!$H$2:$H$200),"")</f>
        <v>0</v>
      </c>
      <c r="F36" s="141">
        <f>IFERROR(LOOKUP(2,1/(BallisticXGroups!$A$2:$A$200=$A36),BallisticXGroups!$I$2:$I$200),"")</f>
        <v>0</v>
      </c>
      <c r="G36" s="141">
        <f>IFERROR(LOOKUP(2,1/(BallisticXGroups!$A$2:$A$200=$A36),BallisticXGroups!$J$2:$J$200),"")</f>
        <v>0</v>
      </c>
      <c r="H36" s="141">
        <f>IFERROR(LOOKUP(2,1/(BallisticXGroups!$A$2:$A$200=$A36),BallisticXGroups!$K$2:$K$200),"")</f>
        <v>0</v>
      </c>
      <c r="I36" s="141">
        <f>IFERROR(LOOKUP(2,1/(BallisticXGroups!$A$2:$A$200=$A36),BallisticXGroups!$L$2:$L$200),"")</f>
        <v>0</v>
      </c>
      <c r="J36" s="141">
        <f>IFERROR(LOOKUP(2,1/(BallisticXGroups!$A$2:$A$200=$A36),BallisticXGroups!$M$2:$M$200),"")</f>
        <v>0</v>
      </c>
      <c r="K36" s="141">
        <f>IFERROR(LOOKUP(2,1/(BallisticXGroups!$A$2:$A$200=$A36),BallisticXGroups!$N$2:$N$200),"")</f>
        <v>0</v>
      </c>
      <c r="L36" s="132">
        <f>IFERROR(LOOKUP(2,1/(BallisticXGroups!$A$2:$A$200=$A36),BallisticXGroups!$F$2:$F$200),"")</f>
        <v>0</v>
      </c>
      <c r="M36" s="133"/>
    </row>
    <row r="37" spans="1:13" ht="18.75" customHeight="1">
      <c r="A37" s="125"/>
      <c r="B37" s="126">
        <f>IFERROR(LOOKUP(2,1/(BallisticXGroups!$A$2:$A$200=$A37),BallisticXGroups!$D$2:$D$200),"")</f>
        <v>0</v>
      </c>
      <c r="C37" s="128">
        <f>IFERROR(LOOKUP(2,1/(BallisticXGroups!$A$2:$A$200=$A37),BallisticXGroups!$E$2:$E$200),"")</f>
        <v>0</v>
      </c>
      <c r="D37" s="140">
        <f>IFERROR(LOOKUP(2,1/(BallisticXGroups!$A$2:$A$200=$A37),BallisticXGroups!$G$2:$G$200),"")</f>
        <v>0</v>
      </c>
      <c r="E37" s="140">
        <f>IFERROR(LOOKUP(2,1/(BallisticXGroups!$A$2:$A$200=$A37),BallisticXGroups!$H$2:$H$200),"")</f>
        <v>0</v>
      </c>
      <c r="F37" s="140">
        <f>IFERROR(LOOKUP(2,1/(BallisticXGroups!$A$2:$A$200=$A37),BallisticXGroups!$I$2:$I$200),"")</f>
        <v>0</v>
      </c>
      <c r="G37" s="140">
        <f>IFERROR(LOOKUP(2,1/(BallisticXGroups!$A$2:$A$200=$A37),BallisticXGroups!$J$2:$J$200),"")</f>
        <v>0</v>
      </c>
      <c r="H37" s="140">
        <f>IFERROR(LOOKUP(2,1/(BallisticXGroups!$A$2:$A$200=$A37),BallisticXGroups!$K$2:$K$200),"")</f>
        <v>0</v>
      </c>
      <c r="I37" s="140">
        <f>IFERROR(LOOKUP(2,1/(BallisticXGroups!$A$2:$A$200=$A37),BallisticXGroups!$L$2:$L$200),"")</f>
        <v>0</v>
      </c>
      <c r="J37" s="140">
        <f>IFERROR(LOOKUP(2,1/(BallisticXGroups!$A$2:$A$200=$A37),BallisticXGroups!$M$2:$M$200),"")</f>
        <v>0</v>
      </c>
      <c r="K37" s="140">
        <f>IFERROR(LOOKUP(2,1/(BallisticXGroups!$A$2:$A$200=$A37),BallisticXGroups!$N$2:$N$200),"")</f>
        <v>0</v>
      </c>
      <c r="L37" s="126">
        <f>IFERROR(LOOKUP(2,1/(BallisticXGroups!$A$2:$A$200=$A37),BallisticXGroups!$F$2:$F$200),"")</f>
        <v>0</v>
      </c>
      <c r="M37" s="127"/>
    </row>
    <row r="38" spans="1:13" ht="18.75" customHeight="1">
      <c r="A38" s="131"/>
      <c r="B38" s="132">
        <f>IFERROR(LOOKUP(2,1/(BallisticXGroups!$A$2:$A$200=$A38),BallisticXGroups!$D$2:$D$200),"")</f>
        <v>0</v>
      </c>
      <c r="C38" s="134">
        <f>IFERROR(LOOKUP(2,1/(BallisticXGroups!$A$2:$A$200=$A38),BallisticXGroups!$E$2:$E$200),"")</f>
        <v>0</v>
      </c>
      <c r="D38" s="141">
        <f>IFERROR(LOOKUP(2,1/(BallisticXGroups!$A$2:$A$200=$A38),BallisticXGroups!$G$2:$G$200),"")</f>
        <v>0</v>
      </c>
      <c r="E38" s="141">
        <f>IFERROR(LOOKUP(2,1/(BallisticXGroups!$A$2:$A$200=$A38),BallisticXGroups!$H$2:$H$200),"")</f>
        <v>0</v>
      </c>
      <c r="F38" s="141">
        <f>IFERROR(LOOKUP(2,1/(BallisticXGroups!$A$2:$A$200=$A38),BallisticXGroups!$I$2:$I$200),"")</f>
        <v>0</v>
      </c>
      <c r="G38" s="141">
        <f>IFERROR(LOOKUP(2,1/(BallisticXGroups!$A$2:$A$200=$A38),BallisticXGroups!$J$2:$J$200),"")</f>
        <v>0</v>
      </c>
      <c r="H38" s="141">
        <f>IFERROR(LOOKUP(2,1/(BallisticXGroups!$A$2:$A$200=$A38),BallisticXGroups!$K$2:$K$200),"")</f>
        <v>0</v>
      </c>
      <c r="I38" s="141">
        <f>IFERROR(LOOKUP(2,1/(BallisticXGroups!$A$2:$A$200=$A38),BallisticXGroups!$L$2:$L$200),"")</f>
        <v>0</v>
      </c>
      <c r="J38" s="141">
        <f>IFERROR(LOOKUP(2,1/(BallisticXGroups!$A$2:$A$200=$A38),BallisticXGroups!$M$2:$M$200),"")</f>
        <v>0</v>
      </c>
      <c r="K38" s="141">
        <f>IFERROR(LOOKUP(2,1/(BallisticXGroups!$A$2:$A$200=$A38),BallisticXGroups!$N$2:$N$200),"")</f>
        <v>0</v>
      </c>
      <c r="L38" s="132">
        <f>IFERROR(LOOKUP(2,1/(BallisticXGroups!$A$2:$A$200=$A38),BallisticXGroups!$F$2:$F$200),"")</f>
        <v>0</v>
      </c>
      <c r="M38" s="133"/>
    </row>
    <row r="39" spans="1:13" ht="18.75" customHeight="1">
      <c r="A39" s="125"/>
      <c r="B39" s="126">
        <f>IFERROR(LOOKUP(2,1/(BallisticXGroups!$A$2:$A$200=$A39),BallisticXGroups!$D$2:$D$200),"")</f>
        <v>0</v>
      </c>
      <c r="C39" s="128">
        <f>IFERROR(LOOKUP(2,1/(BallisticXGroups!$A$2:$A$200=$A39),BallisticXGroups!$E$2:$E$200),"")</f>
        <v>0</v>
      </c>
      <c r="D39" s="140">
        <f>IFERROR(LOOKUP(2,1/(BallisticXGroups!$A$2:$A$200=$A39),BallisticXGroups!$G$2:$G$200),"")</f>
        <v>0</v>
      </c>
      <c r="E39" s="140">
        <f>IFERROR(LOOKUP(2,1/(BallisticXGroups!$A$2:$A$200=$A39),BallisticXGroups!$H$2:$H$200),"")</f>
        <v>0</v>
      </c>
      <c r="F39" s="140">
        <f>IFERROR(LOOKUP(2,1/(BallisticXGroups!$A$2:$A$200=$A39),BallisticXGroups!$I$2:$I$200),"")</f>
        <v>0</v>
      </c>
      <c r="G39" s="140">
        <f>IFERROR(LOOKUP(2,1/(BallisticXGroups!$A$2:$A$200=$A39),BallisticXGroups!$J$2:$J$200),"")</f>
        <v>0</v>
      </c>
      <c r="H39" s="140">
        <f>IFERROR(LOOKUP(2,1/(BallisticXGroups!$A$2:$A$200=$A39),BallisticXGroups!$K$2:$K$200),"")</f>
        <v>0</v>
      </c>
      <c r="I39" s="140">
        <f>IFERROR(LOOKUP(2,1/(BallisticXGroups!$A$2:$A$200=$A39),BallisticXGroups!$L$2:$L$200),"")</f>
        <v>0</v>
      </c>
      <c r="J39" s="140">
        <f>IFERROR(LOOKUP(2,1/(BallisticXGroups!$A$2:$A$200=$A39),BallisticXGroups!$M$2:$M$200),"")</f>
        <v>0</v>
      </c>
      <c r="K39" s="140">
        <f>IFERROR(LOOKUP(2,1/(BallisticXGroups!$A$2:$A$200=$A39),BallisticXGroups!$N$2:$N$200),"")</f>
        <v>0</v>
      </c>
      <c r="L39" s="126">
        <f>IFERROR(LOOKUP(2,1/(BallisticXGroups!$A$2:$A$200=$A39),BallisticXGroups!$F$2:$F$200),"")</f>
        <v>0</v>
      </c>
      <c r="M39" s="127"/>
    </row>
    <row r="40" spans="1:13" ht="18.75" customHeight="1">
      <c r="A40" s="131"/>
      <c r="B40" s="132">
        <f>IFERROR(LOOKUP(2,1/(BallisticXGroups!$A$2:$A$200=$A40),BallisticXGroups!$D$2:$D$200),"")</f>
        <v>0</v>
      </c>
      <c r="C40" s="134">
        <f>IFERROR(LOOKUP(2,1/(BallisticXGroups!$A$2:$A$200=$A40),BallisticXGroups!$E$2:$E$200),"")</f>
        <v>0</v>
      </c>
      <c r="D40" s="141">
        <f>IFERROR(LOOKUP(2,1/(BallisticXGroups!$A$2:$A$200=$A40),BallisticXGroups!$G$2:$G$200),"")</f>
        <v>0</v>
      </c>
      <c r="E40" s="141">
        <f>IFERROR(LOOKUP(2,1/(BallisticXGroups!$A$2:$A$200=$A40),BallisticXGroups!$H$2:$H$200),"")</f>
        <v>0</v>
      </c>
      <c r="F40" s="141">
        <f>IFERROR(LOOKUP(2,1/(BallisticXGroups!$A$2:$A$200=$A40),BallisticXGroups!$I$2:$I$200),"")</f>
        <v>0</v>
      </c>
      <c r="G40" s="141">
        <f>IFERROR(LOOKUP(2,1/(BallisticXGroups!$A$2:$A$200=$A40),BallisticXGroups!$J$2:$J$200),"")</f>
        <v>0</v>
      </c>
      <c r="H40" s="141">
        <f>IFERROR(LOOKUP(2,1/(BallisticXGroups!$A$2:$A$200=$A40),BallisticXGroups!$K$2:$K$200),"")</f>
        <v>0</v>
      </c>
      <c r="I40" s="141">
        <f>IFERROR(LOOKUP(2,1/(BallisticXGroups!$A$2:$A$200=$A40),BallisticXGroups!$L$2:$L$200),"")</f>
        <v>0</v>
      </c>
      <c r="J40" s="141">
        <f>IFERROR(LOOKUP(2,1/(BallisticXGroups!$A$2:$A$200=$A40),BallisticXGroups!$M$2:$M$200),"")</f>
        <v>0</v>
      </c>
      <c r="K40" s="141">
        <f>IFERROR(LOOKUP(2,1/(BallisticXGroups!$A$2:$A$200=$A40),BallisticXGroups!$N$2:$N$200),"")</f>
        <v>0</v>
      </c>
      <c r="L40" s="132">
        <f>IFERROR(LOOKUP(2,1/(BallisticXGroups!$A$2:$A$200=$A40),BallisticXGroups!$F$2:$F$200),"")</f>
        <v>0</v>
      </c>
      <c r="M40" s="133"/>
    </row>
    <row r="41" spans="1:13" ht="18.75" customHeight="1">
      <c r="A41" s="125"/>
      <c r="B41" s="126">
        <f>IFERROR(LOOKUP(2,1/(BallisticXGroups!$A$2:$A$200=$A41),BallisticXGroups!$D$2:$D$200),"")</f>
        <v>0</v>
      </c>
      <c r="C41" s="128">
        <f>IFERROR(LOOKUP(2,1/(BallisticXGroups!$A$2:$A$200=$A41),BallisticXGroups!$E$2:$E$200),"")</f>
        <v>0</v>
      </c>
      <c r="D41" s="140">
        <f>IFERROR(LOOKUP(2,1/(BallisticXGroups!$A$2:$A$200=$A41),BallisticXGroups!$G$2:$G$200),"")</f>
        <v>0</v>
      </c>
      <c r="E41" s="140">
        <f>IFERROR(LOOKUP(2,1/(BallisticXGroups!$A$2:$A$200=$A41),BallisticXGroups!$H$2:$H$200),"")</f>
        <v>0</v>
      </c>
      <c r="F41" s="140">
        <f>IFERROR(LOOKUP(2,1/(BallisticXGroups!$A$2:$A$200=$A41),BallisticXGroups!$I$2:$I$200),"")</f>
        <v>0</v>
      </c>
      <c r="G41" s="140">
        <f>IFERROR(LOOKUP(2,1/(BallisticXGroups!$A$2:$A$200=$A41),BallisticXGroups!$J$2:$J$200),"")</f>
        <v>0</v>
      </c>
      <c r="H41" s="140">
        <f>IFERROR(LOOKUP(2,1/(BallisticXGroups!$A$2:$A$200=$A41),BallisticXGroups!$K$2:$K$200),"")</f>
        <v>0</v>
      </c>
      <c r="I41" s="140">
        <f>IFERROR(LOOKUP(2,1/(BallisticXGroups!$A$2:$A$200=$A41),BallisticXGroups!$L$2:$L$200),"")</f>
        <v>0</v>
      </c>
      <c r="J41" s="140">
        <f>IFERROR(LOOKUP(2,1/(BallisticXGroups!$A$2:$A$200=$A41),BallisticXGroups!$M$2:$M$200),"")</f>
        <v>0</v>
      </c>
      <c r="K41" s="140">
        <f>IFERROR(LOOKUP(2,1/(BallisticXGroups!$A$2:$A$200=$A41),BallisticXGroups!$N$2:$N$200),"")</f>
        <v>0</v>
      </c>
      <c r="L41" s="126">
        <f>IFERROR(LOOKUP(2,1/(BallisticXGroups!$A$2:$A$200=$A41),BallisticXGroups!$F$2:$F$200),"")</f>
        <v>0</v>
      </c>
      <c r="M41" s="127"/>
    </row>
    <row r="42" spans="1:13" ht="18.75" customHeight="1">
      <c r="A42" s="131"/>
      <c r="B42" s="132">
        <f>IFERROR(LOOKUP(2,1/(BallisticXGroups!$A$2:$A$200=$A42),BallisticXGroups!$D$2:$D$200),"")</f>
        <v>0</v>
      </c>
      <c r="C42" s="134">
        <f>IFERROR(LOOKUP(2,1/(BallisticXGroups!$A$2:$A$200=$A42),BallisticXGroups!$E$2:$E$200),"")</f>
        <v>0</v>
      </c>
      <c r="D42" s="141">
        <f>IFERROR(LOOKUP(2,1/(BallisticXGroups!$A$2:$A$200=$A42),BallisticXGroups!$G$2:$G$200),"")</f>
        <v>0</v>
      </c>
      <c r="E42" s="141">
        <f>IFERROR(LOOKUP(2,1/(BallisticXGroups!$A$2:$A$200=$A42),BallisticXGroups!$H$2:$H$200),"")</f>
        <v>0</v>
      </c>
      <c r="F42" s="141">
        <f>IFERROR(LOOKUP(2,1/(BallisticXGroups!$A$2:$A$200=$A42),BallisticXGroups!$I$2:$I$200),"")</f>
        <v>0</v>
      </c>
      <c r="G42" s="141">
        <f>IFERROR(LOOKUP(2,1/(BallisticXGroups!$A$2:$A$200=$A42),BallisticXGroups!$J$2:$J$200),"")</f>
        <v>0</v>
      </c>
      <c r="H42" s="141">
        <f>IFERROR(LOOKUP(2,1/(BallisticXGroups!$A$2:$A$200=$A42),BallisticXGroups!$K$2:$K$200),"")</f>
        <v>0</v>
      </c>
      <c r="I42" s="141">
        <f>IFERROR(LOOKUP(2,1/(BallisticXGroups!$A$2:$A$200=$A42),BallisticXGroups!$L$2:$L$200),"")</f>
        <v>0</v>
      </c>
      <c r="J42" s="141">
        <f>IFERROR(LOOKUP(2,1/(BallisticXGroups!$A$2:$A$200=$A42),BallisticXGroups!$M$2:$M$200),"")</f>
        <v>0</v>
      </c>
      <c r="K42" s="141">
        <f>IFERROR(LOOKUP(2,1/(BallisticXGroups!$A$2:$A$200=$A42),BallisticXGroups!$N$2:$N$200),"")</f>
        <v>0</v>
      </c>
      <c r="L42" s="132">
        <f>IFERROR(LOOKUP(2,1/(BallisticXGroups!$A$2:$A$200=$A42),BallisticXGroups!$F$2:$F$200),"")</f>
        <v>0</v>
      </c>
      <c r="M42" s="133"/>
    </row>
    <row r="43" spans="1:13" ht="18.75" customHeight="1">
      <c r="A43" s="125"/>
      <c r="B43" s="126">
        <f>IFERROR(LOOKUP(2,1/(BallisticXGroups!$A$2:$A$200=$A43),BallisticXGroups!$D$2:$D$200),"")</f>
        <v>0</v>
      </c>
      <c r="C43" s="128">
        <f>IFERROR(LOOKUP(2,1/(BallisticXGroups!$A$2:$A$200=$A43),BallisticXGroups!$E$2:$E$200),"")</f>
        <v>0</v>
      </c>
      <c r="D43" s="140">
        <f>IFERROR(LOOKUP(2,1/(BallisticXGroups!$A$2:$A$200=$A43),BallisticXGroups!$G$2:$G$200),"")</f>
        <v>0</v>
      </c>
      <c r="E43" s="140">
        <f>IFERROR(LOOKUP(2,1/(BallisticXGroups!$A$2:$A$200=$A43),BallisticXGroups!$H$2:$H$200),"")</f>
        <v>0</v>
      </c>
      <c r="F43" s="140">
        <f>IFERROR(LOOKUP(2,1/(BallisticXGroups!$A$2:$A$200=$A43),BallisticXGroups!$I$2:$I$200),"")</f>
        <v>0</v>
      </c>
      <c r="G43" s="140">
        <f>IFERROR(LOOKUP(2,1/(BallisticXGroups!$A$2:$A$200=$A43),BallisticXGroups!$J$2:$J$200),"")</f>
        <v>0</v>
      </c>
      <c r="H43" s="140">
        <f>IFERROR(LOOKUP(2,1/(BallisticXGroups!$A$2:$A$200=$A43),BallisticXGroups!$K$2:$K$200),"")</f>
        <v>0</v>
      </c>
      <c r="I43" s="140">
        <f>IFERROR(LOOKUP(2,1/(BallisticXGroups!$A$2:$A$200=$A43),BallisticXGroups!$L$2:$L$200),"")</f>
        <v>0</v>
      </c>
      <c r="J43" s="140">
        <f>IFERROR(LOOKUP(2,1/(BallisticXGroups!$A$2:$A$200=$A43),BallisticXGroups!$M$2:$M$200),"")</f>
        <v>0</v>
      </c>
      <c r="K43" s="140">
        <f>IFERROR(LOOKUP(2,1/(BallisticXGroups!$A$2:$A$200=$A43),BallisticXGroups!$N$2:$N$200),"")</f>
        <v>0</v>
      </c>
      <c r="L43" s="126">
        <f>IFERROR(LOOKUP(2,1/(BallisticXGroups!$A$2:$A$200=$A43),BallisticXGroups!$F$2:$F$200),"")</f>
        <v>0</v>
      </c>
      <c r="M43" s="127"/>
    </row>
    <row r="45" spans="1:13" ht="26" customHeight="1">
      <c r="A45" s="209" t="s">
        <v>201</v>
      </c>
      <c r="B45" s="210"/>
      <c r="C45" s="210"/>
      <c r="D45" s="210"/>
      <c r="E45" s="210"/>
      <c r="F45" s="210"/>
      <c r="G45" s="210"/>
      <c r="H45" s="210"/>
      <c r="I45" s="210"/>
      <c r="J45" s="210"/>
      <c r="K45" s="210"/>
      <c r="L45" s="210"/>
      <c r="M45" s="210"/>
    </row>
    <row r="46" spans="1:13" ht="21.75" customHeight="1">
      <c r="A46" s="207" t="s">
        <v>215</v>
      </c>
      <c r="B46" s="169"/>
      <c r="C46" s="169"/>
      <c r="D46" s="169"/>
      <c r="E46" s="154"/>
      <c r="F46" s="154"/>
      <c r="G46" s="169"/>
      <c r="H46" s="154"/>
      <c r="I46" s="169"/>
      <c r="J46" s="154"/>
      <c r="K46" s="154"/>
      <c r="L46" s="169"/>
      <c r="M46" s="169"/>
    </row>
    <row r="47" spans="1:13" ht="21.75" customHeight="1">
      <c r="A47" s="169"/>
      <c r="B47" s="169"/>
      <c r="C47" s="169"/>
      <c r="D47" s="169"/>
      <c r="E47" s="154"/>
      <c r="F47" s="154"/>
      <c r="G47" s="169"/>
      <c r="H47" s="154"/>
      <c r="I47" s="169"/>
      <c r="J47" s="154"/>
      <c r="K47" s="154"/>
      <c r="L47" s="169"/>
      <c r="M47" s="169"/>
    </row>
    <row r="48" spans="1:13" ht="21.75" customHeight="1">
      <c r="A48" s="169"/>
      <c r="B48" s="169"/>
      <c r="C48" s="169"/>
      <c r="D48" s="169"/>
      <c r="E48" s="154"/>
      <c r="F48" s="154"/>
      <c r="G48" s="169"/>
      <c r="H48" s="154"/>
      <c r="I48" s="169"/>
      <c r="J48" s="154"/>
      <c r="K48" s="154"/>
      <c r="L48" s="169"/>
      <c r="M48" s="169"/>
    </row>
    <row r="49" spans="1:13" ht="21.75" customHeight="1">
      <c r="A49" s="169"/>
      <c r="B49" s="169"/>
      <c r="C49" s="169"/>
      <c r="D49" s="169"/>
      <c r="E49" s="154"/>
      <c r="F49" s="154"/>
      <c r="G49" s="169"/>
      <c r="H49" s="154"/>
      <c r="I49" s="169"/>
      <c r="J49" s="154"/>
      <c r="K49" s="154"/>
      <c r="L49" s="169"/>
      <c r="M49" s="169"/>
    </row>
    <row r="50" spans="1:13" ht="21.75" customHeight="1">
      <c r="A50" s="169"/>
      <c r="B50" s="169"/>
      <c r="C50" s="169"/>
      <c r="D50" s="169"/>
      <c r="E50" s="154"/>
      <c r="F50" s="154"/>
      <c r="G50" s="169"/>
      <c r="H50" s="154"/>
      <c r="I50" s="169"/>
      <c r="J50" s="154"/>
      <c r="K50" s="154"/>
      <c r="L50" s="169"/>
      <c r="M50" s="169"/>
    </row>
    <row r="51" spans="1:13" ht="21.75" customHeight="1">
      <c r="A51" s="169"/>
      <c r="B51" s="169"/>
      <c r="C51" s="169"/>
      <c r="D51" s="169"/>
      <c r="E51" s="154"/>
      <c r="F51" s="154"/>
      <c r="G51" s="169"/>
      <c r="H51" s="154"/>
      <c r="I51" s="169"/>
      <c r="J51" s="154"/>
      <c r="K51" s="154"/>
      <c r="L51" s="169"/>
      <c r="M51" s="169"/>
    </row>
    <row r="52" spans="1:13" ht="21.75" customHeight="1">
      <c r="A52" s="169"/>
      <c r="B52" s="169"/>
      <c r="C52" s="169"/>
      <c r="D52" s="169"/>
      <c r="E52" s="154"/>
      <c r="F52" s="154"/>
      <c r="G52" s="169"/>
      <c r="H52" s="154"/>
      <c r="I52" s="169"/>
      <c r="J52" s="154"/>
      <c r="K52" s="154"/>
      <c r="L52" s="169"/>
      <c r="M52" s="169"/>
    </row>
    <row r="53" spans="1:13" ht="21.75" customHeight="1">
      <c r="A53" s="169"/>
      <c r="B53" s="169"/>
      <c r="C53" s="169"/>
      <c r="D53" s="169"/>
      <c r="E53" s="154"/>
      <c r="F53" s="154"/>
      <c r="G53" s="169"/>
      <c r="H53" s="154"/>
      <c r="I53" s="169"/>
      <c r="J53" s="154"/>
      <c r="K53" s="154"/>
      <c r="L53" s="169"/>
      <c r="M53" s="169"/>
    </row>
    <row r="54" spans="1:13" ht="21.75" customHeight="1">
      <c r="A54" s="169"/>
      <c r="B54" s="169"/>
      <c r="C54" s="169"/>
      <c r="D54" s="169"/>
      <c r="E54" s="154"/>
      <c r="F54" s="154"/>
      <c r="G54" s="169"/>
      <c r="H54" s="154"/>
      <c r="I54" s="169"/>
      <c r="J54" s="154"/>
      <c r="K54" s="154"/>
      <c r="L54" s="169"/>
      <c r="M54" s="169"/>
    </row>
    <row r="55" spans="1:13" ht="21.75" customHeight="1">
      <c r="A55" s="169"/>
      <c r="B55" s="169"/>
      <c r="C55" s="169"/>
      <c r="D55" s="169"/>
      <c r="E55" s="154"/>
      <c r="F55" s="154"/>
      <c r="G55" s="169"/>
      <c r="H55" s="154"/>
      <c r="I55" s="169"/>
      <c r="J55" s="154"/>
      <c r="K55" s="154"/>
      <c r="L55" s="169"/>
      <c r="M55" s="169"/>
    </row>
    <row r="56" spans="1:13" ht="21.75" customHeight="1">
      <c r="A56" s="169"/>
      <c r="B56" s="169"/>
      <c r="C56" s="169"/>
      <c r="D56" s="169"/>
      <c r="E56" s="154"/>
      <c r="F56" s="154"/>
      <c r="G56" s="169"/>
      <c r="H56" s="154"/>
      <c r="I56" s="169"/>
      <c r="J56" s="154"/>
      <c r="K56" s="154"/>
      <c r="L56" s="169"/>
      <c r="M56" s="169"/>
    </row>
  </sheetData>
  <sheetProtection sheet="1" formatCells="0" formatColumns="0" formatRows="0" sort="0" autoFilter="0"/>
  <mergeCells count="7">
    <mergeCell ref="A28:M28"/>
    <mergeCell ref="A45:M45"/>
    <mergeCell ref="A1:M1"/>
    <mergeCell ref="A3:M3"/>
    <mergeCell ref="A46:M56"/>
    <mergeCell ref="A2:M2"/>
    <mergeCell ref="A16:M16"/>
  </mergeCells>
  <printOptions horizontalCentered="1"/>
  <pageMargins left="0.75" right="0.75" top="1" bottom="1" header="0.511811023622047" footer="0.511811023622047"/>
  <pageSetup orientation="landscape"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C19"/>
  <sheetViews>
    <sheetView zoomScaleNormal="100" workbookViewId="0"/>
  </sheetViews>
  <sheetFormatPr baseColWidth="10" defaultColWidth="8.6640625" defaultRowHeight="15"/>
  <cols>
    <col min="1" max="1" width="4" style="1" customWidth="1"/>
    <col min="2" max="2" width="11" style="1" customWidth="1"/>
    <col min="3" max="3" width="32" style="1" customWidth="1"/>
    <col min="4" max="4" width="18" style="1" customWidth="1"/>
    <col min="5" max="5" width="15" style="2" customWidth="1"/>
    <col min="6" max="6" width="8" style="1" customWidth="1"/>
    <col min="7" max="7" width="14" style="1" customWidth="1"/>
    <col min="8" max="8" width="8" style="1" customWidth="1"/>
    <col min="9" max="9" width="10" style="1" customWidth="1"/>
    <col min="10" max="10" width="10" style="2" customWidth="1"/>
    <col min="11" max="12" width="8" style="1" customWidth="1"/>
    <col min="13" max="13" width="9" style="2" customWidth="1"/>
    <col min="14" max="14" width="7" style="1" customWidth="1"/>
    <col min="15" max="15" width="8" style="1" customWidth="1"/>
    <col min="16" max="16" width="8" style="2" customWidth="1"/>
    <col min="17" max="17" width="22" style="1" customWidth="1"/>
    <col min="18" max="29" width="8.5" style="1" customWidth="1"/>
  </cols>
  <sheetData>
    <row r="1" spans="1:26" ht="31.5" customHeight="1">
      <c r="A1" s="176" t="s">
        <v>216</v>
      </c>
      <c r="B1" s="169"/>
      <c r="C1" s="169"/>
      <c r="D1" s="169"/>
      <c r="E1" s="154"/>
      <c r="F1" s="169"/>
      <c r="G1" s="169"/>
      <c r="H1" s="169"/>
      <c r="I1" s="169"/>
      <c r="J1" s="154"/>
      <c r="K1" s="169"/>
      <c r="L1" s="169"/>
      <c r="M1" s="154"/>
      <c r="N1" s="169"/>
      <c r="O1" s="169"/>
      <c r="P1" s="154"/>
      <c r="Q1" s="169"/>
      <c r="R1" s="4"/>
      <c r="S1" s="4"/>
      <c r="T1" s="4"/>
      <c r="U1" s="4"/>
      <c r="V1" s="4"/>
      <c r="W1" s="4"/>
      <c r="X1" s="4"/>
      <c r="Y1" s="4"/>
      <c r="Z1" s="4"/>
    </row>
    <row r="2" spans="1:26" ht="27.75" customHeight="1">
      <c r="A2" s="211" t="s">
        <v>217</v>
      </c>
      <c r="B2" s="169"/>
      <c r="C2" s="169"/>
      <c r="D2" s="169"/>
      <c r="E2" s="154"/>
      <c r="F2" s="169"/>
      <c r="G2" s="169"/>
      <c r="H2" s="169"/>
      <c r="I2" s="169"/>
      <c r="J2" s="154"/>
      <c r="K2" s="169"/>
      <c r="L2" s="169"/>
      <c r="M2" s="154"/>
      <c r="N2" s="169"/>
      <c r="O2" s="169"/>
      <c r="P2" s="154"/>
      <c r="Q2" s="169"/>
      <c r="R2" s="4"/>
      <c r="S2" s="4"/>
      <c r="T2" s="4"/>
      <c r="U2" s="4"/>
      <c r="V2" s="4"/>
      <c r="W2" s="4"/>
      <c r="X2" s="4"/>
      <c r="Y2" s="4"/>
      <c r="Z2" s="4"/>
    </row>
    <row r="3" spans="1:26" ht="21.75" customHeight="1">
      <c r="A3" s="214" t="s">
        <v>218</v>
      </c>
      <c r="B3" s="169"/>
      <c r="C3" s="169"/>
      <c r="D3" s="169"/>
      <c r="E3" s="212" t="s">
        <v>219</v>
      </c>
      <c r="F3" s="169"/>
      <c r="G3" s="169"/>
      <c r="H3" s="169"/>
      <c r="I3" s="169"/>
      <c r="J3" s="154"/>
      <c r="K3" s="169"/>
      <c r="L3" s="169"/>
      <c r="M3" s="213" t="s">
        <v>220</v>
      </c>
      <c r="N3" s="169"/>
      <c r="O3" s="169"/>
      <c r="P3" s="154"/>
      <c r="Q3" s="29" t="s">
        <v>221</v>
      </c>
      <c r="R3" s="4"/>
      <c r="S3" s="4"/>
      <c r="T3" s="4"/>
      <c r="U3" s="4"/>
      <c r="V3" s="4"/>
      <c r="W3" s="4"/>
      <c r="X3" s="4"/>
      <c r="Y3" s="4"/>
      <c r="Z3" s="4"/>
    </row>
    <row r="4" spans="1:26" ht="42" customHeight="1">
      <c r="A4" s="8" t="s">
        <v>222</v>
      </c>
      <c r="B4" s="8" t="s">
        <v>223</v>
      </c>
      <c r="C4" s="8" t="s">
        <v>224</v>
      </c>
      <c r="D4" s="8" t="s">
        <v>225</v>
      </c>
      <c r="E4" s="8" t="s">
        <v>226</v>
      </c>
      <c r="F4" s="8" t="s">
        <v>177</v>
      </c>
      <c r="G4" s="8" t="s">
        <v>227</v>
      </c>
      <c r="H4" s="8" t="s">
        <v>89</v>
      </c>
      <c r="I4" s="8" t="s">
        <v>228</v>
      </c>
      <c r="J4" s="8" t="s">
        <v>229</v>
      </c>
      <c r="K4" s="8" t="s">
        <v>230</v>
      </c>
      <c r="L4" s="8" t="s">
        <v>151</v>
      </c>
      <c r="M4" s="8" t="s">
        <v>126</v>
      </c>
      <c r="N4" s="8" t="s">
        <v>127</v>
      </c>
      <c r="O4" s="8" t="s">
        <v>231</v>
      </c>
      <c r="P4" s="8" t="s">
        <v>232</v>
      </c>
      <c r="Q4" s="8" t="s">
        <v>233</v>
      </c>
      <c r="R4" s="4"/>
      <c r="S4" s="4"/>
      <c r="T4" s="4"/>
      <c r="U4" s="4"/>
      <c r="V4" s="4"/>
      <c r="W4" s="4"/>
      <c r="X4" s="4"/>
      <c r="Y4" s="4"/>
      <c r="Z4" s="4"/>
    </row>
    <row r="5" spans="1:26" ht="32" customHeight="1">
      <c r="A5" s="25">
        <v>1</v>
      </c>
      <c r="B5" s="142">
        <v>46143</v>
      </c>
      <c r="C5" s="143" t="s">
        <v>234</v>
      </c>
      <c r="D5" s="25" t="s">
        <v>59</v>
      </c>
      <c r="E5" s="21" t="s">
        <v>235</v>
      </c>
      <c r="F5" s="24">
        <v>140</v>
      </c>
      <c r="G5" s="21" t="s">
        <v>236</v>
      </c>
      <c r="H5" s="23">
        <v>42.4</v>
      </c>
      <c r="I5" s="21" t="s">
        <v>77</v>
      </c>
      <c r="J5" s="21" t="s">
        <v>79</v>
      </c>
      <c r="K5" s="26">
        <v>2.2240000000000002</v>
      </c>
      <c r="L5" s="26">
        <v>3.5000000000000003E-2</v>
      </c>
      <c r="M5" s="30">
        <v>2780</v>
      </c>
      <c r="N5" s="31">
        <v>2.5</v>
      </c>
      <c r="O5" s="32">
        <v>0.38</v>
      </c>
      <c r="P5" s="32">
        <v>0.18</v>
      </c>
      <c r="Q5" s="144" t="s">
        <v>237</v>
      </c>
      <c r="R5" s="4"/>
      <c r="S5" s="4"/>
      <c r="T5" s="4"/>
      <c r="U5" s="4"/>
      <c r="V5" s="4"/>
      <c r="W5" s="4"/>
      <c r="X5" s="4"/>
      <c r="Y5" s="4"/>
      <c r="Z5" s="4"/>
    </row>
    <row r="6" spans="1:26" ht="32" customHeight="1">
      <c r="A6" s="11">
        <v>2</v>
      </c>
      <c r="B6" s="145">
        <v>45971</v>
      </c>
      <c r="C6" s="146" t="s">
        <v>238</v>
      </c>
      <c r="D6" s="11" t="s">
        <v>59</v>
      </c>
      <c r="E6" s="11" t="s">
        <v>239</v>
      </c>
      <c r="F6" s="13">
        <v>140</v>
      </c>
      <c r="G6" s="11" t="s">
        <v>236</v>
      </c>
      <c r="H6" s="12">
        <v>42.1</v>
      </c>
      <c r="I6" s="11" t="s">
        <v>240</v>
      </c>
      <c r="J6" s="11" t="s">
        <v>241</v>
      </c>
      <c r="K6" s="18">
        <v>2.218</v>
      </c>
      <c r="L6" s="18">
        <v>0.02</v>
      </c>
      <c r="M6" s="13">
        <v>2745</v>
      </c>
      <c r="N6" s="12">
        <v>5.0999999999999996</v>
      </c>
      <c r="O6" s="14">
        <v>0.52</v>
      </c>
      <c r="P6" s="14">
        <v>0.24</v>
      </c>
      <c r="Q6" s="147" t="s">
        <v>242</v>
      </c>
      <c r="R6" s="4"/>
      <c r="S6" s="4"/>
      <c r="T6" s="4"/>
      <c r="U6" s="4"/>
      <c r="V6" s="4"/>
      <c r="W6" s="4"/>
      <c r="X6" s="4"/>
      <c r="Y6" s="4"/>
      <c r="Z6" s="4"/>
    </row>
    <row r="7" spans="1:26" ht="32" customHeight="1">
      <c r="A7" s="25">
        <v>3</v>
      </c>
      <c r="B7" s="142">
        <v>46099</v>
      </c>
      <c r="C7" s="143" t="s">
        <v>243</v>
      </c>
      <c r="D7" s="25" t="s">
        <v>244</v>
      </c>
      <c r="E7" s="21" t="s">
        <v>235</v>
      </c>
      <c r="F7" s="24">
        <v>108</v>
      </c>
      <c r="G7" s="21" t="s">
        <v>245</v>
      </c>
      <c r="H7" s="23">
        <v>26.5</v>
      </c>
      <c r="I7" s="21" t="s">
        <v>246</v>
      </c>
      <c r="J7" s="21" t="s">
        <v>79</v>
      </c>
      <c r="K7" s="26">
        <v>1.91</v>
      </c>
      <c r="L7" s="26">
        <v>0.04</v>
      </c>
      <c r="M7" s="30">
        <v>2680</v>
      </c>
      <c r="N7" s="31">
        <v>6.8</v>
      </c>
      <c r="O7" s="32">
        <v>0.55000000000000004</v>
      </c>
      <c r="P7" s="32">
        <v>0.28000000000000003</v>
      </c>
      <c r="Q7" s="144" t="s">
        <v>247</v>
      </c>
      <c r="R7" s="4"/>
      <c r="S7" s="4"/>
      <c r="T7" s="4"/>
      <c r="U7" s="4"/>
      <c r="V7" s="4"/>
      <c r="W7" s="4"/>
      <c r="X7" s="4"/>
      <c r="Y7" s="4"/>
      <c r="Z7" s="4"/>
    </row>
    <row r="8" spans="1:26" ht="32" customHeight="1">
      <c r="A8" s="11"/>
      <c r="B8" s="11"/>
      <c r="C8" s="146"/>
      <c r="D8" s="11"/>
      <c r="E8" s="11"/>
      <c r="F8" s="13"/>
      <c r="G8" s="11"/>
      <c r="H8" s="12"/>
      <c r="I8" s="11"/>
      <c r="J8" s="11"/>
      <c r="K8" s="18"/>
      <c r="L8" s="18"/>
      <c r="M8" s="13"/>
      <c r="N8" s="12"/>
      <c r="O8" s="14"/>
      <c r="P8" s="14"/>
      <c r="Q8" s="11"/>
      <c r="R8" s="4"/>
      <c r="S8" s="4"/>
      <c r="T8" s="4"/>
      <c r="U8" s="4"/>
      <c r="V8" s="4"/>
      <c r="W8" s="4"/>
      <c r="X8" s="4"/>
      <c r="Y8" s="4"/>
      <c r="Z8" s="4"/>
    </row>
    <row r="9" spans="1:26" ht="32" customHeight="1">
      <c r="A9" s="25"/>
      <c r="B9" s="25"/>
      <c r="C9" s="143"/>
      <c r="D9" s="25"/>
      <c r="E9" s="21"/>
      <c r="F9" s="24"/>
      <c r="G9" s="21"/>
      <c r="H9" s="23"/>
      <c r="I9" s="21"/>
      <c r="J9" s="21"/>
      <c r="K9" s="26"/>
      <c r="L9" s="26"/>
      <c r="M9" s="30"/>
      <c r="N9" s="31"/>
      <c r="O9" s="32"/>
      <c r="P9" s="32"/>
      <c r="Q9" s="25"/>
      <c r="R9" s="4"/>
      <c r="S9" s="4"/>
      <c r="T9" s="4"/>
      <c r="U9" s="4"/>
      <c r="V9" s="4"/>
      <c r="W9" s="4"/>
      <c r="X9" s="4"/>
      <c r="Y9" s="4"/>
      <c r="Z9" s="4"/>
    </row>
    <row r="10" spans="1:26" ht="32" customHeight="1">
      <c r="A10" s="11"/>
      <c r="B10" s="11"/>
      <c r="C10" s="146"/>
      <c r="D10" s="11"/>
      <c r="E10" s="11"/>
      <c r="F10" s="13"/>
      <c r="G10" s="11"/>
      <c r="H10" s="12"/>
      <c r="I10" s="11"/>
      <c r="J10" s="11"/>
      <c r="K10" s="18"/>
      <c r="L10" s="18"/>
      <c r="M10" s="13"/>
      <c r="N10" s="12"/>
      <c r="O10" s="14"/>
      <c r="P10" s="14"/>
      <c r="Q10" s="11"/>
      <c r="R10" s="4"/>
      <c r="S10" s="4"/>
      <c r="T10" s="4"/>
      <c r="U10" s="4"/>
      <c r="V10" s="4"/>
      <c r="W10" s="4"/>
      <c r="X10" s="4"/>
      <c r="Y10" s="4"/>
      <c r="Z10" s="4"/>
    </row>
    <row r="11" spans="1:26" ht="32" customHeight="1">
      <c r="A11" s="25"/>
      <c r="B11" s="25"/>
      <c r="C11" s="143"/>
      <c r="D11" s="25"/>
      <c r="E11" s="21"/>
      <c r="F11" s="24"/>
      <c r="G11" s="21"/>
      <c r="H11" s="23"/>
      <c r="I11" s="21"/>
      <c r="J11" s="21"/>
      <c r="K11" s="26"/>
      <c r="L11" s="26"/>
      <c r="M11" s="30"/>
      <c r="N11" s="31"/>
      <c r="O11" s="32"/>
      <c r="P11" s="32"/>
      <c r="Q11" s="25"/>
      <c r="R11" s="4"/>
      <c r="S11" s="4"/>
      <c r="T11" s="4"/>
      <c r="U11" s="4"/>
      <c r="V11" s="4"/>
      <c r="W11" s="4"/>
      <c r="X11" s="4"/>
      <c r="Y11" s="4"/>
      <c r="Z11" s="4"/>
    </row>
    <row r="12" spans="1:26" ht="32" customHeight="1">
      <c r="A12" s="11"/>
      <c r="B12" s="11"/>
      <c r="C12" s="146"/>
      <c r="D12" s="11"/>
      <c r="E12" s="11"/>
      <c r="F12" s="13"/>
      <c r="G12" s="11"/>
      <c r="H12" s="12"/>
      <c r="I12" s="11"/>
      <c r="J12" s="11"/>
      <c r="K12" s="18"/>
      <c r="L12" s="18"/>
      <c r="M12" s="13"/>
      <c r="N12" s="12"/>
      <c r="O12" s="14"/>
      <c r="P12" s="14"/>
      <c r="Q12" s="11"/>
      <c r="R12" s="4"/>
      <c r="S12" s="4"/>
      <c r="T12" s="4"/>
      <c r="U12" s="4"/>
      <c r="V12" s="4"/>
      <c r="W12" s="4"/>
      <c r="X12" s="4"/>
      <c r="Y12" s="4"/>
      <c r="Z12" s="4"/>
    </row>
    <row r="13" spans="1:26" ht="32" customHeight="1">
      <c r="A13" s="25"/>
      <c r="B13" s="25"/>
      <c r="C13" s="143"/>
      <c r="D13" s="25"/>
      <c r="E13" s="21"/>
      <c r="F13" s="24"/>
      <c r="G13" s="21"/>
      <c r="H13" s="23"/>
      <c r="I13" s="21"/>
      <c r="J13" s="21"/>
      <c r="K13" s="26"/>
      <c r="L13" s="26"/>
      <c r="M13" s="30"/>
      <c r="N13" s="31"/>
      <c r="O13" s="32"/>
      <c r="P13" s="32"/>
      <c r="Q13" s="25"/>
      <c r="R13" s="4"/>
      <c r="S13" s="4"/>
      <c r="T13" s="4"/>
      <c r="U13" s="4"/>
      <c r="V13" s="4"/>
      <c r="W13" s="4"/>
      <c r="X13" s="4"/>
      <c r="Y13" s="4"/>
      <c r="Z13" s="4"/>
    </row>
    <row r="14" spans="1:26" ht="32" customHeight="1">
      <c r="A14" s="11"/>
      <c r="B14" s="11"/>
      <c r="C14" s="146"/>
      <c r="D14" s="11"/>
      <c r="E14" s="11"/>
      <c r="F14" s="13"/>
      <c r="G14" s="11"/>
      <c r="H14" s="12"/>
      <c r="I14" s="11"/>
      <c r="J14" s="11"/>
      <c r="K14" s="18"/>
      <c r="L14" s="18"/>
      <c r="M14" s="13"/>
      <c r="N14" s="12"/>
      <c r="O14" s="14"/>
      <c r="P14" s="14"/>
      <c r="Q14" s="11"/>
      <c r="R14" s="4"/>
      <c r="S14" s="4"/>
      <c r="T14" s="4"/>
      <c r="U14" s="4"/>
      <c r="V14" s="4"/>
      <c r="W14" s="4"/>
      <c r="X14" s="4"/>
      <c r="Y14" s="4"/>
      <c r="Z14" s="4"/>
    </row>
    <row r="15" spans="1:26" ht="32" customHeight="1">
      <c r="C15" s="49"/>
      <c r="R15" s="4"/>
      <c r="S15" s="4"/>
      <c r="T15" s="4"/>
      <c r="U15" s="4"/>
      <c r="V15" s="4"/>
      <c r="W15" s="4"/>
      <c r="X15" s="4"/>
      <c r="Y15" s="4"/>
      <c r="Z15" s="4"/>
    </row>
    <row r="16" spans="1:26" ht="32" customHeight="1">
      <c r="C16" s="49"/>
      <c r="R16" s="4"/>
      <c r="S16" s="4"/>
      <c r="T16" s="4"/>
      <c r="U16" s="4"/>
      <c r="V16" s="4"/>
      <c r="W16" s="4"/>
      <c r="X16" s="4"/>
      <c r="Y16" s="4"/>
      <c r="Z16" s="4"/>
    </row>
    <row r="17" spans="3:26" ht="32" customHeight="1">
      <c r="C17" s="49"/>
      <c r="R17" s="4"/>
      <c r="S17" s="4"/>
      <c r="T17" s="4"/>
      <c r="U17" s="4"/>
      <c r="V17" s="4"/>
      <c r="W17" s="4"/>
      <c r="X17" s="4"/>
      <c r="Y17" s="4"/>
      <c r="Z17" s="4"/>
    </row>
    <row r="18" spans="3:26" ht="32" customHeight="1">
      <c r="C18" s="49"/>
      <c r="R18" s="4"/>
      <c r="S18" s="4"/>
      <c r="T18" s="4"/>
      <c r="U18" s="4"/>
      <c r="V18" s="4"/>
      <c r="W18" s="4"/>
      <c r="X18" s="4"/>
      <c r="Y18" s="4"/>
      <c r="Z18" s="4"/>
    </row>
    <row r="19" spans="3:26" ht="32" customHeight="1">
      <c r="C19" s="49"/>
      <c r="R19" s="4"/>
      <c r="S19" s="4"/>
      <c r="T19" s="4"/>
      <c r="U19" s="4"/>
      <c r="V19" s="4"/>
      <c r="W19" s="4"/>
      <c r="X19" s="4"/>
      <c r="Y19" s="4"/>
      <c r="Z19" s="4"/>
    </row>
  </sheetData>
  <sheetProtection sheet="1" formatCells="0" formatColumns="0" formatRows="0" sort="0" autoFilter="0"/>
  <mergeCells count="5">
    <mergeCell ref="E3:L3"/>
    <mergeCell ref="M3:P3"/>
    <mergeCell ref="A3:D3"/>
    <mergeCell ref="A2:Q2"/>
    <mergeCell ref="A1:Q1"/>
  </mergeCells>
  <conditionalFormatting sqref="N5:N14">
    <cfRule type="colorScale" priority="2">
      <colorScale>
        <cfvo type="min"/>
        <cfvo type="percentile" val="50"/>
        <cfvo type="max"/>
        <color rgb="FF63BE7B"/>
        <color rgb="FFFFEB84"/>
        <color rgb="FFF8696B"/>
      </colorScale>
    </cfRule>
  </conditionalFormatting>
  <conditionalFormatting sqref="O5:O14">
    <cfRule type="colorScale" priority="3">
      <colorScale>
        <cfvo type="min"/>
        <cfvo type="percentile" val="50"/>
        <cfvo type="max"/>
        <color rgb="FF63BE7B"/>
        <color rgb="FFFFEB84"/>
        <color rgb="FFF8696B"/>
      </colorScale>
    </cfRule>
  </conditionalFormatting>
  <conditionalFormatting sqref="P5:P14">
    <cfRule type="colorScale" priority="4">
      <colorScale>
        <cfvo type="min"/>
        <cfvo type="percentile" val="50"/>
        <cfvo type="max"/>
        <color rgb="FF63BE7B"/>
        <color rgb="FFFFEB84"/>
        <color rgb="FFF8696B"/>
      </colorScale>
    </cfRule>
  </conditionalFormatting>
  <printOptions horizontalCentered="1"/>
  <pageMargins left="0.25" right="0.25" top="0.5" bottom="0.5" header="0.25" footer="0.25"/>
  <pageSetup fitToHeight="0" orientation="landscape" horizontalDpi="300" verticalDpi="300"/>
  <headerFooter>
    <oddHeader>&amp;L&amp;"Calibri,Italic"&amp;8 &amp;"Calibri,Italic"&amp;8 &amp;F&amp;C&amp;"Calibri,Bold"&amp;10 &amp;"Calibri,Bold"&amp;10 &amp;A&amp;R&amp;"Calibri,Italic"&amp;8 &amp;"Calibri,Italic"&amp;8 Page &amp;P of &amp;N</oddHeader>
  </headerFooter>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91"/>
  <sheetViews>
    <sheetView zoomScaleNormal="100" workbookViewId="0"/>
  </sheetViews>
  <sheetFormatPr baseColWidth="10" defaultColWidth="8.6640625" defaultRowHeight="15"/>
  <cols>
    <col min="1" max="1" width="11" style="1" customWidth="1"/>
    <col min="2" max="2" width="13" style="2" customWidth="1"/>
    <col min="3" max="3" width="10" style="1" customWidth="1"/>
    <col min="4" max="4" width="12" style="1" hidden="1" customWidth="1"/>
    <col min="5" max="5" width="22" style="1" hidden="1" customWidth="1"/>
    <col min="6" max="6" width="13" style="1" customWidth="1"/>
    <col min="7" max="7" width="10" style="1" customWidth="1"/>
    <col min="8" max="8" width="16" style="1" hidden="1" customWidth="1"/>
    <col min="9" max="10" width="10" style="1" hidden="1" customWidth="1"/>
    <col min="11" max="11" width="40" style="1" customWidth="1"/>
  </cols>
  <sheetData>
    <row r="1" spans="1:11" ht="31.5" customHeight="1">
      <c r="A1" s="176" t="s">
        <v>248</v>
      </c>
      <c r="B1" s="154"/>
      <c r="C1" s="169"/>
      <c r="D1" s="169"/>
      <c r="E1" s="169"/>
      <c r="F1" s="169"/>
      <c r="G1" s="169"/>
      <c r="H1" s="169"/>
      <c r="I1" s="169"/>
      <c r="J1" s="169"/>
      <c r="K1" s="169"/>
    </row>
    <row r="2" spans="1:11" ht="30" customHeight="1">
      <c r="A2" s="201" t="s">
        <v>249</v>
      </c>
      <c r="B2" s="202"/>
      <c r="C2" s="202"/>
      <c r="D2" s="202"/>
      <c r="E2" s="202"/>
      <c r="F2" s="202"/>
      <c r="G2" s="202"/>
      <c r="H2" s="202"/>
      <c r="I2" s="202"/>
      <c r="J2" s="202"/>
      <c r="K2" s="203"/>
    </row>
    <row r="3" spans="1:11" ht="22" customHeight="1">
      <c r="A3" s="80" t="s">
        <v>124</v>
      </c>
    </row>
    <row r="4" spans="1:11" ht="36" customHeight="1">
      <c r="A4" s="217" t="s">
        <v>250</v>
      </c>
      <c r="B4" s="202"/>
      <c r="C4" s="202"/>
      <c r="D4" s="202"/>
      <c r="E4" s="202"/>
      <c r="F4" s="202"/>
      <c r="G4" s="202"/>
      <c r="H4" s="202"/>
      <c r="I4" s="202"/>
      <c r="J4" s="202"/>
      <c r="K4" s="203"/>
    </row>
    <row r="5" spans="1:11" ht="24" customHeight="1">
      <c r="A5" s="33" t="s">
        <v>58</v>
      </c>
      <c r="B5" s="218" t="s">
        <v>59</v>
      </c>
      <c r="C5" s="174"/>
      <c r="D5" s="33" t="s">
        <v>73</v>
      </c>
      <c r="E5" s="148" t="s">
        <v>74</v>
      </c>
      <c r="F5" s="34"/>
      <c r="G5" s="33" t="s">
        <v>149</v>
      </c>
      <c r="H5" s="148">
        <v>42.4</v>
      </c>
      <c r="I5" s="34"/>
      <c r="J5" s="33" t="s">
        <v>146</v>
      </c>
      <c r="K5" s="148">
        <v>2780</v>
      </c>
    </row>
    <row r="6" spans="1:11" ht="21.75" customHeight="1">
      <c r="A6" s="35" t="s">
        <v>251</v>
      </c>
      <c r="B6" s="216" t="s">
        <v>67</v>
      </c>
      <c r="C6" s="174"/>
      <c r="D6" s="35" t="s">
        <v>252</v>
      </c>
      <c r="E6" s="37">
        <v>100</v>
      </c>
      <c r="F6" s="36"/>
      <c r="G6" s="35" t="s">
        <v>253</v>
      </c>
      <c r="H6" s="38">
        <v>1.75</v>
      </c>
      <c r="I6" s="36"/>
      <c r="J6" s="35" t="s">
        <v>254</v>
      </c>
      <c r="K6" s="22" t="s">
        <v>255</v>
      </c>
    </row>
    <row r="7" spans="1:11" ht="22" customHeight="1">
      <c r="A7" s="219" t="s">
        <v>256</v>
      </c>
      <c r="B7" s="154"/>
      <c r="C7" s="169"/>
      <c r="D7" s="169"/>
      <c r="E7" s="169"/>
      <c r="F7" s="169"/>
      <c r="G7" s="169"/>
      <c r="H7" s="169"/>
      <c r="I7" s="169"/>
      <c r="J7" s="169"/>
      <c r="K7" s="169"/>
    </row>
    <row r="8" spans="1:11" ht="36" customHeight="1">
      <c r="A8" s="8" t="s">
        <v>257</v>
      </c>
      <c r="B8" s="8" t="s">
        <v>258</v>
      </c>
      <c r="C8" s="8" t="s">
        <v>259</v>
      </c>
      <c r="D8" s="8" t="s">
        <v>260</v>
      </c>
      <c r="E8" s="8" t="s">
        <v>261</v>
      </c>
      <c r="F8" s="8" t="s">
        <v>262</v>
      </c>
      <c r="G8" s="8" t="s">
        <v>263</v>
      </c>
      <c r="H8" s="8" t="s">
        <v>264</v>
      </c>
      <c r="I8" s="8" t="s">
        <v>265</v>
      </c>
      <c r="J8" s="8" t="s">
        <v>266</v>
      </c>
      <c r="K8" s="8" t="s">
        <v>153</v>
      </c>
    </row>
    <row r="9" spans="1:11" ht="18.75" customHeight="1">
      <c r="A9" s="149">
        <v>100</v>
      </c>
      <c r="B9" s="9">
        <v>0</v>
      </c>
      <c r="C9" s="150">
        <f>IF(B9="","",IF('Powder Charge Log'!$G$7="0.1 Mil",B9*10,IF('Powder Charge Log'!$G$7="0.05 Mil",B9*20,"")))</f>
        <v>0</v>
      </c>
      <c r="D9" s="9">
        <v>0</v>
      </c>
      <c r="E9" s="150" t="str">
        <f>IF(D9="","",IF('Powder Charge Log'!$G$7="1/4 MOA",D9*4,IF('Powder Charge Log'!$G$7="1/8 MOA",D9*8,"")))</f>
        <v/>
      </c>
      <c r="F9" s="9">
        <v>0</v>
      </c>
      <c r="G9" s="150">
        <f>IF(F9="","",IF('Powder Charge Log'!$G$7="0.1 Mil",F9*10,IF('Powder Charge Log'!$G$7="0.05 Mil",F9*20,"")))</f>
        <v>0</v>
      </c>
      <c r="H9" s="9">
        <v>0</v>
      </c>
      <c r="I9" s="150" t="str">
        <f>IF(H9="","",IF('Powder Charge Log'!$G$7="1/4 MOA",H9*4,IF('Powder Charge Log'!$G$7="1/8 MOA",H9*8,"")))</f>
        <v/>
      </c>
      <c r="J9" s="10">
        <v>0.11</v>
      </c>
      <c r="K9" s="39"/>
    </row>
    <row r="10" spans="1:11" ht="18.75" customHeight="1">
      <c r="A10" s="151">
        <v>200</v>
      </c>
      <c r="B10" s="12">
        <v>0.1</v>
      </c>
      <c r="C10" s="152">
        <f>IF(B10="","",IF('Powder Charge Log'!$G$7="0.1 Mil",B10*10,IF('Powder Charge Log'!$G$7="0.05 Mil",B10*20,"")))</f>
        <v>1</v>
      </c>
      <c r="D10" s="12">
        <v>0.5</v>
      </c>
      <c r="E10" s="152" t="str">
        <f>IF(D10="","",IF('Powder Charge Log'!$G$7="1/4 MOA",D10*4,IF('Powder Charge Log'!$G$7="1/8 MOA",D10*8,"")))</f>
        <v/>
      </c>
      <c r="F10" s="12">
        <v>0.3</v>
      </c>
      <c r="G10" s="152">
        <f>IF(F10="","",IF('Powder Charge Log'!$G$7="0.1 Mil",F10*10,IF('Powder Charge Log'!$G$7="0.05 Mil",F10*20,"")))</f>
        <v>3</v>
      </c>
      <c r="H10" s="12">
        <v>1</v>
      </c>
      <c r="I10" s="152" t="str">
        <f>IF(H10="","",IF('Powder Charge Log'!$G$7="1/4 MOA",H10*4,IF('Powder Charge Log'!$G$7="1/8 MOA",H10*8,"")))</f>
        <v/>
      </c>
      <c r="J10" s="14">
        <v>0.23</v>
      </c>
      <c r="K10" s="40"/>
    </row>
    <row r="11" spans="1:11" ht="18.75" customHeight="1">
      <c r="A11" s="149">
        <v>300</v>
      </c>
      <c r="B11" s="9">
        <v>0.6</v>
      </c>
      <c r="C11" s="150">
        <f>IF(B11="","",IF('Powder Charge Log'!$G$7="0.1 Mil",B11*10,IF('Powder Charge Log'!$G$7="0.05 Mil",B11*20,"")))</f>
        <v>6</v>
      </c>
      <c r="D11" s="9">
        <v>2</v>
      </c>
      <c r="E11" s="150" t="str">
        <f>IF(D11="","",IF('Powder Charge Log'!$G$7="1/4 MOA",D11*4,IF('Powder Charge Log'!$G$7="1/8 MOA",D11*8,"")))</f>
        <v/>
      </c>
      <c r="F11" s="9">
        <v>0.5</v>
      </c>
      <c r="G11" s="150">
        <f>IF(F11="","",IF('Powder Charge Log'!$G$7="0.1 Mil",F11*10,IF('Powder Charge Log'!$G$7="0.05 Mil",F11*20,"")))</f>
        <v>5</v>
      </c>
      <c r="H11" s="9">
        <v>1.7</v>
      </c>
      <c r="I11" s="150" t="str">
        <f>IF(H11="","",IF('Powder Charge Log'!$G$7="1/4 MOA",H11*4,IF('Powder Charge Log'!$G$7="1/8 MOA",H11*8,"")))</f>
        <v/>
      </c>
      <c r="J11" s="10">
        <v>0.36</v>
      </c>
      <c r="K11" s="39"/>
    </row>
    <row r="12" spans="1:11" ht="18.75" customHeight="1">
      <c r="A12" s="151">
        <v>400</v>
      </c>
      <c r="B12" s="12">
        <v>1.2</v>
      </c>
      <c r="C12" s="152">
        <f>IF(B12="","",IF('Powder Charge Log'!$G$7="0.1 Mil",B12*10,IF('Powder Charge Log'!$G$7="0.05 Mil",B12*20,"")))</f>
        <v>12</v>
      </c>
      <c r="D12" s="12">
        <v>4.0999999999999996</v>
      </c>
      <c r="E12" s="152" t="str">
        <f>IF(D12="","",IF('Powder Charge Log'!$G$7="1/4 MOA",D12*4,IF('Powder Charge Log'!$G$7="1/8 MOA",D12*8,"")))</f>
        <v/>
      </c>
      <c r="F12" s="12">
        <v>0.7</v>
      </c>
      <c r="G12" s="152">
        <f>IF(F12="","",IF('Powder Charge Log'!$G$7="0.1 Mil",F12*10,IF('Powder Charge Log'!$G$7="0.05 Mil",F12*20,"")))</f>
        <v>7</v>
      </c>
      <c r="H12" s="12">
        <v>2.4</v>
      </c>
      <c r="I12" s="152" t="str">
        <f>IF(H12="","",IF('Powder Charge Log'!$G$7="1/4 MOA",H12*4,IF('Powder Charge Log'!$G$7="1/8 MOA",H12*8,"")))</f>
        <v/>
      </c>
      <c r="J12" s="14">
        <v>0.5</v>
      </c>
      <c r="K12" s="40"/>
    </row>
    <row r="13" spans="1:11" ht="18.75" customHeight="1">
      <c r="A13" s="149">
        <v>500</v>
      </c>
      <c r="B13" s="9">
        <v>2</v>
      </c>
      <c r="C13" s="150">
        <f>IF(B13="","",IF('Powder Charge Log'!$G$7="0.1 Mil",B13*10,IF('Powder Charge Log'!$G$7="0.05 Mil",B13*20,"")))</f>
        <v>20</v>
      </c>
      <c r="D13" s="9">
        <v>6.9</v>
      </c>
      <c r="E13" s="150" t="str">
        <f>IF(D13="","",IF('Powder Charge Log'!$G$7="1/4 MOA",D13*4,IF('Powder Charge Log'!$G$7="1/8 MOA",D13*8,"")))</f>
        <v/>
      </c>
      <c r="F13" s="9">
        <v>0.9</v>
      </c>
      <c r="G13" s="150">
        <f>IF(F13="","",IF('Powder Charge Log'!$G$7="0.1 Mil",F13*10,IF('Powder Charge Log'!$G$7="0.05 Mil",F13*20,"")))</f>
        <v>9</v>
      </c>
      <c r="H13" s="9">
        <v>3.1</v>
      </c>
      <c r="I13" s="150" t="str">
        <f>IF(H13="","",IF('Powder Charge Log'!$G$7="1/4 MOA",H13*4,IF('Powder Charge Log'!$G$7="1/8 MOA",H13*8,"")))</f>
        <v/>
      </c>
      <c r="J13" s="10">
        <v>0.66</v>
      </c>
      <c r="K13" s="39"/>
    </row>
    <row r="14" spans="1:11" ht="18.75" customHeight="1">
      <c r="A14" s="151">
        <v>600</v>
      </c>
      <c r="B14" s="12">
        <v>2.8</v>
      </c>
      <c r="C14" s="152">
        <f>IF(B14="","",IF('Powder Charge Log'!$G$7="0.1 Mil",B14*10,IF('Powder Charge Log'!$G$7="0.05 Mil",B14*20,"")))</f>
        <v>28</v>
      </c>
      <c r="D14" s="12">
        <v>9.6</v>
      </c>
      <c r="E14" s="152" t="str">
        <f>IF(D14="","",IF('Powder Charge Log'!$G$7="1/4 MOA",D14*4,IF('Powder Charge Log'!$G$7="1/8 MOA",D14*8,"")))</f>
        <v/>
      </c>
      <c r="F14" s="12">
        <v>1.2</v>
      </c>
      <c r="G14" s="152">
        <f>IF(F14="","",IF('Powder Charge Log'!$G$7="0.1 Mil",F14*10,IF('Powder Charge Log'!$G$7="0.05 Mil",F14*20,"")))</f>
        <v>12</v>
      </c>
      <c r="H14" s="12">
        <v>4.0999999999999996</v>
      </c>
      <c r="I14" s="152" t="str">
        <f>IF(H14="","",IF('Powder Charge Log'!$G$7="1/4 MOA",H14*4,IF('Powder Charge Log'!$G$7="1/8 MOA",H14*8,"")))</f>
        <v/>
      </c>
      <c r="J14" s="14">
        <v>0.83</v>
      </c>
      <c r="K14" s="40"/>
    </row>
    <row r="15" spans="1:11" ht="18.75" customHeight="1">
      <c r="A15" s="149">
        <v>700</v>
      </c>
      <c r="B15" s="9">
        <v>3.7</v>
      </c>
      <c r="C15" s="150">
        <f>IF(B15="","",IF('Powder Charge Log'!$G$7="0.1 Mil",B15*10,IF('Powder Charge Log'!$G$7="0.05 Mil",B15*20,"")))</f>
        <v>37</v>
      </c>
      <c r="D15" s="9">
        <v>12.7</v>
      </c>
      <c r="E15" s="150" t="str">
        <f>IF(D15="","",IF('Powder Charge Log'!$G$7="1/4 MOA",D15*4,IF('Powder Charge Log'!$G$7="1/8 MOA",D15*8,"")))</f>
        <v/>
      </c>
      <c r="F15" s="9">
        <v>1.5</v>
      </c>
      <c r="G15" s="150">
        <f>IF(F15="","",IF('Powder Charge Log'!$G$7="0.1 Mil",F15*10,IF('Powder Charge Log'!$G$7="0.05 Mil",F15*20,"")))</f>
        <v>15</v>
      </c>
      <c r="H15" s="9">
        <v>5.0999999999999996</v>
      </c>
      <c r="I15" s="150" t="str">
        <f>IF(H15="","",IF('Powder Charge Log'!$G$7="1/4 MOA",H15*4,IF('Powder Charge Log'!$G$7="1/8 MOA",H15*8,"")))</f>
        <v/>
      </c>
      <c r="J15" s="10">
        <v>1.02</v>
      </c>
      <c r="K15" s="39"/>
    </row>
    <row r="16" spans="1:11" ht="18.75" customHeight="1">
      <c r="A16" s="151">
        <v>800</v>
      </c>
      <c r="B16" s="12">
        <v>4.8</v>
      </c>
      <c r="C16" s="152">
        <f>IF(B16="","",IF('Powder Charge Log'!$G$7="0.1 Mil",B16*10,IF('Powder Charge Log'!$G$7="0.05 Mil",B16*20,"")))</f>
        <v>48</v>
      </c>
      <c r="D16" s="12">
        <v>16.5</v>
      </c>
      <c r="E16" s="152" t="str">
        <f>IF(D16="","",IF('Powder Charge Log'!$G$7="1/4 MOA",D16*4,IF('Powder Charge Log'!$G$7="1/8 MOA",D16*8,"")))</f>
        <v/>
      </c>
      <c r="F16" s="12">
        <v>1.8</v>
      </c>
      <c r="G16" s="152">
        <f>IF(F16="","",IF('Powder Charge Log'!$G$7="0.1 Mil",F16*10,IF('Powder Charge Log'!$G$7="0.05 Mil",F16*20,"")))</f>
        <v>18</v>
      </c>
      <c r="H16" s="12">
        <v>6.2</v>
      </c>
      <c r="I16" s="152" t="str">
        <f>IF(H16="","",IF('Powder Charge Log'!$G$7="1/4 MOA",H16*4,IF('Powder Charge Log'!$G$7="1/8 MOA",H16*8,"")))</f>
        <v/>
      </c>
      <c r="J16" s="14">
        <v>1.23</v>
      </c>
      <c r="K16" s="40"/>
    </row>
    <row r="17" spans="1:11" ht="18.75" customHeight="1">
      <c r="A17" s="149">
        <v>900</v>
      </c>
      <c r="B17" s="9">
        <v>6</v>
      </c>
      <c r="C17" s="150">
        <f>IF(B17="","",IF('Powder Charge Log'!$G$7="0.1 Mil",B17*10,IF('Powder Charge Log'!$G$7="0.05 Mil",B17*20,"")))</f>
        <v>60</v>
      </c>
      <c r="D17" s="9">
        <v>20.6</v>
      </c>
      <c r="E17" s="150" t="str">
        <f>IF(D17="","",IF('Powder Charge Log'!$G$7="1/4 MOA",D17*4,IF('Powder Charge Log'!$G$7="1/8 MOA",D17*8,"")))</f>
        <v/>
      </c>
      <c r="F17" s="9">
        <v>2.1</v>
      </c>
      <c r="G17" s="150">
        <f>IF(F17="","",IF('Powder Charge Log'!$G$7="0.1 Mil",F17*10,IF('Powder Charge Log'!$G$7="0.05 Mil",F17*20,"")))</f>
        <v>21</v>
      </c>
      <c r="H17" s="9">
        <v>7.2</v>
      </c>
      <c r="I17" s="150" t="str">
        <f>IF(H17="","",IF('Powder Charge Log'!$G$7="1/4 MOA",H17*4,IF('Powder Charge Log'!$G$7="1/8 MOA",H17*8,"")))</f>
        <v/>
      </c>
      <c r="J17" s="10">
        <v>1.46</v>
      </c>
      <c r="K17" s="39"/>
    </row>
    <row r="18" spans="1:11" ht="18.75" customHeight="1">
      <c r="A18" s="151">
        <v>1000</v>
      </c>
      <c r="B18" s="12">
        <v>7.3</v>
      </c>
      <c r="C18" s="152">
        <f>IF(B18="","",IF('Powder Charge Log'!$G$7="0.1 Mil",B18*10,IF('Powder Charge Log'!$G$7="0.05 Mil",B18*20,"")))</f>
        <v>73</v>
      </c>
      <c r="D18" s="12">
        <v>25</v>
      </c>
      <c r="E18" s="152" t="str">
        <f>IF(D18="","",IF('Powder Charge Log'!$G$7="1/4 MOA",D18*4,IF('Powder Charge Log'!$G$7="1/8 MOA",D18*8,"")))</f>
        <v/>
      </c>
      <c r="F18" s="12">
        <v>2.4</v>
      </c>
      <c r="G18" s="152">
        <f>IF(F18="","",IF('Powder Charge Log'!$G$7="0.1 Mil",F18*10,IF('Powder Charge Log'!$G$7="0.05 Mil",F18*20,"")))</f>
        <v>24</v>
      </c>
      <c r="H18" s="12">
        <v>8.1999999999999993</v>
      </c>
      <c r="I18" s="152" t="str">
        <f>IF(H18="","",IF('Powder Charge Log'!$G$7="1/4 MOA",H18*4,IF('Powder Charge Log'!$G$7="1/8 MOA",H18*8,"")))</f>
        <v/>
      </c>
      <c r="J18" s="14">
        <v>1.71</v>
      </c>
      <c r="K18" s="40"/>
    </row>
    <row r="19" spans="1:11" ht="12" customHeight="1"/>
    <row r="22" spans="1:11" ht="24" customHeight="1">
      <c r="A22" s="215" t="str">
        <f>IF(IFERROR('Load Library'!C6,"")="","LOAD #2  —  (empty — fill in Load Library row 6)","LOAD #2  —  "&amp;'Load Library'!C6)</f>
        <v>LOAD #2  —  6.5 CM 140 Berger Hybrid / H4350 42.1 / 0.020 jump</v>
      </c>
      <c r="B22" s="154"/>
      <c r="C22" s="169"/>
      <c r="D22" s="169"/>
      <c r="E22" s="169"/>
      <c r="F22" s="169"/>
      <c r="G22" s="169"/>
      <c r="H22" s="169"/>
      <c r="I22" s="169"/>
      <c r="J22" s="169"/>
      <c r="K22" s="169"/>
    </row>
    <row r="23" spans="1:11" ht="24" customHeight="1">
      <c r="A23" s="33" t="s">
        <v>58</v>
      </c>
      <c r="B23" s="148" t="str">
        <f>IF(IFERROR('Load Library'!D6,"")="","",'Load Library'!D6)</f>
        <v>Tikka T3X CTR 6.5 CM</v>
      </c>
      <c r="C23" s="34"/>
      <c r="D23" s="33" t="s">
        <v>73</v>
      </c>
      <c r="E23" s="148" t="str">
        <f>IF(IFERROR('Load Library'!E6,"")="","",'Load Library'!E6&amp;" ("&amp;'Load Library'!F6&amp;"gr)")</f>
        <v>Berger Hybrid Target (140gr)</v>
      </c>
      <c r="F23" s="34"/>
      <c r="G23" s="33" t="s">
        <v>149</v>
      </c>
      <c r="H23" s="148" t="str">
        <f>IF(IFERROR('Load Library'!H6,"")="","",'Load Library'!H6&amp;" gr "&amp;'Load Library'!G6)</f>
        <v>42.1 gr Hodgdon H4350</v>
      </c>
      <c r="I23" s="34"/>
      <c r="J23" s="33" t="s">
        <v>146</v>
      </c>
      <c r="K23" s="148" t="str">
        <f>IF(IFERROR('Load Library'!M6,"")="","",'Load Library'!M6&amp;" fps")</f>
        <v>2745 fps</v>
      </c>
    </row>
    <row r="24" spans="1:11" ht="21.75" customHeight="1">
      <c r="A24" s="35" t="s">
        <v>251</v>
      </c>
      <c r="B24" s="22"/>
      <c r="C24" s="36"/>
      <c r="D24" s="35" t="s">
        <v>252</v>
      </c>
      <c r="E24" s="37">
        <v>100</v>
      </c>
      <c r="F24" s="36"/>
      <c r="G24" s="35" t="s">
        <v>253</v>
      </c>
      <c r="H24" s="38">
        <v>1.75</v>
      </c>
      <c r="I24" s="36"/>
      <c r="J24" s="35" t="s">
        <v>254</v>
      </c>
      <c r="K24" s="22" t="s">
        <v>255</v>
      </c>
    </row>
    <row r="25" spans="1:11" ht="6" customHeight="1"/>
    <row r="26" spans="1:11" ht="36" customHeight="1">
      <c r="A26" s="8" t="s">
        <v>257</v>
      </c>
      <c r="B26" s="8" t="s">
        <v>267</v>
      </c>
      <c r="C26" s="8" t="s">
        <v>268</v>
      </c>
      <c r="D26" s="8" t="s">
        <v>269</v>
      </c>
      <c r="E26" s="8" t="s">
        <v>270</v>
      </c>
      <c r="F26" s="8" t="s">
        <v>271</v>
      </c>
      <c r="G26" s="8" t="s">
        <v>272</v>
      </c>
      <c r="H26" s="8" t="s">
        <v>273</v>
      </c>
      <c r="I26" s="8" t="s">
        <v>274</v>
      </c>
      <c r="J26" s="8" t="s">
        <v>266</v>
      </c>
      <c r="K26" s="8" t="s">
        <v>153</v>
      </c>
    </row>
    <row r="27" spans="1:11" ht="18.75" customHeight="1">
      <c r="A27" s="149">
        <v>100</v>
      </c>
      <c r="B27" s="9"/>
      <c r="C27" s="150" t="str">
        <f>IF(B27="","",IF('Powder Charge Log'!$G$7="0.1 Mil",B27*10,IF('Powder Charge Log'!$G$7="0.05 Mil",B27*20,"")))</f>
        <v/>
      </c>
      <c r="D27" s="9"/>
      <c r="E27" s="150" t="str">
        <f>IF(D27="","",IF('Powder Charge Log'!$G$7="1/4 MOA",D27*4,IF('Powder Charge Log'!$G$7="1/8 MOA",D27*8,"")))</f>
        <v/>
      </c>
      <c r="F27" s="9"/>
      <c r="G27" s="150" t="str">
        <f>IF(F27="","",IF('Powder Charge Log'!$G$7="0.1 Mil",F27*10,IF('Powder Charge Log'!$G$7="0.05 Mil",F27*20,"")))</f>
        <v/>
      </c>
      <c r="H27" s="9"/>
      <c r="I27" s="150" t="str">
        <f>IF(H27="","",IF('Powder Charge Log'!$G$7="1/4 MOA",H27*4,IF('Powder Charge Log'!$G$7="1/8 MOA",H27*8,"")))</f>
        <v/>
      </c>
      <c r="J27" s="10"/>
      <c r="K27" s="39"/>
    </row>
    <row r="28" spans="1:11" ht="18.75" customHeight="1">
      <c r="A28" s="151">
        <v>200</v>
      </c>
      <c r="B28" s="12"/>
      <c r="C28" s="152" t="str">
        <f>IF(B28="","",IF('Powder Charge Log'!$G$7="0.1 Mil",B28*10,IF('Powder Charge Log'!$G$7="0.05 Mil",B28*20,"")))</f>
        <v/>
      </c>
      <c r="D28" s="12"/>
      <c r="E28" s="152" t="str">
        <f>IF(D28="","",IF('Powder Charge Log'!$G$7="1/4 MOA",D28*4,IF('Powder Charge Log'!$G$7="1/8 MOA",D28*8,"")))</f>
        <v/>
      </c>
      <c r="F28" s="12"/>
      <c r="G28" s="152" t="str">
        <f>IF(F28="","",IF('Powder Charge Log'!$G$7="0.1 Mil",F28*10,IF('Powder Charge Log'!$G$7="0.05 Mil",F28*20,"")))</f>
        <v/>
      </c>
      <c r="H28" s="12"/>
      <c r="I28" s="152" t="str">
        <f>IF(H28="","",IF('Powder Charge Log'!$G$7="1/4 MOA",H28*4,IF('Powder Charge Log'!$G$7="1/8 MOA",H28*8,"")))</f>
        <v/>
      </c>
      <c r="J28" s="14"/>
      <c r="K28" s="40"/>
    </row>
    <row r="29" spans="1:11" ht="18.75" customHeight="1">
      <c r="A29" s="149">
        <v>300</v>
      </c>
      <c r="B29" s="9"/>
      <c r="C29" s="150" t="str">
        <f>IF(B29="","",IF('Powder Charge Log'!$G$7="0.1 Mil",B29*10,IF('Powder Charge Log'!$G$7="0.05 Mil",B29*20,"")))</f>
        <v/>
      </c>
      <c r="D29" s="9"/>
      <c r="E29" s="150" t="str">
        <f>IF(D29="","",IF('Powder Charge Log'!$G$7="1/4 MOA",D29*4,IF('Powder Charge Log'!$G$7="1/8 MOA",D29*8,"")))</f>
        <v/>
      </c>
      <c r="F29" s="9"/>
      <c r="G29" s="150" t="str">
        <f>IF(F29="","",IF('Powder Charge Log'!$G$7="0.1 Mil",F29*10,IF('Powder Charge Log'!$G$7="0.05 Mil",F29*20,"")))</f>
        <v/>
      </c>
      <c r="H29" s="9"/>
      <c r="I29" s="150" t="str">
        <f>IF(H29="","",IF('Powder Charge Log'!$G$7="1/4 MOA",H29*4,IF('Powder Charge Log'!$G$7="1/8 MOA",H29*8,"")))</f>
        <v/>
      </c>
      <c r="J29" s="10"/>
      <c r="K29" s="39"/>
    </row>
    <row r="30" spans="1:11" ht="18.75" customHeight="1">
      <c r="A30" s="151">
        <v>400</v>
      </c>
      <c r="B30" s="12"/>
      <c r="C30" s="152" t="str">
        <f>IF(B30="","",IF('Powder Charge Log'!$G$7="0.1 Mil",B30*10,IF('Powder Charge Log'!$G$7="0.05 Mil",B30*20,"")))</f>
        <v/>
      </c>
      <c r="D30" s="12"/>
      <c r="E30" s="152" t="str">
        <f>IF(D30="","",IF('Powder Charge Log'!$G$7="1/4 MOA",D30*4,IF('Powder Charge Log'!$G$7="1/8 MOA",D30*8,"")))</f>
        <v/>
      </c>
      <c r="F30" s="12"/>
      <c r="G30" s="152" t="str">
        <f>IF(F30="","",IF('Powder Charge Log'!$G$7="0.1 Mil",F30*10,IF('Powder Charge Log'!$G$7="0.05 Mil",F30*20,"")))</f>
        <v/>
      </c>
      <c r="H30" s="12"/>
      <c r="I30" s="152" t="str">
        <f>IF(H30="","",IF('Powder Charge Log'!$G$7="1/4 MOA",H30*4,IF('Powder Charge Log'!$G$7="1/8 MOA",H30*8,"")))</f>
        <v/>
      </c>
      <c r="J30" s="14"/>
      <c r="K30" s="40"/>
    </row>
    <row r="31" spans="1:11" ht="18.75" customHeight="1">
      <c r="A31" s="149">
        <v>500</v>
      </c>
      <c r="B31" s="9"/>
      <c r="C31" s="150" t="str">
        <f>IF(B31="","",IF('Powder Charge Log'!$G$7="0.1 Mil",B31*10,IF('Powder Charge Log'!$G$7="0.05 Mil",B31*20,"")))</f>
        <v/>
      </c>
      <c r="D31" s="9"/>
      <c r="E31" s="150" t="str">
        <f>IF(D31="","",IF('Powder Charge Log'!$G$7="1/4 MOA",D31*4,IF('Powder Charge Log'!$G$7="1/8 MOA",D31*8,"")))</f>
        <v/>
      </c>
      <c r="F31" s="9"/>
      <c r="G31" s="150" t="str">
        <f>IF(F31="","",IF('Powder Charge Log'!$G$7="0.1 Mil",F31*10,IF('Powder Charge Log'!$G$7="0.05 Mil",F31*20,"")))</f>
        <v/>
      </c>
      <c r="H31" s="9"/>
      <c r="I31" s="150" t="str">
        <f>IF(H31="","",IF('Powder Charge Log'!$G$7="1/4 MOA",H31*4,IF('Powder Charge Log'!$G$7="1/8 MOA",H31*8,"")))</f>
        <v/>
      </c>
      <c r="J31" s="10"/>
      <c r="K31" s="39"/>
    </row>
    <row r="32" spans="1:11" ht="18.75" customHeight="1">
      <c r="A32" s="151">
        <v>600</v>
      </c>
      <c r="B32" s="12"/>
      <c r="C32" s="152" t="str">
        <f>IF(B32="","",IF('Powder Charge Log'!$G$7="0.1 Mil",B32*10,IF('Powder Charge Log'!$G$7="0.05 Mil",B32*20,"")))</f>
        <v/>
      </c>
      <c r="D32" s="12"/>
      <c r="E32" s="152" t="str">
        <f>IF(D32="","",IF('Powder Charge Log'!$G$7="1/4 MOA",D32*4,IF('Powder Charge Log'!$G$7="1/8 MOA",D32*8,"")))</f>
        <v/>
      </c>
      <c r="F32" s="12"/>
      <c r="G32" s="152" t="str">
        <f>IF(F32="","",IF('Powder Charge Log'!$G$7="0.1 Mil",F32*10,IF('Powder Charge Log'!$G$7="0.05 Mil",F32*20,"")))</f>
        <v/>
      </c>
      <c r="H32" s="12"/>
      <c r="I32" s="152" t="str">
        <f>IF(H32="","",IF('Powder Charge Log'!$G$7="1/4 MOA",H32*4,IF('Powder Charge Log'!$G$7="1/8 MOA",H32*8,"")))</f>
        <v/>
      </c>
      <c r="J32" s="14"/>
      <c r="K32" s="40"/>
    </row>
    <row r="33" spans="1:11" ht="18.75" customHeight="1">
      <c r="A33" s="149">
        <v>700</v>
      </c>
      <c r="B33" s="9"/>
      <c r="C33" s="150" t="str">
        <f>IF(B33="","",IF('Powder Charge Log'!$G$7="0.1 Mil",B33*10,IF('Powder Charge Log'!$G$7="0.05 Mil",B33*20,"")))</f>
        <v/>
      </c>
      <c r="D33" s="9"/>
      <c r="E33" s="150" t="str">
        <f>IF(D33="","",IF('Powder Charge Log'!$G$7="1/4 MOA",D33*4,IF('Powder Charge Log'!$G$7="1/8 MOA",D33*8,"")))</f>
        <v/>
      </c>
      <c r="F33" s="9"/>
      <c r="G33" s="150" t="str">
        <f>IF(F33="","",IF('Powder Charge Log'!$G$7="0.1 Mil",F33*10,IF('Powder Charge Log'!$G$7="0.05 Mil",F33*20,"")))</f>
        <v/>
      </c>
      <c r="H33" s="9"/>
      <c r="I33" s="150" t="str">
        <f>IF(H33="","",IF('Powder Charge Log'!$G$7="1/4 MOA",H33*4,IF('Powder Charge Log'!$G$7="1/8 MOA",H33*8,"")))</f>
        <v/>
      </c>
      <c r="J33" s="10"/>
      <c r="K33" s="39"/>
    </row>
    <row r="34" spans="1:11" ht="18.75" customHeight="1">
      <c r="A34" s="151">
        <v>800</v>
      </c>
      <c r="B34" s="12"/>
      <c r="C34" s="152" t="str">
        <f>IF(B34="","",IF('Powder Charge Log'!$G$7="0.1 Mil",B34*10,IF('Powder Charge Log'!$G$7="0.05 Mil",B34*20,"")))</f>
        <v/>
      </c>
      <c r="D34" s="12"/>
      <c r="E34" s="152" t="str">
        <f>IF(D34="","",IF('Powder Charge Log'!$G$7="1/4 MOA",D34*4,IF('Powder Charge Log'!$G$7="1/8 MOA",D34*8,"")))</f>
        <v/>
      </c>
      <c r="F34" s="12"/>
      <c r="G34" s="152" t="str">
        <f>IF(F34="","",IF('Powder Charge Log'!$G$7="0.1 Mil",F34*10,IF('Powder Charge Log'!$G$7="0.05 Mil",F34*20,"")))</f>
        <v/>
      </c>
      <c r="H34" s="12"/>
      <c r="I34" s="152" t="str">
        <f>IF(H34="","",IF('Powder Charge Log'!$G$7="1/4 MOA",H34*4,IF('Powder Charge Log'!$G$7="1/8 MOA",H34*8,"")))</f>
        <v/>
      </c>
      <c r="J34" s="14"/>
      <c r="K34" s="40"/>
    </row>
    <row r="35" spans="1:11" ht="18.75" customHeight="1">
      <c r="A35" s="149">
        <v>900</v>
      </c>
      <c r="B35" s="9"/>
      <c r="C35" s="150" t="str">
        <f>IF(B35="","",IF('Powder Charge Log'!$G$7="0.1 Mil",B35*10,IF('Powder Charge Log'!$G$7="0.05 Mil",B35*20,"")))</f>
        <v/>
      </c>
      <c r="D35" s="9"/>
      <c r="E35" s="150" t="str">
        <f>IF(D35="","",IF('Powder Charge Log'!$G$7="1/4 MOA",D35*4,IF('Powder Charge Log'!$G$7="1/8 MOA",D35*8,"")))</f>
        <v/>
      </c>
      <c r="F35" s="9"/>
      <c r="G35" s="150" t="str">
        <f>IF(F35="","",IF('Powder Charge Log'!$G$7="0.1 Mil",F35*10,IF('Powder Charge Log'!$G$7="0.05 Mil",F35*20,"")))</f>
        <v/>
      </c>
      <c r="H35" s="9"/>
      <c r="I35" s="150" t="str">
        <f>IF(H35="","",IF('Powder Charge Log'!$G$7="1/4 MOA",H35*4,IF('Powder Charge Log'!$G$7="1/8 MOA",H35*8,"")))</f>
        <v/>
      </c>
      <c r="J35" s="10"/>
      <c r="K35" s="39"/>
    </row>
    <row r="36" spans="1:11" ht="18.75" customHeight="1">
      <c r="A36" s="151">
        <v>1000</v>
      </c>
      <c r="B36" s="12"/>
      <c r="C36" s="152" t="str">
        <f>IF(B36="","",IF('Powder Charge Log'!$G$7="0.1 Mil",B36*10,IF('Powder Charge Log'!$G$7="0.05 Mil",B36*20,"")))</f>
        <v/>
      </c>
      <c r="D36" s="12"/>
      <c r="E36" s="152" t="str">
        <f>IF(D36="","",IF('Powder Charge Log'!$G$7="1/4 MOA",D36*4,IF('Powder Charge Log'!$G$7="1/8 MOA",D36*8,"")))</f>
        <v/>
      </c>
      <c r="F36" s="12"/>
      <c r="G36" s="152" t="str">
        <f>IF(F36="","",IF('Powder Charge Log'!$G$7="0.1 Mil",F36*10,IF('Powder Charge Log'!$G$7="0.05 Mil",F36*20,"")))</f>
        <v/>
      </c>
      <c r="H36" s="12"/>
      <c r="I36" s="152" t="str">
        <f>IF(H36="","",IF('Powder Charge Log'!$G$7="1/4 MOA",H36*4,IF('Powder Charge Log'!$G$7="1/8 MOA",H36*8,"")))</f>
        <v/>
      </c>
      <c r="J36" s="14"/>
      <c r="K36" s="40"/>
    </row>
    <row r="37" spans="1:11" ht="12" customHeight="1"/>
    <row r="40" spans="1:11" ht="24" customHeight="1">
      <c r="A40" s="215" t="str">
        <f>IF(IFERROR('Load Library'!C7,"")="","LOAD #3  —  (empty — fill in Load Library row 7)","LOAD #3  —  "&amp;'Load Library'!C7)</f>
        <v>LOAD #3  —  6 ARC 108 ELD-M / CFE 223 26.5 / 0.040 jump</v>
      </c>
      <c r="B40" s="154"/>
      <c r="C40" s="169"/>
      <c r="D40" s="169"/>
      <c r="E40" s="169"/>
      <c r="F40" s="169"/>
      <c r="G40" s="169"/>
      <c r="H40" s="169"/>
      <c r="I40" s="169"/>
      <c r="J40" s="169"/>
      <c r="K40" s="169"/>
    </row>
    <row r="41" spans="1:11" ht="24" customHeight="1">
      <c r="A41" s="33" t="s">
        <v>58</v>
      </c>
      <c r="B41" s="148" t="str">
        <f>IF(IFERROR('Load Library'!D7,"")="","",'Load Library'!D7)</f>
        <v>Bergara B14 HMR 6 ARC</v>
      </c>
      <c r="C41" s="34"/>
      <c r="D41" s="33" t="s">
        <v>73</v>
      </c>
      <c r="E41" s="148" t="str">
        <f>IF(IFERROR('Load Library'!E7,"")="","",'Load Library'!E7&amp;" ("&amp;'Load Library'!F7&amp;"gr)")</f>
        <v>Hornady ELD-M (108gr)</v>
      </c>
      <c r="F41" s="34"/>
      <c r="G41" s="33" t="s">
        <v>149</v>
      </c>
      <c r="H41" s="148" t="str">
        <f>IF(IFERROR('Load Library'!H7,"")="","",'Load Library'!H7&amp;" gr "&amp;'Load Library'!G7)</f>
        <v>26.5 gr Hodgdon CFE 223</v>
      </c>
      <c r="I41" s="34"/>
      <c r="J41" s="33" t="s">
        <v>146</v>
      </c>
      <c r="K41" s="148" t="str">
        <f>IF(IFERROR('Load Library'!M7,"")="","",'Load Library'!M7&amp;" fps")</f>
        <v>2680 fps</v>
      </c>
    </row>
    <row r="42" spans="1:11" ht="21.75" customHeight="1">
      <c r="A42" s="35" t="s">
        <v>251</v>
      </c>
      <c r="B42" s="22"/>
      <c r="C42" s="36"/>
      <c r="D42" s="35" t="s">
        <v>252</v>
      </c>
      <c r="E42" s="37">
        <v>100</v>
      </c>
      <c r="F42" s="36"/>
      <c r="G42" s="35" t="s">
        <v>253</v>
      </c>
      <c r="H42" s="38">
        <v>1.75</v>
      </c>
      <c r="I42" s="36"/>
      <c r="J42" s="35" t="s">
        <v>254</v>
      </c>
      <c r="K42" s="22" t="s">
        <v>255</v>
      </c>
    </row>
    <row r="43" spans="1:11" ht="6" customHeight="1"/>
    <row r="44" spans="1:11" ht="36" customHeight="1">
      <c r="A44" s="8" t="s">
        <v>257</v>
      </c>
      <c r="B44" s="8" t="s">
        <v>267</v>
      </c>
      <c r="C44" s="8" t="s">
        <v>268</v>
      </c>
      <c r="D44" s="8" t="s">
        <v>269</v>
      </c>
      <c r="E44" s="8" t="s">
        <v>270</v>
      </c>
      <c r="F44" s="8" t="s">
        <v>271</v>
      </c>
      <c r="G44" s="8" t="s">
        <v>272</v>
      </c>
      <c r="H44" s="8" t="s">
        <v>273</v>
      </c>
      <c r="I44" s="8" t="s">
        <v>274</v>
      </c>
      <c r="J44" s="8" t="s">
        <v>266</v>
      </c>
      <c r="K44" s="8" t="s">
        <v>153</v>
      </c>
    </row>
    <row r="45" spans="1:11" ht="18.75" customHeight="1">
      <c r="A45" s="149">
        <v>100</v>
      </c>
      <c r="B45" s="9"/>
      <c r="C45" s="150" t="str">
        <f>IF(B45="","",IF('Powder Charge Log'!$G$7="0.1 Mil",B45*10,IF('Powder Charge Log'!$G$7="0.05 Mil",B45*20,"")))</f>
        <v/>
      </c>
      <c r="D45" s="9"/>
      <c r="E45" s="150" t="str">
        <f>IF(D45="","",IF('Powder Charge Log'!$G$7="1/4 MOA",D45*4,IF('Powder Charge Log'!$G$7="1/8 MOA",D45*8,"")))</f>
        <v/>
      </c>
      <c r="F45" s="9"/>
      <c r="G45" s="150" t="str">
        <f>IF(F45="","",IF('Powder Charge Log'!$G$7="0.1 Mil",F45*10,IF('Powder Charge Log'!$G$7="0.05 Mil",F45*20,"")))</f>
        <v/>
      </c>
      <c r="H45" s="9"/>
      <c r="I45" s="150" t="str">
        <f>IF(H45="","",IF('Powder Charge Log'!$G$7="1/4 MOA",H45*4,IF('Powder Charge Log'!$G$7="1/8 MOA",H45*8,"")))</f>
        <v/>
      </c>
      <c r="J45" s="10"/>
      <c r="K45" s="39"/>
    </row>
    <row r="46" spans="1:11" ht="18.75" customHeight="1">
      <c r="A46" s="151">
        <v>200</v>
      </c>
      <c r="B46" s="12"/>
      <c r="C46" s="152" t="str">
        <f>IF(B46="","",IF('Powder Charge Log'!$G$7="0.1 Mil",B46*10,IF('Powder Charge Log'!$G$7="0.05 Mil",B46*20,"")))</f>
        <v/>
      </c>
      <c r="D46" s="12"/>
      <c r="E46" s="152" t="str">
        <f>IF(D46="","",IF('Powder Charge Log'!$G$7="1/4 MOA",D46*4,IF('Powder Charge Log'!$G$7="1/8 MOA",D46*8,"")))</f>
        <v/>
      </c>
      <c r="F46" s="12"/>
      <c r="G46" s="152" t="str">
        <f>IF(F46="","",IF('Powder Charge Log'!$G$7="0.1 Mil",F46*10,IF('Powder Charge Log'!$G$7="0.05 Mil",F46*20,"")))</f>
        <v/>
      </c>
      <c r="H46" s="12"/>
      <c r="I46" s="152" t="str">
        <f>IF(H46="","",IF('Powder Charge Log'!$G$7="1/4 MOA",H46*4,IF('Powder Charge Log'!$G$7="1/8 MOA",H46*8,"")))</f>
        <v/>
      </c>
      <c r="J46" s="14"/>
      <c r="K46" s="40"/>
    </row>
    <row r="47" spans="1:11" ht="18.75" customHeight="1">
      <c r="A47" s="149">
        <v>300</v>
      </c>
      <c r="B47" s="9"/>
      <c r="C47" s="150" t="str">
        <f>IF(B47="","",IF('Powder Charge Log'!$G$7="0.1 Mil",B47*10,IF('Powder Charge Log'!$G$7="0.05 Mil",B47*20,"")))</f>
        <v/>
      </c>
      <c r="D47" s="9"/>
      <c r="E47" s="150" t="str">
        <f>IF(D47="","",IF('Powder Charge Log'!$G$7="1/4 MOA",D47*4,IF('Powder Charge Log'!$G$7="1/8 MOA",D47*8,"")))</f>
        <v/>
      </c>
      <c r="F47" s="9"/>
      <c r="G47" s="150" t="str">
        <f>IF(F47="","",IF('Powder Charge Log'!$G$7="0.1 Mil",F47*10,IF('Powder Charge Log'!$G$7="0.05 Mil",F47*20,"")))</f>
        <v/>
      </c>
      <c r="H47" s="9"/>
      <c r="I47" s="150" t="str">
        <f>IF(H47="","",IF('Powder Charge Log'!$G$7="1/4 MOA",H47*4,IF('Powder Charge Log'!$G$7="1/8 MOA",H47*8,"")))</f>
        <v/>
      </c>
      <c r="J47" s="10"/>
      <c r="K47" s="39"/>
    </row>
    <row r="48" spans="1:11" ht="18.75" customHeight="1">
      <c r="A48" s="151">
        <v>400</v>
      </c>
      <c r="B48" s="12"/>
      <c r="C48" s="152" t="str">
        <f>IF(B48="","",IF('Powder Charge Log'!$G$7="0.1 Mil",B48*10,IF('Powder Charge Log'!$G$7="0.05 Mil",B48*20,"")))</f>
        <v/>
      </c>
      <c r="D48" s="12"/>
      <c r="E48" s="152" t="str">
        <f>IF(D48="","",IF('Powder Charge Log'!$G$7="1/4 MOA",D48*4,IF('Powder Charge Log'!$G$7="1/8 MOA",D48*8,"")))</f>
        <v/>
      </c>
      <c r="F48" s="12"/>
      <c r="G48" s="152" t="str">
        <f>IF(F48="","",IF('Powder Charge Log'!$G$7="0.1 Mil",F48*10,IF('Powder Charge Log'!$G$7="0.05 Mil",F48*20,"")))</f>
        <v/>
      </c>
      <c r="H48" s="12"/>
      <c r="I48" s="152" t="str">
        <f>IF(H48="","",IF('Powder Charge Log'!$G$7="1/4 MOA",H48*4,IF('Powder Charge Log'!$G$7="1/8 MOA",H48*8,"")))</f>
        <v/>
      </c>
      <c r="J48" s="14"/>
      <c r="K48" s="40"/>
    </row>
    <row r="49" spans="1:11" ht="18.75" customHeight="1">
      <c r="A49" s="149">
        <v>500</v>
      </c>
      <c r="B49" s="9"/>
      <c r="C49" s="150" t="str">
        <f>IF(B49="","",IF('Powder Charge Log'!$G$7="0.1 Mil",B49*10,IF('Powder Charge Log'!$G$7="0.05 Mil",B49*20,"")))</f>
        <v/>
      </c>
      <c r="D49" s="9"/>
      <c r="E49" s="150" t="str">
        <f>IF(D49="","",IF('Powder Charge Log'!$G$7="1/4 MOA",D49*4,IF('Powder Charge Log'!$G$7="1/8 MOA",D49*8,"")))</f>
        <v/>
      </c>
      <c r="F49" s="9"/>
      <c r="G49" s="150" t="str">
        <f>IF(F49="","",IF('Powder Charge Log'!$G$7="0.1 Mil",F49*10,IF('Powder Charge Log'!$G$7="0.05 Mil",F49*20,"")))</f>
        <v/>
      </c>
      <c r="H49" s="9"/>
      <c r="I49" s="150" t="str">
        <f>IF(H49="","",IF('Powder Charge Log'!$G$7="1/4 MOA",H49*4,IF('Powder Charge Log'!$G$7="1/8 MOA",H49*8,"")))</f>
        <v/>
      </c>
      <c r="J49" s="10"/>
      <c r="K49" s="39"/>
    </row>
    <row r="50" spans="1:11" ht="18.75" customHeight="1">
      <c r="A50" s="151">
        <v>600</v>
      </c>
      <c r="B50" s="12"/>
      <c r="C50" s="152" t="str">
        <f>IF(B50="","",IF('Powder Charge Log'!$G$7="0.1 Mil",B50*10,IF('Powder Charge Log'!$G$7="0.05 Mil",B50*20,"")))</f>
        <v/>
      </c>
      <c r="D50" s="12"/>
      <c r="E50" s="152" t="str">
        <f>IF(D50="","",IF('Powder Charge Log'!$G$7="1/4 MOA",D50*4,IF('Powder Charge Log'!$G$7="1/8 MOA",D50*8,"")))</f>
        <v/>
      </c>
      <c r="F50" s="12"/>
      <c r="G50" s="152" t="str">
        <f>IF(F50="","",IF('Powder Charge Log'!$G$7="0.1 Mil",F50*10,IF('Powder Charge Log'!$G$7="0.05 Mil",F50*20,"")))</f>
        <v/>
      </c>
      <c r="H50" s="12"/>
      <c r="I50" s="152" t="str">
        <f>IF(H50="","",IF('Powder Charge Log'!$G$7="1/4 MOA",H50*4,IF('Powder Charge Log'!$G$7="1/8 MOA",H50*8,"")))</f>
        <v/>
      </c>
      <c r="J50" s="14"/>
      <c r="K50" s="40"/>
    </row>
    <row r="51" spans="1:11" ht="18.75" customHeight="1">
      <c r="A51" s="149">
        <v>700</v>
      </c>
      <c r="B51" s="9"/>
      <c r="C51" s="150" t="str">
        <f>IF(B51="","",IF('Powder Charge Log'!$G$7="0.1 Mil",B51*10,IF('Powder Charge Log'!$G$7="0.05 Mil",B51*20,"")))</f>
        <v/>
      </c>
      <c r="D51" s="9"/>
      <c r="E51" s="150" t="str">
        <f>IF(D51="","",IF('Powder Charge Log'!$G$7="1/4 MOA",D51*4,IF('Powder Charge Log'!$G$7="1/8 MOA",D51*8,"")))</f>
        <v/>
      </c>
      <c r="F51" s="9"/>
      <c r="G51" s="150" t="str">
        <f>IF(F51="","",IF('Powder Charge Log'!$G$7="0.1 Mil",F51*10,IF('Powder Charge Log'!$G$7="0.05 Mil",F51*20,"")))</f>
        <v/>
      </c>
      <c r="H51" s="9"/>
      <c r="I51" s="150" t="str">
        <f>IF(H51="","",IF('Powder Charge Log'!$G$7="1/4 MOA",H51*4,IF('Powder Charge Log'!$G$7="1/8 MOA",H51*8,"")))</f>
        <v/>
      </c>
      <c r="J51" s="10"/>
      <c r="K51" s="39"/>
    </row>
    <row r="52" spans="1:11" ht="18.75" customHeight="1">
      <c r="A52" s="151">
        <v>800</v>
      </c>
      <c r="B52" s="12"/>
      <c r="C52" s="152" t="str">
        <f>IF(B52="","",IF('Powder Charge Log'!$G$7="0.1 Mil",B52*10,IF('Powder Charge Log'!$G$7="0.05 Mil",B52*20,"")))</f>
        <v/>
      </c>
      <c r="D52" s="12"/>
      <c r="E52" s="152" t="str">
        <f>IF(D52="","",IF('Powder Charge Log'!$G$7="1/4 MOA",D52*4,IF('Powder Charge Log'!$G$7="1/8 MOA",D52*8,"")))</f>
        <v/>
      </c>
      <c r="F52" s="12"/>
      <c r="G52" s="152" t="str">
        <f>IF(F52="","",IF('Powder Charge Log'!$G$7="0.1 Mil",F52*10,IF('Powder Charge Log'!$G$7="0.05 Mil",F52*20,"")))</f>
        <v/>
      </c>
      <c r="H52" s="12"/>
      <c r="I52" s="152" t="str">
        <f>IF(H52="","",IF('Powder Charge Log'!$G$7="1/4 MOA",H52*4,IF('Powder Charge Log'!$G$7="1/8 MOA",H52*8,"")))</f>
        <v/>
      </c>
      <c r="J52" s="14"/>
      <c r="K52" s="40"/>
    </row>
    <row r="53" spans="1:11" ht="18.75" customHeight="1">
      <c r="A53" s="149">
        <v>900</v>
      </c>
      <c r="B53" s="9"/>
      <c r="C53" s="150" t="str">
        <f>IF(B53="","",IF('Powder Charge Log'!$G$7="0.1 Mil",B53*10,IF('Powder Charge Log'!$G$7="0.05 Mil",B53*20,"")))</f>
        <v/>
      </c>
      <c r="D53" s="9"/>
      <c r="E53" s="150" t="str">
        <f>IF(D53="","",IF('Powder Charge Log'!$G$7="1/4 MOA",D53*4,IF('Powder Charge Log'!$G$7="1/8 MOA",D53*8,"")))</f>
        <v/>
      </c>
      <c r="F53" s="9"/>
      <c r="G53" s="150" t="str">
        <f>IF(F53="","",IF('Powder Charge Log'!$G$7="0.1 Mil",F53*10,IF('Powder Charge Log'!$G$7="0.05 Mil",F53*20,"")))</f>
        <v/>
      </c>
      <c r="H53" s="9"/>
      <c r="I53" s="150" t="str">
        <f>IF(H53="","",IF('Powder Charge Log'!$G$7="1/4 MOA",H53*4,IF('Powder Charge Log'!$G$7="1/8 MOA",H53*8,"")))</f>
        <v/>
      </c>
      <c r="J53" s="10"/>
      <c r="K53" s="39"/>
    </row>
    <row r="54" spans="1:11" ht="18.75" customHeight="1">
      <c r="A54" s="151">
        <v>1000</v>
      </c>
      <c r="B54" s="12"/>
      <c r="C54" s="152" t="str">
        <f>IF(B54="","",IF('Powder Charge Log'!$G$7="0.1 Mil",B54*10,IF('Powder Charge Log'!$G$7="0.05 Mil",B54*20,"")))</f>
        <v/>
      </c>
      <c r="D54" s="12"/>
      <c r="E54" s="152" t="str">
        <f>IF(D54="","",IF('Powder Charge Log'!$G$7="1/4 MOA",D54*4,IF('Powder Charge Log'!$G$7="1/8 MOA",D54*8,"")))</f>
        <v/>
      </c>
      <c r="F54" s="12"/>
      <c r="G54" s="152" t="str">
        <f>IF(F54="","",IF('Powder Charge Log'!$G$7="0.1 Mil",F54*10,IF('Powder Charge Log'!$G$7="0.05 Mil",F54*20,"")))</f>
        <v/>
      </c>
      <c r="H54" s="12"/>
      <c r="I54" s="152" t="str">
        <f>IF(H54="","",IF('Powder Charge Log'!$G$7="1/4 MOA",H54*4,IF('Powder Charge Log'!$G$7="1/8 MOA",H54*8,"")))</f>
        <v/>
      </c>
      <c r="J54" s="14"/>
      <c r="K54" s="40"/>
    </row>
    <row r="55" spans="1:11" ht="12" customHeight="1"/>
    <row r="58" spans="1:11" ht="24" customHeight="1">
      <c r="A58" s="215" t="str">
        <f>IF(IFERROR('Load Library'!C8,"")="","LOAD #4  —  (empty — fill in Load Library row 8)","LOAD #4  —  "&amp;'Load Library'!C8)</f>
        <v>LOAD #4  —  (empty — fill in Load Library row 8)</v>
      </c>
      <c r="B58" s="154"/>
      <c r="C58" s="169"/>
      <c r="D58" s="169"/>
      <c r="E58" s="169"/>
      <c r="F58" s="169"/>
      <c r="G58" s="169"/>
      <c r="H58" s="169"/>
      <c r="I58" s="169"/>
      <c r="J58" s="169"/>
      <c r="K58" s="169"/>
    </row>
    <row r="59" spans="1:11" ht="24" customHeight="1">
      <c r="A59" s="33" t="s">
        <v>58</v>
      </c>
      <c r="B59" s="148" t="str">
        <f>IF(IFERROR('Load Library'!D8,"")="","",'Load Library'!D8)</f>
        <v/>
      </c>
      <c r="C59" s="34"/>
      <c r="D59" s="33" t="s">
        <v>73</v>
      </c>
      <c r="E59" s="148" t="str">
        <f>IF(IFERROR('Load Library'!E8,"")="","",'Load Library'!E8&amp;" ("&amp;'Load Library'!F8&amp;"gr)")</f>
        <v/>
      </c>
      <c r="F59" s="34"/>
      <c r="G59" s="33" t="s">
        <v>149</v>
      </c>
      <c r="H59" s="148" t="str">
        <f>IF(IFERROR('Load Library'!H8,"")="","",'Load Library'!H8&amp;" gr "&amp;'Load Library'!G8)</f>
        <v/>
      </c>
      <c r="I59" s="34"/>
      <c r="J59" s="33" t="s">
        <v>146</v>
      </c>
      <c r="K59" s="148" t="str">
        <f>IF(IFERROR('Load Library'!M8,"")="","",'Load Library'!M8&amp;" fps")</f>
        <v/>
      </c>
    </row>
    <row r="60" spans="1:11" ht="21.75" customHeight="1">
      <c r="A60" s="35" t="s">
        <v>251</v>
      </c>
      <c r="B60" s="22"/>
      <c r="C60" s="36"/>
      <c r="D60" s="35" t="s">
        <v>252</v>
      </c>
      <c r="E60" s="37">
        <v>100</v>
      </c>
      <c r="F60" s="36"/>
      <c r="G60" s="35" t="s">
        <v>253</v>
      </c>
      <c r="H60" s="38">
        <v>1.75</v>
      </c>
      <c r="I60" s="36"/>
      <c r="J60" s="35" t="s">
        <v>254</v>
      </c>
      <c r="K60" s="22" t="s">
        <v>255</v>
      </c>
    </row>
    <row r="61" spans="1:11" ht="6" customHeight="1"/>
    <row r="62" spans="1:11" ht="36" customHeight="1">
      <c r="A62" s="8" t="s">
        <v>257</v>
      </c>
      <c r="B62" s="8" t="s">
        <v>267</v>
      </c>
      <c r="C62" s="8" t="s">
        <v>268</v>
      </c>
      <c r="D62" s="8" t="s">
        <v>269</v>
      </c>
      <c r="E62" s="8" t="s">
        <v>270</v>
      </c>
      <c r="F62" s="8" t="s">
        <v>271</v>
      </c>
      <c r="G62" s="8" t="s">
        <v>272</v>
      </c>
      <c r="H62" s="8" t="s">
        <v>273</v>
      </c>
      <c r="I62" s="8" t="s">
        <v>274</v>
      </c>
      <c r="J62" s="8" t="s">
        <v>266</v>
      </c>
      <c r="K62" s="8" t="s">
        <v>153</v>
      </c>
    </row>
    <row r="63" spans="1:11" ht="18.75" customHeight="1">
      <c r="A63" s="149">
        <v>100</v>
      </c>
      <c r="B63" s="9"/>
      <c r="C63" s="150" t="str">
        <f>IF(B63="","",IF('Powder Charge Log'!$G$7="0.1 Mil",B63*10,IF('Powder Charge Log'!$G$7="0.05 Mil",B63*20,"")))</f>
        <v/>
      </c>
      <c r="D63" s="9"/>
      <c r="E63" s="150" t="str">
        <f>IF(D63="","",IF('Powder Charge Log'!$G$7="1/4 MOA",D63*4,IF('Powder Charge Log'!$G$7="1/8 MOA",D63*8,"")))</f>
        <v/>
      </c>
      <c r="F63" s="9"/>
      <c r="G63" s="150" t="str">
        <f>IF(F63="","",IF('Powder Charge Log'!$G$7="0.1 Mil",F63*10,IF('Powder Charge Log'!$G$7="0.05 Mil",F63*20,"")))</f>
        <v/>
      </c>
      <c r="H63" s="9"/>
      <c r="I63" s="150" t="str">
        <f>IF(H63="","",IF('Powder Charge Log'!$G$7="1/4 MOA",H63*4,IF('Powder Charge Log'!$G$7="1/8 MOA",H63*8,"")))</f>
        <v/>
      </c>
      <c r="J63" s="10"/>
      <c r="K63" s="39"/>
    </row>
    <row r="64" spans="1:11" ht="18.75" customHeight="1">
      <c r="A64" s="151">
        <v>200</v>
      </c>
      <c r="B64" s="12"/>
      <c r="C64" s="152" t="str">
        <f>IF(B64="","",IF('Powder Charge Log'!$G$7="0.1 Mil",B64*10,IF('Powder Charge Log'!$G$7="0.05 Mil",B64*20,"")))</f>
        <v/>
      </c>
      <c r="D64" s="12"/>
      <c r="E64" s="152" t="str">
        <f>IF(D64="","",IF('Powder Charge Log'!$G$7="1/4 MOA",D64*4,IF('Powder Charge Log'!$G$7="1/8 MOA",D64*8,"")))</f>
        <v/>
      </c>
      <c r="F64" s="12"/>
      <c r="G64" s="152" t="str">
        <f>IF(F64="","",IF('Powder Charge Log'!$G$7="0.1 Mil",F64*10,IF('Powder Charge Log'!$G$7="0.05 Mil",F64*20,"")))</f>
        <v/>
      </c>
      <c r="H64" s="12"/>
      <c r="I64" s="152" t="str">
        <f>IF(H64="","",IF('Powder Charge Log'!$G$7="1/4 MOA",H64*4,IF('Powder Charge Log'!$G$7="1/8 MOA",H64*8,"")))</f>
        <v/>
      </c>
      <c r="J64" s="14"/>
      <c r="K64" s="40"/>
    </row>
    <row r="65" spans="1:11" ht="18.75" customHeight="1">
      <c r="A65" s="149">
        <v>300</v>
      </c>
      <c r="B65" s="9"/>
      <c r="C65" s="150" t="str">
        <f>IF(B65="","",IF('Powder Charge Log'!$G$7="0.1 Mil",B65*10,IF('Powder Charge Log'!$G$7="0.05 Mil",B65*20,"")))</f>
        <v/>
      </c>
      <c r="D65" s="9"/>
      <c r="E65" s="150" t="str">
        <f>IF(D65="","",IF('Powder Charge Log'!$G$7="1/4 MOA",D65*4,IF('Powder Charge Log'!$G$7="1/8 MOA",D65*8,"")))</f>
        <v/>
      </c>
      <c r="F65" s="9"/>
      <c r="G65" s="150" t="str">
        <f>IF(F65="","",IF('Powder Charge Log'!$G$7="0.1 Mil",F65*10,IF('Powder Charge Log'!$G$7="0.05 Mil",F65*20,"")))</f>
        <v/>
      </c>
      <c r="H65" s="9"/>
      <c r="I65" s="150" t="str">
        <f>IF(H65="","",IF('Powder Charge Log'!$G$7="1/4 MOA",H65*4,IF('Powder Charge Log'!$G$7="1/8 MOA",H65*8,"")))</f>
        <v/>
      </c>
      <c r="J65" s="10"/>
      <c r="K65" s="39"/>
    </row>
    <row r="66" spans="1:11" ht="18.75" customHeight="1">
      <c r="A66" s="151">
        <v>400</v>
      </c>
      <c r="B66" s="12"/>
      <c r="C66" s="152" t="str">
        <f>IF(B66="","",IF('Powder Charge Log'!$G$7="0.1 Mil",B66*10,IF('Powder Charge Log'!$G$7="0.05 Mil",B66*20,"")))</f>
        <v/>
      </c>
      <c r="D66" s="12"/>
      <c r="E66" s="152" t="str">
        <f>IF(D66="","",IF('Powder Charge Log'!$G$7="1/4 MOA",D66*4,IF('Powder Charge Log'!$G$7="1/8 MOA",D66*8,"")))</f>
        <v/>
      </c>
      <c r="F66" s="12"/>
      <c r="G66" s="152" t="str">
        <f>IF(F66="","",IF('Powder Charge Log'!$G$7="0.1 Mil",F66*10,IF('Powder Charge Log'!$G$7="0.05 Mil",F66*20,"")))</f>
        <v/>
      </c>
      <c r="H66" s="12"/>
      <c r="I66" s="152" t="str">
        <f>IF(H66="","",IF('Powder Charge Log'!$G$7="1/4 MOA",H66*4,IF('Powder Charge Log'!$G$7="1/8 MOA",H66*8,"")))</f>
        <v/>
      </c>
      <c r="J66" s="14"/>
      <c r="K66" s="40"/>
    </row>
    <row r="67" spans="1:11" ht="18.75" customHeight="1">
      <c r="A67" s="149">
        <v>500</v>
      </c>
      <c r="B67" s="9"/>
      <c r="C67" s="150" t="str">
        <f>IF(B67="","",IF('Powder Charge Log'!$G$7="0.1 Mil",B67*10,IF('Powder Charge Log'!$G$7="0.05 Mil",B67*20,"")))</f>
        <v/>
      </c>
      <c r="D67" s="9"/>
      <c r="E67" s="150" t="str">
        <f>IF(D67="","",IF('Powder Charge Log'!$G$7="1/4 MOA",D67*4,IF('Powder Charge Log'!$G$7="1/8 MOA",D67*8,"")))</f>
        <v/>
      </c>
      <c r="F67" s="9"/>
      <c r="G67" s="150" t="str">
        <f>IF(F67="","",IF('Powder Charge Log'!$G$7="0.1 Mil",F67*10,IF('Powder Charge Log'!$G$7="0.05 Mil",F67*20,"")))</f>
        <v/>
      </c>
      <c r="H67" s="9"/>
      <c r="I67" s="150" t="str">
        <f>IF(H67="","",IF('Powder Charge Log'!$G$7="1/4 MOA",H67*4,IF('Powder Charge Log'!$G$7="1/8 MOA",H67*8,"")))</f>
        <v/>
      </c>
      <c r="J67" s="10"/>
      <c r="K67" s="39"/>
    </row>
    <row r="68" spans="1:11" ht="18.75" customHeight="1">
      <c r="A68" s="151">
        <v>600</v>
      </c>
      <c r="B68" s="12"/>
      <c r="C68" s="152" t="str">
        <f>IF(B68="","",IF('Powder Charge Log'!$G$7="0.1 Mil",B68*10,IF('Powder Charge Log'!$G$7="0.05 Mil",B68*20,"")))</f>
        <v/>
      </c>
      <c r="D68" s="12"/>
      <c r="E68" s="152" t="str">
        <f>IF(D68="","",IF('Powder Charge Log'!$G$7="1/4 MOA",D68*4,IF('Powder Charge Log'!$G$7="1/8 MOA",D68*8,"")))</f>
        <v/>
      </c>
      <c r="F68" s="12"/>
      <c r="G68" s="152" t="str">
        <f>IF(F68="","",IF('Powder Charge Log'!$G$7="0.1 Mil",F68*10,IF('Powder Charge Log'!$G$7="0.05 Mil",F68*20,"")))</f>
        <v/>
      </c>
      <c r="H68" s="12"/>
      <c r="I68" s="152" t="str">
        <f>IF(H68="","",IF('Powder Charge Log'!$G$7="1/4 MOA",H68*4,IF('Powder Charge Log'!$G$7="1/8 MOA",H68*8,"")))</f>
        <v/>
      </c>
      <c r="J68" s="14"/>
      <c r="K68" s="40"/>
    </row>
    <row r="69" spans="1:11" ht="18.75" customHeight="1">
      <c r="A69" s="149">
        <v>700</v>
      </c>
      <c r="B69" s="9"/>
      <c r="C69" s="150" t="str">
        <f>IF(B69="","",IF('Powder Charge Log'!$G$7="0.1 Mil",B69*10,IF('Powder Charge Log'!$G$7="0.05 Mil",B69*20,"")))</f>
        <v/>
      </c>
      <c r="D69" s="9"/>
      <c r="E69" s="150" t="str">
        <f>IF(D69="","",IF('Powder Charge Log'!$G$7="1/4 MOA",D69*4,IF('Powder Charge Log'!$G$7="1/8 MOA",D69*8,"")))</f>
        <v/>
      </c>
      <c r="F69" s="9"/>
      <c r="G69" s="150" t="str">
        <f>IF(F69="","",IF('Powder Charge Log'!$G$7="0.1 Mil",F69*10,IF('Powder Charge Log'!$G$7="0.05 Mil",F69*20,"")))</f>
        <v/>
      </c>
      <c r="H69" s="9"/>
      <c r="I69" s="150" t="str">
        <f>IF(H69="","",IF('Powder Charge Log'!$G$7="1/4 MOA",H69*4,IF('Powder Charge Log'!$G$7="1/8 MOA",H69*8,"")))</f>
        <v/>
      </c>
      <c r="J69" s="10"/>
      <c r="K69" s="39"/>
    </row>
    <row r="70" spans="1:11" ht="18.75" customHeight="1">
      <c r="A70" s="151">
        <v>800</v>
      </c>
      <c r="B70" s="12"/>
      <c r="C70" s="152" t="str">
        <f>IF(B70="","",IF('Powder Charge Log'!$G$7="0.1 Mil",B70*10,IF('Powder Charge Log'!$G$7="0.05 Mil",B70*20,"")))</f>
        <v/>
      </c>
      <c r="D70" s="12"/>
      <c r="E70" s="152" t="str">
        <f>IF(D70="","",IF('Powder Charge Log'!$G$7="1/4 MOA",D70*4,IF('Powder Charge Log'!$G$7="1/8 MOA",D70*8,"")))</f>
        <v/>
      </c>
      <c r="F70" s="12"/>
      <c r="G70" s="152" t="str">
        <f>IF(F70="","",IF('Powder Charge Log'!$G$7="0.1 Mil",F70*10,IF('Powder Charge Log'!$G$7="0.05 Mil",F70*20,"")))</f>
        <v/>
      </c>
      <c r="H70" s="12"/>
      <c r="I70" s="152" t="str">
        <f>IF(H70="","",IF('Powder Charge Log'!$G$7="1/4 MOA",H70*4,IF('Powder Charge Log'!$G$7="1/8 MOA",H70*8,"")))</f>
        <v/>
      </c>
      <c r="J70" s="14"/>
      <c r="K70" s="40"/>
    </row>
    <row r="71" spans="1:11" ht="18.75" customHeight="1">
      <c r="A71" s="149">
        <v>900</v>
      </c>
      <c r="B71" s="9"/>
      <c r="C71" s="150" t="str">
        <f>IF(B71="","",IF('Powder Charge Log'!$G$7="0.1 Mil",B71*10,IF('Powder Charge Log'!$G$7="0.05 Mil",B71*20,"")))</f>
        <v/>
      </c>
      <c r="D71" s="9"/>
      <c r="E71" s="150" t="str">
        <f>IF(D71="","",IF('Powder Charge Log'!$G$7="1/4 MOA",D71*4,IF('Powder Charge Log'!$G$7="1/8 MOA",D71*8,"")))</f>
        <v/>
      </c>
      <c r="F71" s="9"/>
      <c r="G71" s="150" t="str">
        <f>IF(F71="","",IF('Powder Charge Log'!$G$7="0.1 Mil",F71*10,IF('Powder Charge Log'!$G$7="0.05 Mil",F71*20,"")))</f>
        <v/>
      </c>
      <c r="H71" s="9"/>
      <c r="I71" s="150" t="str">
        <f>IF(H71="","",IF('Powder Charge Log'!$G$7="1/4 MOA",H71*4,IF('Powder Charge Log'!$G$7="1/8 MOA",H71*8,"")))</f>
        <v/>
      </c>
      <c r="J71" s="10"/>
      <c r="K71" s="39"/>
    </row>
    <row r="72" spans="1:11" ht="18.75" customHeight="1">
      <c r="A72" s="151">
        <v>1000</v>
      </c>
      <c r="B72" s="12"/>
      <c r="C72" s="152" t="str">
        <f>IF(B72="","",IF('Powder Charge Log'!$G$7="0.1 Mil",B72*10,IF('Powder Charge Log'!$G$7="0.05 Mil",B72*20,"")))</f>
        <v/>
      </c>
      <c r="D72" s="12"/>
      <c r="E72" s="152" t="str">
        <f>IF(D72="","",IF('Powder Charge Log'!$G$7="1/4 MOA",D72*4,IF('Powder Charge Log'!$G$7="1/8 MOA",D72*8,"")))</f>
        <v/>
      </c>
      <c r="F72" s="12"/>
      <c r="G72" s="152" t="str">
        <f>IF(F72="","",IF('Powder Charge Log'!$G$7="0.1 Mil",F72*10,IF('Powder Charge Log'!$G$7="0.05 Mil",F72*20,"")))</f>
        <v/>
      </c>
      <c r="H72" s="12"/>
      <c r="I72" s="152" t="str">
        <f>IF(H72="","",IF('Powder Charge Log'!$G$7="1/4 MOA",H72*4,IF('Powder Charge Log'!$G$7="1/8 MOA",H72*8,"")))</f>
        <v/>
      </c>
      <c r="J72" s="14"/>
      <c r="K72" s="40"/>
    </row>
    <row r="73" spans="1:11" ht="12" customHeight="1"/>
    <row r="76" spans="1:11" ht="24" customHeight="1">
      <c r="A76" s="215" t="str">
        <f>IF(IFERROR('Load Library'!C9,"")="","LOAD #5  —  (empty — fill in Load Library row 9)","LOAD #5  —  "&amp;'Load Library'!C9)</f>
        <v>LOAD #5  —  (empty — fill in Load Library row 9)</v>
      </c>
      <c r="B76" s="154"/>
      <c r="C76" s="169"/>
      <c r="D76" s="169"/>
      <c r="E76" s="169"/>
      <c r="F76" s="169"/>
      <c r="G76" s="169"/>
      <c r="H76" s="169"/>
      <c r="I76" s="169"/>
      <c r="J76" s="169"/>
      <c r="K76" s="169"/>
    </row>
    <row r="77" spans="1:11" ht="24" customHeight="1">
      <c r="A77" s="33" t="s">
        <v>58</v>
      </c>
      <c r="B77" s="148" t="str">
        <f>IF(IFERROR('Load Library'!D9,"")="","",'Load Library'!D9)</f>
        <v/>
      </c>
      <c r="C77" s="34"/>
      <c r="D77" s="33" t="s">
        <v>73</v>
      </c>
      <c r="E77" s="148" t="str">
        <f>IF(IFERROR('Load Library'!E9,"")="","",'Load Library'!E9&amp;" ("&amp;'Load Library'!F9&amp;"gr)")</f>
        <v/>
      </c>
      <c r="F77" s="34"/>
      <c r="G77" s="33" t="s">
        <v>149</v>
      </c>
      <c r="H77" s="148" t="str">
        <f>IF(IFERROR('Load Library'!H9,"")="","",'Load Library'!H9&amp;" gr "&amp;'Load Library'!G9)</f>
        <v/>
      </c>
      <c r="I77" s="34"/>
      <c r="J77" s="33" t="s">
        <v>146</v>
      </c>
      <c r="K77" s="148" t="str">
        <f>IF(IFERROR('Load Library'!M9,"")="","",'Load Library'!M9&amp;" fps")</f>
        <v/>
      </c>
    </row>
    <row r="78" spans="1:11" ht="21.75" customHeight="1">
      <c r="A78" s="35" t="s">
        <v>251</v>
      </c>
      <c r="B78" s="22"/>
      <c r="C78" s="36"/>
      <c r="D78" s="35" t="s">
        <v>252</v>
      </c>
      <c r="E78" s="37">
        <v>100</v>
      </c>
      <c r="F78" s="36"/>
      <c r="G78" s="35" t="s">
        <v>253</v>
      </c>
      <c r="H78" s="38">
        <v>1.75</v>
      </c>
      <c r="I78" s="36"/>
      <c r="J78" s="35" t="s">
        <v>254</v>
      </c>
      <c r="K78" s="22" t="s">
        <v>255</v>
      </c>
    </row>
    <row r="79" spans="1:11" ht="6" customHeight="1"/>
    <row r="80" spans="1:11" ht="36" customHeight="1">
      <c r="A80" s="8" t="s">
        <v>257</v>
      </c>
      <c r="B80" s="8" t="s">
        <v>267</v>
      </c>
      <c r="C80" s="8" t="s">
        <v>268</v>
      </c>
      <c r="D80" s="8" t="s">
        <v>269</v>
      </c>
      <c r="E80" s="8" t="s">
        <v>270</v>
      </c>
      <c r="F80" s="8" t="s">
        <v>271</v>
      </c>
      <c r="G80" s="8" t="s">
        <v>272</v>
      </c>
      <c r="H80" s="8" t="s">
        <v>273</v>
      </c>
      <c r="I80" s="8" t="s">
        <v>274</v>
      </c>
      <c r="J80" s="8" t="s">
        <v>266</v>
      </c>
      <c r="K80" s="8" t="s">
        <v>153</v>
      </c>
    </row>
    <row r="81" spans="1:11" ht="18.75" customHeight="1">
      <c r="A81" s="149">
        <v>100</v>
      </c>
      <c r="B81" s="9"/>
      <c r="C81" s="150" t="str">
        <f>IF(B81="","",IF('Powder Charge Log'!$G$7="0.1 Mil",B81*10,IF('Powder Charge Log'!$G$7="0.05 Mil",B81*20,"")))</f>
        <v/>
      </c>
      <c r="D81" s="9"/>
      <c r="E81" s="150" t="str">
        <f>IF(D81="","",IF('Powder Charge Log'!$G$7="1/4 MOA",D81*4,IF('Powder Charge Log'!$G$7="1/8 MOA",D81*8,"")))</f>
        <v/>
      </c>
      <c r="F81" s="9"/>
      <c r="G81" s="150" t="str">
        <f>IF(F81="","",IF('Powder Charge Log'!$G$7="0.1 Mil",F81*10,IF('Powder Charge Log'!$G$7="0.05 Mil",F81*20,"")))</f>
        <v/>
      </c>
      <c r="H81" s="9"/>
      <c r="I81" s="150" t="str">
        <f>IF(H81="","",IF('Powder Charge Log'!$G$7="1/4 MOA",H81*4,IF('Powder Charge Log'!$G$7="1/8 MOA",H81*8,"")))</f>
        <v/>
      </c>
      <c r="J81" s="10"/>
      <c r="K81" s="39"/>
    </row>
    <row r="82" spans="1:11" ht="18.75" customHeight="1">
      <c r="A82" s="151">
        <v>200</v>
      </c>
      <c r="B82" s="12"/>
      <c r="C82" s="152" t="str">
        <f>IF(B82="","",IF('Powder Charge Log'!$G$7="0.1 Mil",B82*10,IF('Powder Charge Log'!$G$7="0.05 Mil",B82*20,"")))</f>
        <v/>
      </c>
      <c r="D82" s="12"/>
      <c r="E82" s="152" t="str">
        <f>IF(D82="","",IF('Powder Charge Log'!$G$7="1/4 MOA",D82*4,IF('Powder Charge Log'!$G$7="1/8 MOA",D82*8,"")))</f>
        <v/>
      </c>
      <c r="F82" s="12"/>
      <c r="G82" s="152" t="str">
        <f>IF(F82="","",IF('Powder Charge Log'!$G$7="0.1 Mil",F82*10,IF('Powder Charge Log'!$G$7="0.05 Mil",F82*20,"")))</f>
        <v/>
      </c>
      <c r="H82" s="12"/>
      <c r="I82" s="152" t="str">
        <f>IF(H82="","",IF('Powder Charge Log'!$G$7="1/4 MOA",H82*4,IF('Powder Charge Log'!$G$7="1/8 MOA",H82*8,"")))</f>
        <v/>
      </c>
      <c r="J82" s="14"/>
      <c r="K82" s="40"/>
    </row>
    <row r="83" spans="1:11" ht="18.75" customHeight="1">
      <c r="A83" s="149">
        <v>300</v>
      </c>
      <c r="B83" s="9"/>
      <c r="C83" s="150" t="str">
        <f>IF(B83="","",IF('Powder Charge Log'!$G$7="0.1 Mil",B83*10,IF('Powder Charge Log'!$G$7="0.05 Mil",B83*20,"")))</f>
        <v/>
      </c>
      <c r="D83" s="9"/>
      <c r="E83" s="150" t="str">
        <f>IF(D83="","",IF('Powder Charge Log'!$G$7="1/4 MOA",D83*4,IF('Powder Charge Log'!$G$7="1/8 MOA",D83*8,"")))</f>
        <v/>
      </c>
      <c r="F83" s="9"/>
      <c r="G83" s="150" t="str">
        <f>IF(F83="","",IF('Powder Charge Log'!$G$7="0.1 Mil",F83*10,IF('Powder Charge Log'!$G$7="0.05 Mil",F83*20,"")))</f>
        <v/>
      </c>
      <c r="H83" s="9"/>
      <c r="I83" s="150" t="str">
        <f>IF(H83="","",IF('Powder Charge Log'!$G$7="1/4 MOA",H83*4,IF('Powder Charge Log'!$G$7="1/8 MOA",H83*8,"")))</f>
        <v/>
      </c>
      <c r="J83" s="10"/>
      <c r="K83" s="39"/>
    </row>
    <row r="84" spans="1:11" ht="18.75" customHeight="1">
      <c r="A84" s="151">
        <v>400</v>
      </c>
      <c r="B84" s="12"/>
      <c r="C84" s="152" t="str">
        <f>IF(B84="","",IF('Powder Charge Log'!$G$7="0.1 Mil",B84*10,IF('Powder Charge Log'!$G$7="0.05 Mil",B84*20,"")))</f>
        <v/>
      </c>
      <c r="D84" s="12"/>
      <c r="E84" s="152" t="str">
        <f>IF(D84="","",IF('Powder Charge Log'!$G$7="1/4 MOA",D84*4,IF('Powder Charge Log'!$G$7="1/8 MOA",D84*8,"")))</f>
        <v/>
      </c>
      <c r="F84" s="12"/>
      <c r="G84" s="152" t="str">
        <f>IF(F84="","",IF('Powder Charge Log'!$G$7="0.1 Mil",F84*10,IF('Powder Charge Log'!$G$7="0.05 Mil",F84*20,"")))</f>
        <v/>
      </c>
      <c r="H84" s="12"/>
      <c r="I84" s="152" t="str">
        <f>IF(H84="","",IF('Powder Charge Log'!$G$7="1/4 MOA",H84*4,IF('Powder Charge Log'!$G$7="1/8 MOA",H84*8,"")))</f>
        <v/>
      </c>
      <c r="J84" s="14"/>
      <c r="K84" s="40"/>
    </row>
    <row r="85" spans="1:11" ht="18.75" customHeight="1">
      <c r="A85" s="149">
        <v>500</v>
      </c>
      <c r="B85" s="9"/>
      <c r="C85" s="150" t="str">
        <f>IF(B85="","",IF('Powder Charge Log'!$G$7="0.1 Mil",B85*10,IF('Powder Charge Log'!$G$7="0.05 Mil",B85*20,"")))</f>
        <v/>
      </c>
      <c r="D85" s="9"/>
      <c r="E85" s="150" t="str">
        <f>IF(D85="","",IF('Powder Charge Log'!$G$7="1/4 MOA",D85*4,IF('Powder Charge Log'!$G$7="1/8 MOA",D85*8,"")))</f>
        <v/>
      </c>
      <c r="F85" s="9"/>
      <c r="G85" s="150" t="str">
        <f>IF(F85="","",IF('Powder Charge Log'!$G$7="0.1 Mil",F85*10,IF('Powder Charge Log'!$G$7="0.05 Mil",F85*20,"")))</f>
        <v/>
      </c>
      <c r="H85" s="9"/>
      <c r="I85" s="150" t="str">
        <f>IF(H85="","",IF('Powder Charge Log'!$G$7="1/4 MOA",H85*4,IF('Powder Charge Log'!$G$7="1/8 MOA",H85*8,"")))</f>
        <v/>
      </c>
      <c r="J85" s="10"/>
      <c r="K85" s="39"/>
    </row>
    <row r="86" spans="1:11" ht="18.75" customHeight="1">
      <c r="A86" s="151">
        <v>600</v>
      </c>
      <c r="B86" s="12"/>
      <c r="C86" s="152" t="str">
        <f>IF(B86="","",IF('Powder Charge Log'!$G$7="0.1 Mil",B86*10,IF('Powder Charge Log'!$G$7="0.05 Mil",B86*20,"")))</f>
        <v/>
      </c>
      <c r="D86" s="12"/>
      <c r="E86" s="152" t="str">
        <f>IF(D86="","",IF('Powder Charge Log'!$G$7="1/4 MOA",D86*4,IF('Powder Charge Log'!$G$7="1/8 MOA",D86*8,"")))</f>
        <v/>
      </c>
      <c r="F86" s="12"/>
      <c r="G86" s="152" t="str">
        <f>IF(F86="","",IF('Powder Charge Log'!$G$7="0.1 Mil",F86*10,IF('Powder Charge Log'!$G$7="0.05 Mil",F86*20,"")))</f>
        <v/>
      </c>
      <c r="H86" s="12"/>
      <c r="I86" s="152" t="str">
        <f>IF(H86="","",IF('Powder Charge Log'!$G$7="1/4 MOA",H86*4,IF('Powder Charge Log'!$G$7="1/8 MOA",H86*8,"")))</f>
        <v/>
      </c>
      <c r="J86" s="14"/>
      <c r="K86" s="40"/>
    </row>
    <row r="87" spans="1:11" ht="18.75" customHeight="1">
      <c r="A87" s="149">
        <v>700</v>
      </c>
      <c r="B87" s="9"/>
      <c r="C87" s="150" t="str">
        <f>IF(B87="","",IF('Powder Charge Log'!$G$7="0.1 Mil",B87*10,IF('Powder Charge Log'!$G$7="0.05 Mil",B87*20,"")))</f>
        <v/>
      </c>
      <c r="D87" s="9"/>
      <c r="E87" s="150" t="str">
        <f>IF(D87="","",IF('Powder Charge Log'!$G$7="1/4 MOA",D87*4,IF('Powder Charge Log'!$G$7="1/8 MOA",D87*8,"")))</f>
        <v/>
      </c>
      <c r="F87" s="9"/>
      <c r="G87" s="150" t="str">
        <f>IF(F87="","",IF('Powder Charge Log'!$G$7="0.1 Mil",F87*10,IF('Powder Charge Log'!$G$7="0.05 Mil",F87*20,"")))</f>
        <v/>
      </c>
      <c r="H87" s="9"/>
      <c r="I87" s="150" t="str">
        <f>IF(H87="","",IF('Powder Charge Log'!$G$7="1/4 MOA",H87*4,IF('Powder Charge Log'!$G$7="1/8 MOA",H87*8,"")))</f>
        <v/>
      </c>
      <c r="J87" s="10"/>
      <c r="K87" s="39"/>
    </row>
    <row r="88" spans="1:11" ht="18.75" customHeight="1">
      <c r="A88" s="151">
        <v>800</v>
      </c>
      <c r="B88" s="12"/>
      <c r="C88" s="152" t="str">
        <f>IF(B88="","",IF('Powder Charge Log'!$G$7="0.1 Mil",B88*10,IF('Powder Charge Log'!$G$7="0.05 Mil",B88*20,"")))</f>
        <v/>
      </c>
      <c r="D88" s="12"/>
      <c r="E88" s="152" t="str">
        <f>IF(D88="","",IF('Powder Charge Log'!$G$7="1/4 MOA",D88*4,IF('Powder Charge Log'!$G$7="1/8 MOA",D88*8,"")))</f>
        <v/>
      </c>
      <c r="F88" s="12"/>
      <c r="G88" s="152" t="str">
        <f>IF(F88="","",IF('Powder Charge Log'!$G$7="0.1 Mil",F88*10,IF('Powder Charge Log'!$G$7="0.05 Mil",F88*20,"")))</f>
        <v/>
      </c>
      <c r="H88" s="12"/>
      <c r="I88" s="152" t="str">
        <f>IF(H88="","",IF('Powder Charge Log'!$G$7="1/4 MOA",H88*4,IF('Powder Charge Log'!$G$7="1/8 MOA",H88*8,"")))</f>
        <v/>
      </c>
      <c r="J88" s="14"/>
      <c r="K88" s="40"/>
    </row>
    <row r="89" spans="1:11" ht="18.75" customHeight="1">
      <c r="A89" s="149">
        <v>900</v>
      </c>
      <c r="B89" s="9"/>
      <c r="C89" s="150" t="str">
        <f>IF(B89="","",IF('Powder Charge Log'!$G$7="0.1 Mil",B89*10,IF('Powder Charge Log'!$G$7="0.05 Mil",B89*20,"")))</f>
        <v/>
      </c>
      <c r="D89" s="9"/>
      <c r="E89" s="150" t="str">
        <f>IF(D89="","",IF('Powder Charge Log'!$G$7="1/4 MOA",D89*4,IF('Powder Charge Log'!$G$7="1/8 MOA",D89*8,"")))</f>
        <v/>
      </c>
      <c r="F89" s="9"/>
      <c r="G89" s="150" t="str">
        <f>IF(F89="","",IF('Powder Charge Log'!$G$7="0.1 Mil",F89*10,IF('Powder Charge Log'!$G$7="0.05 Mil",F89*20,"")))</f>
        <v/>
      </c>
      <c r="H89" s="9"/>
      <c r="I89" s="150" t="str">
        <f>IF(H89="","",IF('Powder Charge Log'!$G$7="1/4 MOA",H89*4,IF('Powder Charge Log'!$G$7="1/8 MOA",H89*8,"")))</f>
        <v/>
      </c>
      <c r="J89" s="10"/>
      <c r="K89" s="39"/>
    </row>
    <row r="90" spans="1:11" ht="18.75" customHeight="1">
      <c r="A90" s="151">
        <v>1000</v>
      </c>
      <c r="B90" s="12"/>
      <c r="C90" s="152" t="str">
        <f>IF(B90="","",IF('Powder Charge Log'!$G$7="0.1 Mil",B90*10,IF('Powder Charge Log'!$G$7="0.05 Mil",B90*20,"")))</f>
        <v/>
      </c>
      <c r="D90" s="12"/>
      <c r="E90" s="152" t="str">
        <f>IF(D90="","",IF('Powder Charge Log'!$G$7="1/4 MOA",D90*4,IF('Powder Charge Log'!$G$7="1/8 MOA",D90*8,"")))</f>
        <v/>
      </c>
      <c r="F90" s="12"/>
      <c r="G90" s="152" t="str">
        <f>IF(F90="","",IF('Powder Charge Log'!$G$7="0.1 Mil",F90*10,IF('Powder Charge Log'!$G$7="0.05 Mil",F90*20,"")))</f>
        <v/>
      </c>
      <c r="H90" s="12"/>
      <c r="I90" s="152" t="str">
        <f>IF(H90="","",IF('Powder Charge Log'!$G$7="1/4 MOA",H90*4,IF('Powder Charge Log'!$G$7="1/8 MOA",H90*8,"")))</f>
        <v/>
      </c>
      <c r="J90" s="14"/>
      <c r="K90" s="40"/>
    </row>
    <row r="91" spans="1:11" ht="12" customHeight="1"/>
  </sheetData>
  <sheetProtection sheet="1" formatCells="0" formatColumns="0" formatRows="0" sort="0" autoFilter="0"/>
  <mergeCells count="10">
    <mergeCell ref="A2:K2"/>
    <mergeCell ref="A76:K76"/>
    <mergeCell ref="A1:K1"/>
    <mergeCell ref="A40:K40"/>
    <mergeCell ref="A58:K58"/>
    <mergeCell ref="A22:K22"/>
    <mergeCell ref="B6:C6"/>
    <mergeCell ref="A4:K4"/>
    <mergeCell ref="B5:C5"/>
    <mergeCell ref="A7:K7"/>
  </mergeCells>
  <hyperlinks>
    <hyperlink ref="A2" r:id="rId1" display="Print Pocket Range Card" xr:uid="{00000000-0004-0000-0700-000000000000}"/>
    <hyperlink ref="A3" r:id="rId2" xr:uid="{00000000-0004-0000-0700-000001000000}"/>
  </hyperlinks>
  <printOptions horizontalCentered="1"/>
  <pageMargins left="0.25" right="0.25" top="0.5" bottom="0.5" header="0.25" footer="0.25"/>
  <pageSetup orientation="landscape" horizontalDpi="300" verticalDpi="300"/>
  <headerFooter>
    <oddHeader>&amp;L&amp;"Calibri,Italic"&amp;8 &amp;"Calibri,Italic"&amp;8 &amp;F&amp;C&amp;"Calibri,Bold"&amp;10 &amp;"Calibri,Bold"&amp;10 &amp;A&amp;R&amp;"Calibri,Italic"&amp;8 &amp;"Calibri,Italic"&amp;8 Page &amp;P of &amp;N</oddHeader>
  </headerFooter>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11"/>
  <sheetViews>
    <sheetView workbookViewId="0"/>
  </sheetViews>
  <sheetFormatPr baseColWidth="10" defaultColWidth="8.83203125" defaultRowHeight="15"/>
  <sheetData>
    <row r="1" spans="1:21">
      <c r="A1" s="1" t="s">
        <v>162</v>
      </c>
      <c r="B1" s="1" t="s">
        <v>275</v>
      </c>
      <c r="C1" s="1" t="s">
        <v>227</v>
      </c>
      <c r="D1" s="1" t="s">
        <v>163</v>
      </c>
      <c r="E1" s="1" t="s">
        <v>276</v>
      </c>
      <c r="F1" s="1" t="s">
        <v>277</v>
      </c>
      <c r="G1" s="1" t="s">
        <v>278</v>
      </c>
      <c r="H1" s="1" t="s">
        <v>279</v>
      </c>
      <c r="I1" s="1" t="s">
        <v>280</v>
      </c>
      <c r="J1" s="1" t="s">
        <v>281</v>
      </c>
      <c r="K1" s="1" t="s">
        <v>282</v>
      </c>
      <c r="L1" s="1" t="s">
        <v>283</v>
      </c>
      <c r="M1" s="1" t="s">
        <v>284</v>
      </c>
      <c r="N1" s="1" t="s">
        <v>285</v>
      </c>
      <c r="O1" s="1" t="s">
        <v>286</v>
      </c>
      <c r="P1" s="1" t="s">
        <v>97</v>
      </c>
      <c r="Q1" s="1" t="s">
        <v>96</v>
      </c>
      <c r="R1" s="1" t="s">
        <v>287</v>
      </c>
      <c r="S1" s="1" t="s">
        <v>288</v>
      </c>
      <c r="T1" s="1" t="s">
        <v>289</v>
      </c>
      <c r="U1" s="1" t="s">
        <v>290</v>
      </c>
    </row>
    <row r="2" spans="1:21">
      <c r="A2" t="s">
        <v>179</v>
      </c>
      <c r="B2">
        <v>41.5</v>
      </c>
      <c r="C2" t="s">
        <v>291</v>
      </c>
      <c r="D2" t="s">
        <v>292</v>
      </c>
      <c r="E2">
        <v>2710</v>
      </c>
      <c r="F2">
        <v>2718</v>
      </c>
      <c r="G2">
        <v>2705</v>
      </c>
      <c r="H2">
        <v>2720</v>
      </c>
      <c r="I2">
        <v>2715</v>
      </c>
      <c r="J2">
        <v>2712</v>
      </c>
      <c r="K2">
        <v>2722</v>
      </c>
      <c r="L2">
        <v>2708</v>
      </c>
      <c r="M2">
        <v>2716</v>
      </c>
      <c r="N2">
        <v>2724</v>
      </c>
      <c r="O2">
        <v>2715</v>
      </c>
      <c r="P2">
        <v>6.7</v>
      </c>
      <c r="Q2">
        <v>19</v>
      </c>
      <c r="R2">
        <v>140</v>
      </c>
      <c r="S2">
        <v>2293</v>
      </c>
      <c r="T2" t="s">
        <v>293</v>
      </c>
      <c r="U2" t="s">
        <v>294</v>
      </c>
    </row>
    <row r="3" spans="1:21">
      <c r="A3" t="s">
        <v>180</v>
      </c>
      <c r="B3">
        <v>41.8</v>
      </c>
      <c r="C3" t="s">
        <v>291</v>
      </c>
      <c r="D3" t="s">
        <v>292</v>
      </c>
      <c r="E3">
        <v>2732</v>
      </c>
      <c r="F3">
        <v>2748</v>
      </c>
      <c r="G3">
        <v>2725</v>
      </c>
      <c r="H3">
        <v>2740</v>
      </c>
      <c r="I3">
        <v>2738</v>
      </c>
      <c r="J3">
        <v>2734</v>
      </c>
      <c r="K3">
        <v>2742</v>
      </c>
      <c r="L3">
        <v>2728</v>
      </c>
      <c r="M3">
        <v>2736</v>
      </c>
      <c r="N3">
        <v>2747</v>
      </c>
      <c r="O3">
        <v>2737</v>
      </c>
      <c r="P3">
        <v>7.8</v>
      </c>
      <c r="Q3">
        <v>23</v>
      </c>
      <c r="R3">
        <v>140</v>
      </c>
      <c r="S3">
        <v>2330</v>
      </c>
      <c r="T3" t="s">
        <v>295</v>
      </c>
      <c r="U3" t="s">
        <v>294</v>
      </c>
    </row>
    <row r="4" spans="1:21">
      <c r="A4" t="s">
        <v>181</v>
      </c>
      <c r="B4">
        <v>42.1</v>
      </c>
      <c r="C4" t="s">
        <v>291</v>
      </c>
      <c r="D4" t="s">
        <v>292</v>
      </c>
      <c r="E4">
        <v>2755</v>
      </c>
      <c r="F4">
        <v>2762</v>
      </c>
      <c r="G4">
        <v>2750</v>
      </c>
      <c r="H4">
        <v>2768</v>
      </c>
      <c r="I4">
        <v>2760</v>
      </c>
      <c r="J4">
        <v>2758</v>
      </c>
      <c r="K4">
        <v>2765</v>
      </c>
      <c r="L4">
        <v>2752</v>
      </c>
      <c r="M4">
        <v>2760</v>
      </c>
      <c r="N4">
        <v>2770</v>
      </c>
      <c r="O4">
        <v>2760</v>
      </c>
      <c r="P4">
        <v>6.4</v>
      </c>
      <c r="Q4">
        <v>20</v>
      </c>
      <c r="R4">
        <v>140</v>
      </c>
      <c r="S4">
        <v>2369</v>
      </c>
      <c r="T4" t="s">
        <v>296</v>
      </c>
      <c r="U4" t="s">
        <v>294</v>
      </c>
    </row>
    <row r="5" spans="1:21">
      <c r="A5" t="s">
        <v>182</v>
      </c>
      <c r="B5">
        <v>42.4</v>
      </c>
      <c r="C5" t="s">
        <v>291</v>
      </c>
      <c r="D5" t="s">
        <v>292</v>
      </c>
      <c r="E5">
        <v>2778</v>
      </c>
      <c r="F5">
        <v>2782</v>
      </c>
      <c r="G5">
        <v>2776</v>
      </c>
      <c r="H5">
        <v>2784</v>
      </c>
      <c r="I5">
        <v>2780</v>
      </c>
      <c r="J5">
        <v>2779</v>
      </c>
      <c r="K5">
        <v>2782</v>
      </c>
      <c r="L5">
        <v>2778</v>
      </c>
      <c r="M5">
        <v>2780</v>
      </c>
      <c r="N5">
        <v>2781</v>
      </c>
      <c r="O5">
        <v>2780</v>
      </c>
      <c r="P5">
        <v>2.5</v>
      </c>
      <c r="Q5">
        <v>8</v>
      </c>
      <c r="R5">
        <v>140</v>
      </c>
      <c r="S5">
        <v>2402</v>
      </c>
      <c r="T5" t="s">
        <v>297</v>
      </c>
      <c r="U5" t="s">
        <v>294</v>
      </c>
    </row>
    <row r="6" spans="1:21">
      <c r="A6" t="s">
        <v>183</v>
      </c>
      <c r="B6">
        <v>42.7</v>
      </c>
      <c r="C6" t="s">
        <v>291</v>
      </c>
      <c r="D6" t="s">
        <v>292</v>
      </c>
      <c r="E6">
        <v>2798</v>
      </c>
      <c r="F6">
        <v>2805</v>
      </c>
      <c r="G6">
        <v>2795</v>
      </c>
      <c r="H6">
        <v>2812</v>
      </c>
      <c r="I6">
        <v>2800</v>
      </c>
      <c r="J6">
        <v>2802</v>
      </c>
      <c r="K6">
        <v>2806</v>
      </c>
      <c r="L6">
        <v>2796</v>
      </c>
      <c r="M6">
        <v>2802</v>
      </c>
      <c r="N6">
        <v>2810</v>
      </c>
      <c r="O6">
        <v>2803</v>
      </c>
      <c r="P6">
        <v>5.6</v>
      </c>
      <c r="Q6">
        <v>17</v>
      </c>
      <c r="R6">
        <v>140</v>
      </c>
      <c r="S6">
        <v>2443</v>
      </c>
      <c r="T6" t="s">
        <v>298</v>
      </c>
      <c r="U6" t="s">
        <v>294</v>
      </c>
    </row>
    <row r="7" spans="1:21">
      <c r="A7" t="s">
        <v>190</v>
      </c>
      <c r="B7">
        <v>5.0000000000000001E-3</v>
      </c>
      <c r="C7" t="s">
        <v>291</v>
      </c>
      <c r="D7" t="s">
        <v>299</v>
      </c>
      <c r="E7">
        <v>2782</v>
      </c>
      <c r="F7">
        <v>2778</v>
      </c>
      <c r="G7">
        <v>2780</v>
      </c>
      <c r="H7">
        <v>2784</v>
      </c>
      <c r="I7">
        <v>2780</v>
      </c>
      <c r="J7">
        <v>2778</v>
      </c>
      <c r="K7">
        <v>2782</v>
      </c>
      <c r="L7">
        <v>2780</v>
      </c>
      <c r="M7">
        <v>2784</v>
      </c>
      <c r="N7">
        <v>2782</v>
      </c>
      <c r="O7">
        <v>2781</v>
      </c>
      <c r="P7">
        <v>2.2000000000000002</v>
      </c>
      <c r="Q7">
        <v>6</v>
      </c>
      <c r="R7">
        <v>140</v>
      </c>
      <c r="S7">
        <v>2404</v>
      </c>
      <c r="T7" t="s">
        <v>300</v>
      </c>
      <c r="U7" t="s">
        <v>301</v>
      </c>
    </row>
    <row r="8" spans="1:21">
      <c r="A8" t="s">
        <v>191</v>
      </c>
      <c r="B8">
        <v>0.02</v>
      </c>
      <c r="C8" t="s">
        <v>291</v>
      </c>
      <c r="D8" t="s">
        <v>299</v>
      </c>
      <c r="E8">
        <v>2780</v>
      </c>
      <c r="F8">
        <v>2778</v>
      </c>
      <c r="G8">
        <v>2782</v>
      </c>
      <c r="H8">
        <v>2776</v>
      </c>
      <c r="I8">
        <v>2780</v>
      </c>
      <c r="J8">
        <v>2778</v>
      </c>
      <c r="K8">
        <v>2780</v>
      </c>
      <c r="L8">
        <v>2784</v>
      </c>
      <c r="M8">
        <v>2780</v>
      </c>
      <c r="N8">
        <v>2782</v>
      </c>
      <c r="O8">
        <v>2780</v>
      </c>
      <c r="P8">
        <v>2.4</v>
      </c>
      <c r="Q8">
        <v>8</v>
      </c>
      <c r="R8">
        <v>140</v>
      </c>
      <c r="S8">
        <v>2402</v>
      </c>
      <c r="T8" t="s">
        <v>302</v>
      </c>
      <c r="U8" t="s">
        <v>301</v>
      </c>
    </row>
    <row r="9" spans="1:21">
      <c r="A9" t="s">
        <v>192</v>
      </c>
      <c r="B9">
        <v>3.5000000000000003E-2</v>
      </c>
      <c r="C9" t="s">
        <v>291</v>
      </c>
      <c r="D9" t="s">
        <v>299</v>
      </c>
      <c r="E9">
        <v>2780</v>
      </c>
      <c r="F9">
        <v>2781</v>
      </c>
      <c r="G9">
        <v>2780</v>
      </c>
      <c r="H9">
        <v>2782</v>
      </c>
      <c r="I9">
        <v>2780</v>
      </c>
      <c r="J9">
        <v>2780</v>
      </c>
      <c r="K9">
        <v>2782</v>
      </c>
      <c r="L9">
        <v>2780</v>
      </c>
      <c r="M9">
        <v>2780</v>
      </c>
      <c r="N9">
        <v>2781</v>
      </c>
      <c r="O9">
        <v>2780.6</v>
      </c>
      <c r="P9">
        <v>0.8</v>
      </c>
      <c r="Q9">
        <v>2</v>
      </c>
      <c r="R9">
        <v>140</v>
      </c>
      <c r="S9">
        <v>2403</v>
      </c>
      <c r="T9" t="s">
        <v>303</v>
      </c>
      <c r="U9" t="s">
        <v>301</v>
      </c>
    </row>
    <row r="10" spans="1:21">
      <c r="A10" t="s">
        <v>193</v>
      </c>
      <c r="B10">
        <v>0.05</v>
      </c>
      <c r="C10" t="s">
        <v>291</v>
      </c>
      <c r="D10" t="s">
        <v>299</v>
      </c>
      <c r="E10">
        <v>2780</v>
      </c>
      <c r="F10">
        <v>2784</v>
      </c>
      <c r="G10">
        <v>2776</v>
      </c>
      <c r="H10">
        <v>2782</v>
      </c>
      <c r="I10">
        <v>2780</v>
      </c>
      <c r="J10">
        <v>2778</v>
      </c>
      <c r="K10">
        <v>2784</v>
      </c>
      <c r="L10">
        <v>2780</v>
      </c>
      <c r="M10">
        <v>2782</v>
      </c>
      <c r="N10">
        <v>2774</v>
      </c>
      <c r="O10">
        <v>2780</v>
      </c>
      <c r="P10">
        <v>3.4</v>
      </c>
      <c r="Q10">
        <v>10</v>
      </c>
      <c r="R10">
        <v>140</v>
      </c>
      <c r="S10">
        <v>2402</v>
      </c>
      <c r="T10" t="s">
        <v>304</v>
      </c>
      <c r="U10" t="s">
        <v>301</v>
      </c>
    </row>
    <row r="11" spans="1:21">
      <c r="A11" t="s">
        <v>194</v>
      </c>
      <c r="B11">
        <v>6.5000000000000002E-2</v>
      </c>
      <c r="C11" t="s">
        <v>291</v>
      </c>
      <c r="D11" t="s">
        <v>299</v>
      </c>
      <c r="E11">
        <v>2780</v>
      </c>
      <c r="F11">
        <v>2786</v>
      </c>
      <c r="G11">
        <v>2774</v>
      </c>
      <c r="H11">
        <v>2784</v>
      </c>
      <c r="I11">
        <v>2776</v>
      </c>
      <c r="J11">
        <v>2782</v>
      </c>
      <c r="K11">
        <v>2772</v>
      </c>
      <c r="L11">
        <v>2786</v>
      </c>
      <c r="M11">
        <v>2776</v>
      </c>
      <c r="N11">
        <v>2784</v>
      </c>
      <c r="O11">
        <v>2780</v>
      </c>
      <c r="P11">
        <v>5.0999999999999996</v>
      </c>
      <c r="Q11">
        <v>14</v>
      </c>
      <c r="R11">
        <v>140</v>
      </c>
      <c r="S11">
        <v>2402</v>
      </c>
      <c r="T11" t="s">
        <v>305</v>
      </c>
      <c r="U11" t="s">
        <v>301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1"/>
  <sheetViews>
    <sheetView workbookViewId="0"/>
  </sheetViews>
  <sheetFormatPr baseColWidth="10" defaultColWidth="8.83203125" defaultRowHeight="15"/>
  <sheetData>
    <row r="1" spans="1:17" ht="30">
      <c r="A1" s="41" t="s">
        <v>162</v>
      </c>
      <c r="B1" s="41" t="s">
        <v>275</v>
      </c>
      <c r="C1" s="41" t="s">
        <v>227</v>
      </c>
      <c r="D1" s="41" t="s">
        <v>163</v>
      </c>
      <c r="E1" s="41" t="s">
        <v>306</v>
      </c>
      <c r="F1" s="41" t="s">
        <v>213</v>
      </c>
      <c r="G1" s="41" t="s">
        <v>307</v>
      </c>
      <c r="H1" s="41" t="s">
        <v>308</v>
      </c>
      <c r="I1" s="41" t="s">
        <v>309</v>
      </c>
      <c r="J1" s="41" t="s">
        <v>310</v>
      </c>
      <c r="K1" s="41" t="s">
        <v>311</v>
      </c>
      <c r="L1" s="41" t="s">
        <v>312</v>
      </c>
      <c r="M1" s="41" t="s">
        <v>313</v>
      </c>
      <c r="N1" s="41" t="s">
        <v>314</v>
      </c>
      <c r="O1" s="41" t="s">
        <v>315</v>
      </c>
      <c r="P1" s="41" t="s">
        <v>316</v>
      </c>
      <c r="Q1" s="41" t="s">
        <v>317</v>
      </c>
    </row>
    <row r="2" spans="1:17">
      <c r="A2" t="s">
        <v>179</v>
      </c>
      <c r="B2">
        <v>41.5</v>
      </c>
      <c r="C2" t="s">
        <v>291</v>
      </c>
      <c r="D2" t="s">
        <v>292</v>
      </c>
      <c r="E2">
        <v>100</v>
      </c>
      <c r="F2" t="s">
        <v>318</v>
      </c>
      <c r="G2">
        <v>0.62</v>
      </c>
      <c r="H2">
        <v>0.57999999999999996</v>
      </c>
      <c r="I2">
        <v>0.55000000000000004</v>
      </c>
      <c r="J2">
        <v>0.31</v>
      </c>
      <c r="K2">
        <v>0.28000000000000003</v>
      </c>
      <c r="L2">
        <v>0.18</v>
      </c>
      <c r="M2">
        <v>0.2</v>
      </c>
      <c r="N2">
        <v>0.22</v>
      </c>
      <c r="O2">
        <v>0</v>
      </c>
      <c r="P2">
        <v>0</v>
      </c>
      <c r="Q2" t="s">
        <v>319</v>
      </c>
    </row>
    <row r="3" spans="1:17">
      <c r="A3" t="s">
        <v>180</v>
      </c>
      <c r="B3">
        <v>41.8</v>
      </c>
      <c r="C3" t="s">
        <v>291</v>
      </c>
      <c r="D3" t="s">
        <v>292</v>
      </c>
      <c r="E3">
        <v>100</v>
      </c>
      <c r="F3" t="s">
        <v>318</v>
      </c>
      <c r="G3">
        <v>0.81</v>
      </c>
      <c r="H3">
        <v>0.76</v>
      </c>
      <c r="I3">
        <v>0.72</v>
      </c>
      <c r="J3">
        <v>0.42</v>
      </c>
      <c r="K3">
        <v>0.38</v>
      </c>
      <c r="L3">
        <v>0.24</v>
      </c>
      <c r="M3">
        <v>0.26</v>
      </c>
      <c r="N3">
        <v>0.28000000000000003</v>
      </c>
      <c r="O3">
        <v>0</v>
      </c>
      <c r="P3">
        <v>0</v>
      </c>
      <c r="Q3" t="s">
        <v>320</v>
      </c>
    </row>
    <row r="4" spans="1:17">
      <c r="A4" t="s">
        <v>181</v>
      </c>
      <c r="B4">
        <v>42.1</v>
      </c>
      <c r="C4" t="s">
        <v>291</v>
      </c>
      <c r="D4" t="s">
        <v>292</v>
      </c>
      <c r="E4">
        <v>100</v>
      </c>
      <c r="F4" t="s">
        <v>318</v>
      </c>
      <c r="G4">
        <v>0.45</v>
      </c>
      <c r="H4">
        <v>0.42</v>
      </c>
      <c r="I4">
        <v>0.4</v>
      </c>
      <c r="J4">
        <v>0.22</v>
      </c>
      <c r="K4">
        <v>0.2</v>
      </c>
      <c r="L4">
        <v>0.13</v>
      </c>
      <c r="M4">
        <v>0.14000000000000001</v>
      </c>
      <c r="N4">
        <v>0.15</v>
      </c>
      <c r="O4">
        <v>0</v>
      </c>
      <c r="P4">
        <v>0</v>
      </c>
      <c r="Q4" t="s">
        <v>321</v>
      </c>
    </row>
    <row r="5" spans="1:17">
      <c r="A5" t="s">
        <v>182</v>
      </c>
      <c r="B5">
        <v>42.4</v>
      </c>
      <c r="C5" t="s">
        <v>291</v>
      </c>
      <c r="D5" t="s">
        <v>292</v>
      </c>
      <c r="E5">
        <v>100</v>
      </c>
      <c r="F5" t="s">
        <v>318</v>
      </c>
      <c r="G5">
        <v>0.38</v>
      </c>
      <c r="H5">
        <v>0.34</v>
      </c>
      <c r="I5">
        <v>0.32</v>
      </c>
      <c r="J5">
        <v>0.18</v>
      </c>
      <c r="K5">
        <v>0.16</v>
      </c>
      <c r="L5">
        <v>0.11</v>
      </c>
      <c r="M5">
        <v>0.12</v>
      </c>
      <c r="N5">
        <v>0.13</v>
      </c>
      <c r="O5">
        <v>0</v>
      </c>
      <c r="P5">
        <v>0</v>
      </c>
      <c r="Q5" t="s">
        <v>322</v>
      </c>
    </row>
    <row r="6" spans="1:17">
      <c r="A6" t="s">
        <v>183</v>
      </c>
      <c r="B6">
        <v>42.7</v>
      </c>
      <c r="C6" t="s">
        <v>291</v>
      </c>
      <c r="D6" t="s">
        <v>292</v>
      </c>
      <c r="E6">
        <v>100</v>
      </c>
      <c r="F6" t="s">
        <v>318</v>
      </c>
      <c r="G6">
        <v>0.57999999999999996</v>
      </c>
      <c r="H6">
        <v>0.55000000000000004</v>
      </c>
      <c r="I6">
        <v>0.52</v>
      </c>
      <c r="J6">
        <v>0.28999999999999998</v>
      </c>
      <c r="K6">
        <v>0.26</v>
      </c>
      <c r="L6">
        <v>0.17</v>
      </c>
      <c r="M6">
        <v>0.18</v>
      </c>
      <c r="N6">
        <v>0.19</v>
      </c>
      <c r="O6">
        <v>0</v>
      </c>
      <c r="P6">
        <v>0</v>
      </c>
      <c r="Q6" t="s">
        <v>323</v>
      </c>
    </row>
    <row r="7" spans="1:17">
      <c r="A7" t="s">
        <v>190</v>
      </c>
      <c r="B7">
        <v>5.0000000000000001E-3</v>
      </c>
      <c r="C7" t="s">
        <v>291</v>
      </c>
      <c r="D7" t="s">
        <v>299</v>
      </c>
      <c r="E7">
        <v>100</v>
      </c>
      <c r="F7" t="s">
        <v>318</v>
      </c>
      <c r="G7">
        <v>0.55000000000000004</v>
      </c>
      <c r="H7">
        <v>0.52</v>
      </c>
      <c r="I7">
        <v>0.48</v>
      </c>
      <c r="J7">
        <v>0.27</v>
      </c>
      <c r="K7">
        <v>0.24</v>
      </c>
      <c r="L7">
        <v>0.16</v>
      </c>
      <c r="M7">
        <v>0.17</v>
      </c>
      <c r="N7">
        <v>0.18</v>
      </c>
      <c r="O7">
        <v>0</v>
      </c>
      <c r="P7">
        <v>0</v>
      </c>
      <c r="Q7" t="s">
        <v>324</v>
      </c>
    </row>
    <row r="8" spans="1:17">
      <c r="A8" t="s">
        <v>191</v>
      </c>
      <c r="B8">
        <v>0.02</v>
      </c>
      <c r="C8" t="s">
        <v>291</v>
      </c>
      <c r="D8" t="s">
        <v>299</v>
      </c>
      <c r="E8">
        <v>100</v>
      </c>
      <c r="F8" t="s">
        <v>318</v>
      </c>
      <c r="G8">
        <v>0.41</v>
      </c>
      <c r="H8">
        <v>0.38</v>
      </c>
      <c r="I8">
        <v>0.36</v>
      </c>
      <c r="J8">
        <v>0.21</v>
      </c>
      <c r="K8">
        <v>0.19</v>
      </c>
      <c r="L8">
        <v>0.12</v>
      </c>
      <c r="M8">
        <v>0.13</v>
      </c>
      <c r="N8">
        <v>0.14000000000000001</v>
      </c>
      <c r="O8">
        <v>0</v>
      </c>
      <c r="P8">
        <v>0</v>
      </c>
      <c r="Q8" t="s">
        <v>325</v>
      </c>
    </row>
    <row r="9" spans="1:17">
      <c r="A9" t="s">
        <v>192</v>
      </c>
      <c r="B9">
        <v>3.5000000000000003E-2</v>
      </c>
      <c r="C9" t="s">
        <v>291</v>
      </c>
      <c r="D9" t="s">
        <v>299</v>
      </c>
      <c r="E9">
        <v>100</v>
      </c>
      <c r="F9" t="s">
        <v>318</v>
      </c>
      <c r="G9">
        <v>0.32</v>
      </c>
      <c r="H9">
        <v>0.28999999999999998</v>
      </c>
      <c r="I9">
        <v>0.27</v>
      </c>
      <c r="J9">
        <v>0.16</v>
      </c>
      <c r="K9">
        <v>0.14000000000000001</v>
      </c>
      <c r="L9">
        <v>0.1</v>
      </c>
      <c r="M9">
        <v>0.1</v>
      </c>
      <c r="N9">
        <v>0.11</v>
      </c>
      <c r="O9">
        <v>0</v>
      </c>
      <c r="P9">
        <v>0</v>
      </c>
      <c r="Q9" t="s">
        <v>326</v>
      </c>
    </row>
    <row r="10" spans="1:17">
      <c r="A10" t="s">
        <v>193</v>
      </c>
      <c r="B10">
        <v>0.05</v>
      </c>
      <c r="C10" t="s">
        <v>291</v>
      </c>
      <c r="D10" t="s">
        <v>299</v>
      </c>
      <c r="E10">
        <v>100</v>
      </c>
      <c r="F10" t="s">
        <v>318</v>
      </c>
      <c r="G10">
        <v>0.48</v>
      </c>
      <c r="H10">
        <v>0.45</v>
      </c>
      <c r="I10">
        <v>0.42</v>
      </c>
      <c r="J10">
        <v>0.24</v>
      </c>
      <c r="K10">
        <v>0.22</v>
      </c>
      <c r="L10">
        <v>0.14000000000000001</v>
      </c>
      <c r="M10">
        <v>0.15</v>
      </c>
      <c r="N10">
        <v>0.16</v>
      </c>
      <c r="O10">
        <v>0</v>
      </c>
      <c r="P10">
        <v>0</v>
      </c>
      <c r="Q10" t="s">
        <v>327</v>
      </c>
    </row>
    <row r="11" spans="1:17">
      <c r="A11" t="s">
        <v>194</v>
      </c>
      <c r="B11">
        <v>6.5000000000000002E-2</v>
      </c>
      <c r="C11" t="s">
        <v>291</v>
      </c>
      <c r="D11" t="s">
        <v>299</v>
      </c>
      <c r="E11">
        <v>100</v>
      </c>
      <c r="F11" t="s">
        <v>318</v>
      </c>
      <c r="G11">
        <v>0.62</v>
      </c>
      <c r="H11">
        <v>0.57999999999999996</v>
      </c>
      <c r="I11">
        <v>0.55000000000000004</v>
      </c>
      <c r="J11">
        <v>0.31</v>
      </c>
      <c r="K11">
        <v>0.28000000000000003</v>
      </c>
      <c r="L11">
        <v>0.18</v>
      </c>
      <c r="M11">
        <v>0.19</v>
      </c>
      <c r="N11">
        <v>0.21</v>
      </c>
      <c r="O11">
        <v>0</v>
      </c>
      <c r="P11">
        <v>0</v>
      </c>
      <c r="Q11" t="s">
        <v>328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Start Here</vt:lpstr>
      <vt:lpstr>Load Log</vt:lpstr>
      <vt:lpstr>Charts</vt:lpstr>
      <vt:lpstr>Seating Depth</vt:lpstr>
      <vt:lpstr>Garmin Xero Import</vt:lpstr>
      <vt:lpstr>BallisticX Import</vt:lpstr>
      <vt:lpstr>Load Library</vt:lpstr>
      <vt:lpstr>Ballistics</vt:lpstr>
      <vt:lpstr>GarminSessions</vt:lpstr>
      <vt:lpstr>BallisticXGroups</vt:lpstr>
      <vt:lpstr>Ballistics!Print_Area</vt:lpstr>
      <vt:lpstr>Charts!Print_Area</vt:lpstr>
      <vt:lpstr>'Load Library'!Print_Area</vt:lpstr>
      <vt:lpstr>'Load Log'!Print_Area</vt:lpstr>
      <vt:lpstr>'Seating Depth'!Print_Area</vt:lpstr>
      <vt:lpstr>'Start Here'!Print_Area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Chad Heidt</cp:lastModifiedBy>
  <cp:revision>33</cp:revision>
  <dcterms:created xsi:type="dcterms:W3CDTF">2026-05-05T13:21:22Z</dcterms:created>
  <dcterms:modified xsi:type="dcterms:W3CDTF">2026-05-17T14:52:29Z</dcterms:modified>
  <dc:language>en-US</dc:language>
</cp:coreProperties>
</file>