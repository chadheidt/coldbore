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drawings/drawing2.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drawings/drawing3.xml" ContentType="application/vnd.openxmlformats-officedocument.drawing+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fter Range Day" sheetId="1" state="visible" r:id="rId1"/>
    <sheet xmlns:r="http://schemas.openxmlformats.org/officeDocument/2006/relationships" name="Powder Charge Log" sheetId="2" state="visible" r:id="rId2"/>
    <sheet xmlns:r="http://schemas.openxmlformats.org/officeDocument/2006/relationships" name="Charts" sheetId="3" state="visible" r:id="rId3"/>
    <sheet xmlns:r="http://schemas.openxmlformats.org/officeDocument/2006/relationships" name="Seating Depth Log" sheetId="4" state="visible" r:id="rId4"/>
    <sheet xmlns:r="http://schemas.openxmlformats.org/officeDocument/2006/relationships" name="Garmin Xero Import" sheetId="5" state="visible" r:id="rId5"/>
    <sheet xmlns:r="http://schemas.openxmlformats.org/officeDocument/2006/relationships" name="BallisticX Import" sheetId="6" state="visible" r:id="rId6"/>
    <sheet xmlns:r="http://schemas.openxmlformats.org/officeDocument/2006/relationships" name="Load Library" sheetId="7" state="visible" r:id="rId7"/>
    <sheet xmlns:r="http://schemas.openxmlformats.org/officeDocument/2006/relationships" name="Ballistics" sheetId="8" state="visible" r:id="rId8"/>
    <sheet xmlns:r="http://schemas.openxmlformats.org/officeDocument/2006/relationships" name="GarminSessions" sheetId="9" state="hidden" r:id="rId9"/>
    <sheet xmlns:r="http://schemas.openxmlformats.org/officeDocument/2006/relationships" name="BallisticXGroups" sheetId="10" state="hidden" r:id="rId10"/>
  </sheets>
  <definedNames>
    <definedName name="_xlnm.Print_Area" localSheetId="0">'After Range Day'!$A$1:$H$17</definedName>
    <definedName name="_xlnm.Print_Area" localSheetId="1">'Powder Charge Log'!$A$1:$P$27</definedName>
    <definedName name="_xlnm.Print_Area" localSheetId="2">'Charts'!$A$1:$L$25</definedName>
    <definedName name="_xlnm.Print_Area" localSheetId="3">'Seating Depth Log'!$A$1:$P$27</definedName>
    <definedName name="_xlnm.Print_Area" localSheetId="6">'Load Library'!$A$1:$R$19</definedName>
    <definedName name="_xlnm.Print_Area" localSheetId="7">'Ballistics'!$A$1:$K$18</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0.0&quot; gr&quot;"/>
    <numFmt numFmtId="165" formatCode="0&quot; fps&quot;"/>
    <numFmt numFmtId="166" formatCode="0.0&quot; fps&quot;"/>
    <numFmt numFmtId="167" formatCode="0.00&quot; MOA&quot;"/>
    <numFmt numFmtId="168" formatCode="0.000"/>
    <numFmt numFmtId="169" formatCode="0.000&quot; off lands&quot;"/>
    <numFmt numFmtId="170" formatCode="0&quot; yd&quot;"/>
    <numFmt numFmtId="171" formatCode="0.0"/>
    <numFmt numFmtId="172" formatCode="0.000&quot; off&quot;"/>
    <numFmt numFmtId="173" formatCode="[=NA()]&quot;&quot;;General"/>
    <numFmt numFmtId="174" formatCode="0.000;-0.000;&quot;&quot;"/>
    <numFmt numFmtId="175" formatCode="[=NA()]&quot;&quot;;0.000"/>
    <numFmt numFmtId="176" formatCode="[=NA()]&quot;&quot;;0.0"/>
    <numFmt numFmtId="177" formatCode="[=NA()]&quot;&quot;;0"/>
    <numFmt numFmtId="178" formatCode="[=NA()]&quot;&quot;;0.0&quot; gr&quot;"/>
    <numFmt numFmtId="179" formatCode="[=NA()]&quot;&quot;;0.00"/>
  </numFmts>
  <fonts count="63">
    <font>
      <name val="Calibri"/>
      <charset val="1"/>
      <family val="0"/>
      <color theme="1"/>
      <sz val="11"/>
    </font>
    <font>
      <name val="Arial"/>
      <family val="0"/>
      <sz val="10"/>
    </font>
    <font>
      <name val="Arial"/>
      <family val="0"/>
      <sz val="10"/>
    </font>
    <font>
      <name val="Arial"/>
      <family val="0"/>
      <sz val="10"/>
    </font>
    <font>
      <name val="Calibri"/>
      <charset val="1"/>
      <family val="0"/>
      <b val="1"/>
      <color rgb="FFFFFFFF"/>
      <sz val="20"/>
    </font>
    <font>
      <name val="Calibri"/>
      <charset val="1"/>
      <family val="0"/>
      <color rgb="FF000000"/>
      <sz val="11"/>
    </font>
    <font>
      <name val="Calibri"/>
      <charset val="1"/>
      <family val="0"/>
      <b val="1"/>
      <color rgb="FFFFFFFF"/>
      <sz val="12"/>
    </font>
    <font>
      <name val="Calibri"/>
      <charset val="1"/>
      <family val="0"/>
      <color rgb="FF000000"/>
      <sz val="10"/>
    </font>
    <font>
      <name val="Calibri"/>
      <charset val="1"/>
      <family val="0"/>
      <b val="1"/>
      <color rgb="FF000000"/>
      <sz val="11"/>
    </font>
    <font>
      <name val="Calibri"/>
      <charset val="1"/>
      <family val="0"/>
      <b val="1"/>
      <color rgb="FF1F4E78"/>
      <sz val="11"/>
    </font>
    <font>
      <name val="Calibri"/>
      <charset val="1"/>
      <family val="0"/>
      <b val="1"/>
      <color rgb="FFFFFFFF"/>
      <sz val="18"/>
    </font>
    <font>
      <name val="Cambria"/>
      <charset val="1"/>
      <family val="0"/>
      <sz val="11"/>
    </font>
    <font>
      <name val="Calibri"/>
      <charset val="1"/>
      <family val="0"/>
      <b val="1"/>
      <color rgb="FFFFFFFF"/>
      <sz val="11"/>
    </font>
    <font>
      <name val="Calibri"/>
      <charset val="1"/>
      <family val="0"/>
      <b val="1"/>
      <color rgb="FFFFFFFF"/>
      <sz val="10"/>
    </font>
    <font>
      <name val="Calibri"/>
      <charset val="1"/>
      <family val="0"/>
      <color rgb="FF1976D2"/>
      <sz val="10"/>
    </font>
    <font>
      <name val="Arial"/>
      <family val="2"/>
      <color rgb="FF757575"/>
      <sz val="13"/>
    </font>
    <font>
      <name val="Calibri"/>
      <family val="2"/>
      <color rgb="FF000000"/>
      <sz val="10"/>
    </font>
    <font>
      <name val="Arial"/>
      <family val="2"/>
      <color rgb="FF000000"/>
      <sz val="13"/>
    </font>
    <font>
      <name val="Calibri"/>
      <charset val="1"/>
      <family val="0"/>
      <b val="1"/>
      <color rgb="FFFFFFFF"/>
      <sz val="16"/>
    </font>
    <font>
      <name val="Cambria"/>
      <charset val="1"/>
      <family val="0"/>
      <b val="1"/>
      <color theme="1"/>
      <sz val="12"/>
    </font>
    <font>
      <name val="Cambria"/>
      <charset val="1"/>
      <family val="0"/>
      <b val="1"/>
      <color rgb="FFC00000"/>
      <sz val="26"/>
    </font>
    <font>
      <name val="Calibri"/>
      <charset val="1"/>
      <family val="0"/>
      <b val="1"/>
      <color theme="1"/>
      <sz val="10"/>
    </font>
    <font>
      <name val="Calibri"/>
      <charset val="1"/>
      <family val="0"/>
      <i val="1"/>
      <color rgb="FF595959"/>
      <sz val="10"/>
    </font>
    <font>
      <name val="Calibri"/>
      <charset val="1"/>
      <family val="0"/>
      <i val="1"/>
      <color rgb="FF7F1D1D"/>
      <sz val="9"/>
    </font>
    <font>
      <name val="Calibri"/>
      <charset val="1"/>
      <family val="0"/>
      <color rgb="FF0000FF"/>
      <sz val="10"/>
    </font>
    <font>
      <name val="Cambria"/>
      <charset val="1"/>
      <family val="0"/>
      <b val="1"/>
      <color theme="1"/>
      <sz val="11"/>
    </font>
    <font>
      <name val="Cambria"/>
      <charset val="1"/>
      <family val="0"/>
      <b val="1"/>
      <color rgb="FFFFFFFF"/>
      <sz val="10"/>
    </font>
    <font>
      <name val="Cambria"/>
      <charset val="1"/>
      <family val="0"/>
      <color theme="1"/>
      <sz val="11"/>
    </font>
    <font>
      <name val="Arial"/>
      <family val="2"/>
      <sz val="10"/>
    </font>
    <font>
      <name val="Calibri"/>
      <charset val="1"/>
      <family val="0"/>
      <color rgb="FF1976D2"/>
      <sz val="11"/>
    </font>
    <font>
      <name val="Calibri"/>
      <charset val="1"/>
      <family val="0"/>
      <i val="1"/>
      <color rgb="FF595959"/>
      <sz val="9"/>
    </font>
    <font>
      <name val="Calibri"/>
      <b val="1"/>
      <color rgb="FFFFFFFF"/>
      <sz val="20"/>
    </font>
    <font>
      <name val="Calibri"/>
      <color rgb="FF000000"/>
      <sz val="11"/>
    </font>
    <font>
      <name val="Calibri"/>
      <b val="1"/>
      <color rgb="FFFFFFFF"/>
      <sz val="12"/>
    </font>
    <font>
      <name val="Calibri"/>
      <b val="1"/>
      <color rgb="FF000000"/>
      <sz val="11"/>
    </font>
    <font>
      <name val="Calibri"/>
      <b val="1"/>
      <color rgb="FF1F4E78"/>
      <sz val="11"/>
    </font>
    <font>
      <name val="Calibri"/>
      <b val="1"/>
      <color rgb="FFFFFFFF"/>
      <sz val="10"/>
    </font>
    <font>
      <b val="1"/>
      <color rgb="FFFFFFFF"/>
      <sz val="20"/>
    </font>
    <font>
      <color rgb="FF000000"/>
      <sz val="11"/>
    </font>
    <font>
      <b val="1"/>
      <color rgb="FFFFFFFF"/>
      <sz val="12"/>
    </font>
    <font>
      <b val="1"/>
      <color rgb="FFFFFFFF"/>
      <sz val="18"/>
    </font>
    <font>
      <name val="Arial"/>
      <b val="1"/>
      <color rgb="00FFFFFF"/>
      <sz val="10"/>
    </font>
    <font>
      <name val="Calibri"/>
      <b val="1"/>
      <color rgb="FFFFFF00"/>
      <sz val="16"/>
    </font>
    <font/>
    <font>
      <name val="Arial"/>
      <b val="1"/>
      <color rgb="00FFFFFF"/>
      <sz val="11"/>
    </font>
    <font>
      <name val="Calibri"/>
      <b val="1"/>
      <color rgb="FFFF0000"/>
      <sz val="16"/>
    </font>
    <font>
      <name val="Calibri"/>
      <b val="1"/>
      <color rgb="FFFFFF00"/>
      <sz val="12"/>
    </font>
    <font>
      <name val="Calibri"/>
      <i val="1"/>
      <color rgb="00888888"/>
      <sz val="9"/>
    </font>
    <font>
      <name val="Calibri"/>
      <b val="1"/>
      <color rgb="00D97706"/>
      <sz val="14"/>
    </font>
    <font>
      <name val="Calibri"/>
      <b val="1"/>
      <color rgb="FF262626"/>
      <sz val="11"/>
    </font>
    <font>
      <name val="Calibri"/>
      <b val="1"/>
      <color rgb="00A05A06"/>
      <sz val="12"/>
    </font>
    <font>
      <name val="Calibri"/>
      <b val="1"/>
      <color rgb="FF262626"/>
      <sz val="10"/>
    </font>
    <font>
      <name val="Calibri"/>
      <b val="1"/>
      <color rgb="00D97706"/>
      <sz val="20"/>
    </font>
    <font>
      <name val="Calibri"/>
      <b val="1"/>
      <color rgb="00262626"/>
      <sz val="11"/>
    </font>
    <font>
      <name val="Calibri"/>
      <b val="1"/>
      <color rgb="00262626"/>
      <sz val="10"/>
    </font>
    <font>
      <name val="Calibri"/>
      <b val="1"/>
      <color rgb="00A05A06"/>
      <sz val="11"/>
    </font>
    <font>
      <name val="Calibri"/>
      <b val="1"/>
      <color rgb="00262626"/>
      <sz val="12"/>
    </font>
    <font>
      <name val="Calibri"/>
      <color rgb="00262626"/>
      <sz val="11"/>
    </font>
    <font>
      <name val="Calibri"/>
      <b val="1"/>
      <color rgb="00D97706"/>
      <sz val="12"/>
    </font>
    <font>
      <name val="Consolas"/>
      <color rgb="00262626"/>
      <sz val="10"/>
    </font>
    <font>
      <name val="Calibri"/>
      <i val="1"/>
      <color rgb="00666666"/>
      <sz val="10"/>
    </font>
    <font>
      <name val="Calibri"/>
      <i val="1"/>
      <color rgb="00666666"/>
      <sz val="9"/>
    </font>
    <font>
      <name val="Calibri"/>
      <b val="1"/>
      <color rgb="FFFFFFFF"/>
      <sz val="11"/>
    </font>
  </fonts>
  <fills count="41">
    <fill>
      <patternFill/>
    </fill>
    <fill>
      <patternFill patternType="gray125"/>
    </fill>
    <fill>
      <patternFill patternType="solid">
        <fgColor rgb="FF1F4E78"/>
        <bgColor rgb="FF305496"/>
      </patternFill>
    </fill>
    <fill>
      <patternFill patternType="solid">
        <fgColor rgb="FFF5F5F5"/>
        <bgColor rgb="FFF2F2F2"/>
      </patternFill>
    </fill>
    <fill>
      <patternFill patternType="solid">
        <fgColor rgb="FFE65100"/>
        <bgColor rgb="FFBE4B48"/>
      </patternFill>
    </fill>
    <fill>
      <patternFill patternType="solid">
        <fgColor rgb="FFFFE0B2"/>
        <bgColor rgb="FFFFE082"/>
      </patternFill>
    </fill>
    <fill>
      <patternFill patternType="solid">
        <fgColor rgb="FFFFF8E1"/>
        <bgColor rgb="FFFFF2CC"/>
      </patternFill>
    </fill>
    <fill>
      <patternFill patternType="solid">
        <fgColor rgb="FF305496"/>
        <bgColor rgb="FF1F4E78"/>
      </patternFill>
    </fill>
    <fill>
      <patternFill patternType="solid">
        <fgColor rgb="FFA98C2A"/>
        <bgColor rgb="FF8B8B8B"/>
      </patternFill>
    </fill>
    <fill>
      <patternFill patternType="solid">
        <fgColor rgb="FF2E7D32"/>
        <bgColor rgb="FF008000"/>
      </patternFill>
    </fill>
    <fill>
      <patternFill patternType="solid">
        <fgColor rgb="FF7B1FA2"/>
        <bgColor rgb="FF800080"/>
      </patternFill>
    </fill>
    <fill>
      <patternFill patternType="solid">
        <fgColor rgb="FFC00000"/>
        <bgColor rgb="FF800000"/>
      </patternFill>
    </fill>
    <fill>
      <patternFill patternType="solid">
        <fgColor rgb="FFFFE082"/>
        <bgColor rgb="FFFFE0B2"/>
      </patternFill>
    </fill>
    <fill>
      <patternFill patternType="solid">
        <fgColor rgb="FFBBDEFB"/>
        <bgColor rgb="FFD9D9D9"/>
      </patternFill>
    </fill>
    <fill>
      <patternFill patternType="solid">
        <fgColor rgb="FFE3F2FD"/>
        <bgColor rgb="FFE8F5E9"/>
      </patternFill>
    </fill>
    <fill>
      <patternFill patternType="solid">
        <fgColor rgb="FFA5D6A7"/>
        <bgColor rgb="FFB7B7B7"/>
      </patternFill>
    </fill>
    <fill>
      <patternFill patternType="solid">
        <fgColor rgb="FFE8F5E9"/>
        <bgColor rgb="FFF2F2F2"/>
      </patternFill>
    </fill>
    <fill>
      <patternFill patternType="solid">
        <fgColor rgb="FFFFF2CC"/>
        <bgColor rgb="FFFFF8E1"/>
      </patternFill>
    </fill>
    <fill>
      <patternFill patternType="solid">
        <fgColor rgb="FFF2F2F2"/>
        <bgColor rgb="FFF5F5F5"/>
      </patternFill>
    </fill>
    <fill>
      <patternFill patternType="solid">
        <fgColor rgb="FFF3E5F5"/>
        <bgColor rgb="FFF2F2F2"/>
      </patternFill>
    </fill>
    <fill>
      <patternFill patternType="solid">
        <fgColor rgb="FF1976D2"/>
        <bgColor rgb="FF4672A8"/>
      </patternFill>
    </fill>
    <fill>
      <patternFill patternType="solid">
        <fgColor rgb="FF1F4E78"/>
        <bgColor rgb="FF1F4E78"/>
      </patternFill>
    </fill>
    <fill>
      <patternFill patternType="solid">
        <fgColor rgb="FFF5F5F5"/>
        <bgColor rgb="FFF5F5F5"/>
      </patternFill>
    </fill>
    <fill>
      <patternFill patternType="solid">
        <fgColor rgb="FFE65100"/>
        <bgColor rgb="FFE65100"/>
      </patternFill>
    </fill>
    <fill>
      <patternFill patternType="solid">
        <fgColor rgb="FFFFE0B2"/>
        <bgColor rgb="FFFFE0B2"/>
      </patternFill>
    </fill>
    <fill>
      <patternFill patternType="solid">
        <fgColor rgb="FFFFF8E1"/>
        <bgColor rgb="FFFFF8E1"/>
      </patternFill>
    </fill>
    <fill>
      <patternFill patternType="solid">
        <fgColor rgb="FF305496"/>
        <bgColor rgb="FF305496"/>
      </patternFill>
    </fill>
    <fill>
      <patternFill patternType="solid">
        <fgColor rgb="FFA98C2A"/>
        <bgColor rgb="FFA98C2A"/>
      </patternFill>
    </fill>
    <fill>
      <patternFill patternType="solid">
        <fgColor rgb="FF2E7D32"/>
        <bgColor rgb="FF2E7D32"/>
      </patternFill>
    </fill>
    <fill>
      <patternFill patternType="solid">
        <fgColor rgb="FF7B1FA2"/>
        <bgColor rgb="FF7B1FA2"/>
      </patternFill>
    </fill>
    <fill>
      <patternFill patternType="solid">
        <fgColor rgb="FF1F4E78"/>
      </patternFill>
    </fill>
    <fill>
      <patternFill patternType="solid">
        <fgColor rgb="FFF5F5F5"/>
      </patternFill>
    </fill>
    <fill>
      <patternFill patternType="solid">
        <fgColor rgb="FFE65100"/>
      </patternFill>
    </fill>
    <fill>
      <patternFill patternType="solid">
        <fgColor rgb="FF305496"/>
      </patternFill>
    </fill>
    <fill>
      <patternFill patternType="solid">
        <fgColor rgb="FFFFF8E1"/>
      </patternFill>
    </fill>
    <fill>
      <patternFill patternType="solid">
        <fgColor rgb="FF2E7D32"/>
      </patternFill>
    </fill>
    <fill>
      <patternFill patternType="solid">
        <fgColor rgb="FF7B1FA2"/>
      </patternFill>
    </fill>
    <fill>
      <patternFill patternType="solid">
        <fgColor rgb="00D97706"/>
        <bgColor rgb="00D97706"/>
      </patternFill>
    </fill>
    <fill>
      <patternFill patternType="solid">
        <fgColor rgb="FFC00000"/>
        <bgColor rgb="FFC00000"/>
      </patternFill>
    </fill>
    <fill>
      <patternFill patternType="solid">
        <fgColor rgb="FFFEEBC8"/>
        <bgColor rgb="FFFEEBC8"/>
      </patternFill>
    </fill>
    <fill>
      <patternFill patternType="solid">
        <fgColor rgb="FFEFEFEF"/>
        <bgColor rgb="FFEFEFEF"/>
      </patternFill>
    </fill>
  </fills>
  <borders count="26">
    <border>
      <left/>
      <right/>
      <top/>
      <bottom/>
      <diagonal/>
    </border>
    <border>
      <left style="thin">
        <color rgb="FFB0B0B0"/>
      </left>
      <right style="thin">
        <color rgb="FFB0B0B0"/>
      </right>
      <top style="thin">
        <color rgb="FFB0B0B0"/>
      </top>
      <bottom style="thin">
        <color rgb="FFB0B0B0"/>
      </bottom>
      <diagonal/>
    </border>
    <border>
      <left style="medium">
        <color rgb="FF305496"/>
      </left>
      <right/>
      <top style="medium">
        <color rgb="FF305496"/>
      </top>
      <bottom/>
      <diagonal/>
    </border>
    <border>
      <left style="thin">
        <color rgb="FF808080"/>
      </left>
      <right style="thin">
        <color rgb="FF808080"/>
      </right>
      <top style="thin">
        <color rgb="FF808080"/>
      </top>
      <bottom style="thin">
        <color rgb="FF808080"/>
      </bottom>
      <diagonal/>
    </border>
    <border>
      <left/>
      <right/>
      <top style="thin">
        <color rgb="FFB0B0B0"/>
      </top>
      <bottom/>
      <diagonal/>
    </border>
    <border>
      <left/>
      <right style="thin">
        <color rgb="FFB0B0B0"/>
      </right>
      <top style="thin">
        <color rgb="FFB0B0B0"/>
      </top>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top style="medium">
        <color rgb="FF305496"/>
      </top>
      <bottom/>
      <diagonal/>
    </border>
    <border>
      <left style="medium">
        <color rgb="FF305496"/>
      </left>
      <right/>
      <top/>
      <bottom/>
      <diagonal/>
    </border>
    <border>
      <left style="thin">
        <color rgb="00888888"/>
      </left>
      <right style="thin">
        <color rgb="00888888"/>
      </right>
      <top style="thin">
        <color rgb="00888888"/>
      </top>
      <bottom style="thin">
        <color rgb="00888888"/>
      </bottom>
    </border>
    <border>
      <left style="medium">
        <color rgb="00A05A06"/>
      </left>
      <top style="medium">
        <color rgb="00A05A06"/>
      </top>
    </border>
    <border>
      <right style="medium">
        <color rgb="00A05A06"/>
      </right>
      <top style="medium">
        <color rgb="00A05A06"/>
      </top>
    </border>
    <border>
      <left style="medium">
        <color rgb="00A05A06"/>
      </left>
    </border>
    <border>
      <right style="medium">
        <color rgb="00A05A06"/>
      </right>
    </border>
    <border>
      <left style="medium">
        <color rgb="00A05A06"/>
      </left>
      <bottom style="medium">
        <color rgb="00A05A06"/>
      </bottom>
    </border>
    <border>
      <right style="medium">
        <color rgb="00A05A06"/>
      </right>
      <bottom style="medium">
        <color rgb="00A05A06"/>
      </bottom>
    </border>
    <border>
      <left style="medium">
        <color rgb="00A05A06"/>
      </left>
      <right style="medium">
        <color rgb="00A05A06"/>
      </right>
      <top style="medium">
        <color rgb="00A05A06"/>
      </top>
      <bottom style="medium">
        <color rgb="00A05A06"/>
      </bottom>
    </border>
    <border>
      <left/>
      <right/>
      <top style="medium">
        <color rgb="00A05A06"/>
      </top>
      <bottom/>
      <diagonal/>
    </border>
    <border>
      <left style="medium">
        <color rgb="00A05A06"/>
      </left>
      <right/>
      <top/>
      <bottom/>
      <diagonal/>
    </border>
    <border>
      <left/>
      <right style="medium">
        <color rgb="00A05A06"/>
      </right>
      <top style="medium">
        <color rgb="00A05A06"/>
      </top>
      <bottom/>
      <diagonal/>
    </border>
    <border>
      <left/>
      <right style="medium">
        <color rgb="00A05A06"/>
      </right>
      <top/>
      <bottom/>
      <diagonal/>
    </border>
    <border>
      <left style="medium">
        <color rgb="00A05A06"/>
      </left>
      <right/>
      <top/>
      <bottom style="medium">
        <color rgb="00A05A06"/>
      </bottom>
      <diagonal/>
    </border>
    <border>
      <left/>
      <right style="medium">
        <color rgb="00A05A06"/>
      </right>
      <top/>
      <bottom style="medium">
        <color rgb="00A05A06"/>
      </bottom>
      <diagonal/>
    </border>
    <border/>
    <border>
      <right/>
      <bottom/>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579">
    <xf numFmtId="0" fontId="0" fillId="0" borderId="0" applyAlignment="1" pivotButton="0" quotePrefix="0" xfId="0">
      <alignment horizontal="general" vertical="bottom"/>
    </xf>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0" fillId="0" borderId="0" applyAlignment="1" pivotButton="0" quotePrefix="0" xfId="0">
      <alignment horizontal="general" vertical="bottom"/>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6" fillId="7" borderId="0" applyAlignment="1" pivotButton="0" quotePrefix="0" xfId="0">
      <alignment horizontal="center" vertical="center" wrapText="1"/>
    </xf>
    <xf numFmtId="0" fontId="5" fillId="0" borderId="0" applyAlignment="1" pivotButton="0" quotePrefix="0" xfId="0">
      <alignment horizontal="left" vertical="top" wrapText="1" indent="1"/>
    </xf>
    <xf numFmtId="0" fontId="0" fillId="0" borderId="0" applyAlignment="1" pivotButton="0" quotePrefix="0" xfId="0">
      <alignment horizontal="general" vertical="bottom"/>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0"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1" fillId="0" borderId="0" applyAlignment="1" pivotButton="0" quotePrefix="0" xfId="0">
      <alignment horizontal="general" vertical="bottom"/>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0" fontId="13" fillId="2"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0" fillId="0" borderId="0" applyAlignment="1" pivotButton="0" quotePrefix="0" xfId="0">
      <alignment horizontal="general" vertical="bottom"/>
    </xf>
    <xf numFmtId="0" fontId="0" fillId="0" borderId="0" pivotButton="0" quotePrefix="0" xfId="0"/>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0" fillId="0" borderId="6" pivotButton="0" quotePrefix="0" xfId="0"/>
    <xf numFmtId="0" fontId="0" fillId="0" borderId="7" pivotButton="0" quotePrefix="0" xfId="0"/>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0" fillId="0" borderId="8" pivotButton="0" quotePrefix="0" xfId="0"/>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0" fontId="0" fillId="0" borderId="9" pivotButton="0" quotePrefix="0" xfId="0"/>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31" fillId="21" borderId="0" applyAlignment="1" pivotButton="0" quotePrefix="0" xfId="0">
      <alignment horizontal="center" vertical="center" wrapText="1"/>
    </xf>
    <xf numFmtId="0" fontId="0" fillId="21" borderId="0" pivotButton="0" quotePrefix="0" xfId="0"/>
    <xf numFmtId="0" fontId="32" fillId="22" borderId="0" applyAlignment="1" pivotButton="0" quotePrefix="0" xfId="0">
      <alignment horizontal="left" vertical="top" wrapText="1" indent="1"/>
    </xf>
    <xf numFmtId="0" fontId="0" fillId="22" borderId="0" pivotButton="0" quotePrefix="0" xfId="0"/>
    <xf numFmtId="0" fontId="33" fillId="23" borderId="0" applyAlignment="1" pivotButton="0" quotePrefix="0" xfId="0">
      <alignment horizontal="center" vertical="center" wrapText="1"/>
    </xf>
    <xf numFmtId="0" fontId="0" fillId="23" borderId="0" pivotButton="0" quotePrefix="0" xfId="0"/>
    <xf numFmtId="0" fontId="32" fillId="24" borderId="0" applyAlignment="1" pivotButton="0" quotePrefix="0" xfId="0">
      <alignment horizontal="left" vertical="top" wrapText="1" indent="1"/>
    </xf>
    <xf numFmtId="0" fontId="0" fillId="24" borderId="0" pivotButton="0" quotePrefix="0" xfId="0"/>
    <xf numFmtId="0" fontId="33" fillId="21" borderId="0" applyAlignment="1" pivotButton="0" quotePrefix="0" xfId="0">
      <alignment horizontal="center" vertical="center" wrapText="1"/>
    </xf>
    <xf numFmtId="0" fontId="34" fillId="25" borderId="0" applyAlignment="1" pivotButton="0" quotePrefix="0" xfId="0">
      <alignment horizontal="left" vertical="top" wrapText="1" indent="1"/>
    </xf>
    <xf numFmtId="0" fontId="0" fillId="25" borderId="0" pivotButton="0" quotePrefix="0" xfId="0"/>
    <xf numFmtId="0" fontId="35" fillId="22" borderId="0" applyAlignment="1" pivotButton="0" quotePrefix="0" xfId="0">
      <alignment horizontal="center" vertical="center" wrapText="1"/>
    </xf>
    <xf numFmtId="0" fontId="32" fillId="0" borderId="0" applyAlignment="1" pivotButton="0" quotePrefix="0" xfId="0">
      <alignment horizontal="left" vertical="top" wrapText="1" indent="1"/>
    </xf>
    <xf numFmtId="0" fontId="33" fillId="26" borderId="0" applyAlignment="1" pivotButton="0" quotePrefix="0" xfId="0">
      <alignment horizontal="center" vertical="center" wrapText="1"/>
    </xf>
    <xf numFmtId="0" fontId="0" fillId="26" borderId="0" pivotButton="0" quotePrefix="0" xfId="0"/>
    <xf numFmtId="0" fontId="33" fillId="27" borderId="0" applyAlignment="1" pivotButton="0" quotePrefix="0" xfId="0">
      <alignment horizontal="center" vertical="center" wrapText="1"/>
    </xf>
    <xf numFmtId="0" fontId="0" fillId="27" borderId="0" pivotButton="0" quotePrefix="0" xfId="0"/>
    <xf numFmtId="0" fontId="33" fillId="28" borderId="0" applyAlignment="1" pivotButton="0" quotePrefix="0" xfId="0">
      <alignment horizontal="center" vertical="center" wrapText="1"/>
    </xf>
    <xf numFmtId="0" fontId="0" fillId="28" borderId="0" pivotButton="0" quotePrefix="0" xfId="0"/>
    <xf numFmtId="0" fontId="33" fillId="29" borderId="0" applyAlignment="1" pivotButton="0" quotePrefix="0" xfId="0">
      <alignment horizontal="center" vertical="center" wrapText="1"/>
    </xf>
    <xf numFmtId="0" fontId="0" fillId="29" borderId="0" pivotButton="0" quotePrefix="0" xfId="0"/>
    <xf numFmtId="0" fontId="36" fillId="26" borderId="0" applyAlignment="1" pivotButton="0" quotePrefix="0" xfId="0">
      <alignment horizontal="center" vertical="center" wrapText="1"/>
    </xf>
    <xf numFmtId="0" fontId="37" fillId="30" borderId="0" applyAlignment="1" pivotButton="0" quotePrefix="0" xfId="0">
      <alignment horizontal="left" vertical="center" wrapText="1"/>
    </xf>
    <xf numFmtId="0" fontId="38" fillId="31" borderId="0" applyAlignment="1" pivotButton="0" quotePrefix="0" xfId="0">
      <alignment horizontal="left" vertical="top" wrapText="1"/>
    </xf>
    <xf numFmtId="0" fontId="39" fillId="32" borderId="0" applyAlignment="1" pivotButton="0" quotePrefix="0" xfId="0">
      <alignment horizontal="left" vertical="center" wrapText="1"/>
    </xf>
    <xf numFmtId="0" fontId="39" fillId="33" borderId="0" applyAlignment="1" pivotButton="0" quotePrefix="0" xfId="0">
      <alignment horizontal="left" vertical="center" wrapText="1"/>
    </xf>
    <xf numFmtId="0" fontId="38" fillId="34" borderId="0" applyAlignment="1" pivotButton="0" quotePrefix="0" xfId="0">
      <alignment horizontal="left" vertical="top" wrapText="1"/>
    </xf>
    <xf numFmtId="0" fontId="39" fillId="35" borderId="0" applyAlignment="1" pivotButton="0" quotePrefix="0" xfId="0">
      <alignment horizontal="left" vertical="center" wrapText="1"/>
    </xf>
    <xf numFmtId="0" fontId="40" fillId="30" borderId="0" applyAlignment="1" pivotButton="0" quotePrefix="0" xfId="0">
      <alignment horizontal="left" vertical="center" wrapText="1"/>
    </xf>
    <xf numFmtId="0" fontId="39" fillId="36" borderId="0" applyAlignment="1" pivotButton="0" quotePrefix="0" xfId="0">
      <alignment horizontal="left" vertical="center" wrapText="1"/>
    </xf>
    <xf numFmtId="0" fontId="40" fillId="3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38" fillId="31" borderId="0" applyAlignment="1" applyProtection="1" pivotButton="0" quotePrefix="0" xfId="0">
      <alignment horizontal="left" vertical="top" wrapText="1"/>
      <protection locked="0" hidden="0"/>
    </xf>
    <xf numFmtId="0" fontId="39" fillId="35" borderId="0" applyAlignment="1" applyProtection="1" pivotButton="0" quotePrefix="0" xfId="0">
      <alignment horizontal="left" vertical="center" wrapText="1"/>
      <protection locked="0" hidden="0"/>
    </xf>
    <xf numFmtId="0" fontId="39" fillId="36" borderId="0" applyAlignment="1" applyProtection="1" pivotButton="0" quotePrefix="0" xfId="0">
      <alignment horizontal="left" vertical="center" wrapText="1"/>
      <protection locked="0" hidden="0"/>
    </xf>
    <xf numFmtId="0" fontId="39" fillId="33" borderId="0" applyAlignment="1" applyProtection="1" pivotButton="0" quotePrefix="0" xfId="0">
      <alignment horizontal="left" vertical="center" wrapText="1"/>
      <protection locked="0" hidden="0"/>
    </xf>
    <xf numFmtId="0" fontId="38" fillId="34" borderId="0" applyAlignment="1" applyProtection="1" pivotButton="0" quotePrefix="0" xfId="0">
      <alignment horizontal="left" vertical="top" wrapText="1"/>
      <protection locked="0" hidden="0"/>
    </xf>
    <xf numFmtId="0" fontId="39" fillId="32" borderId="0" applyAlignment="1" applyProtection="1" pivotButton="0" quotePrefix="0" xfId="0">
      <alignment horizontal="left" vertical="center" wrapText="1"/>
      <protection locked="0" hidden="0"/>
    </xf>
    <xf numFmtId="0" fontId="10" fillId="2" borderId="0" applyAlignment="1" applyProtection="1" pivotButton="0" quotePrefix="0" xfId="0">
      <alignment horizontal="center" vertical="center"/>
      <protection locked="0" hidden="0"/>
    </xf>
    <xf numFmtId="0" fontId="11" fillId="0" borderId="0" applyAlignment="1" applyProtection="1" pivotButton="0" quotePrefix="0" xfId="0">
      <alignment horizontal="general" vertical="bottom"/>
      <protection locked="0" hidden="0"/>
    </xf>
    <xf numFmtId="0" fontId="6" fillId="11"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wrapText="1"/>
      <protection locked="0" hidden="0"/>
    </xf>
    <xf numFmtId="0" fontId="9" fillId="12" borderId="1" applyAlignment="1" applyProtection="1" pivotButton="0" quotePrefix="0" xfId="0">
      <alignment horizontal="right" vertical="center" indent="1"/>
      <protection locked="0" hidden="0"/>
    </xf>
    <xf numFmtId="0" fontId="5" fillId="6" borderId="1" applyAlignment="1" applyProtection="1" pivotButton="0" quotePrefix="0" xfId="0">
      <alignment horizontal="left" vertical="center" wrapText="1" indent="1"/>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12" fillId="7" borderId="0" applyAlignment="1" applyProtection="1" pivotButton="0" quotePrefix="0" xfId="0">
      <alignment horizontal="center" vertical="center" wrapText="1"/>
      <protection locked="0" hidden="0"/>
    </xf>
    <xf numFmtId="0" fontId="9" fillId="13" borderId="1" applyAlignment="1" applyProtection="1" pivotButton="0" quotePrefix="0" xfId="0">
      <alignment horizontal="right" vertical="center" indent="1"/>
      <protection locked="0" hidden="0"/>
    </xf>
    <xf numFmtId="0" fontId="5" fillId="14" borderId="1" applyAlignment="1" applyProtection="1" pivotButton="0" quotePrefix="0" xfId="0">
      <alignment horizontal="left" vertical="center" wrapText="1" indent="1"/>
      <protection locked="0" hidden="0"/>
    </xf>
    <xf numFmtId="168" fontId="5" fillId="14" borderId="1" applyAlignment="1" applyProtection="1" pivotButton="0" quotePrefix="0" xfId="0">
      <alignment horizontal="left" vertical="center" wrapText="1" indent="1"/>
      <protection locked="0" hidden="0"/>
    </xf>
    <xf numFmtId="169" fontId="5" fillId="14" borderId="1" applyAlignment="1" applyProtection="1" pivotButton="0" quotePrefix="0" xfId="0">
      <alignment horizontal="left" vertical="center" wrapText="1" indent="1"/>
      <protection locked="0" hidden="0"/>
    </xf>
    <xf numFmtId="170" fontId="5" fillId="14" borderId="1" applyAlignment="1" applyProtection="1" pivotButton="0" quotePrefix="0" xfId="0">
      <alignment horizontal="left" vertical="center" wrapText="1" indent="1"/>
      <protection locked="0" hidden="0"/>
    </xf>
    <xf numFmtId="0" fontId="9" fillId="15" borderId="1" applyAlignment="1" applyProtection="1" pivotButton="0" quotePrefix="0" xfId="0">
      <alignment horizontal="right" vertical="center" indent="1"/>
      <protection locked="0" hidden="0"/>
    </xf>
    <xf numFmtId="0" fontId="5" fillId="16" borderId="1" applyAlignment="1" applyProtection="1" pivotButton="0" quotePrefix="0" xfId="0">
      <alignment horizontal="left" vertical="center" wrapText="1" indent="1"/>
      <protection locked="0" hidden="0"/>
    </xf>
    <xf numFmtId="1" fontId="5" fillId="16" borderId="1" applyAlignment="1" applyProtection="1" pivotButton="0" quotePrefix="0" xfId="0">
      <alignment horizontal="left" vertical="center" wrapText="1" indent="1"/>
      <protection locked="0" hidden="0"/>
    </xf>
    <xf numFmtId="0" fontId="13" fillId="7" borderId="1" applyAlignment="1" applyProtection="1" pivotButton="0" quotePrefix="0" xfId="0">
      <alignment horizontal="center" vertical="center" wrapText="1"/>
      <protection locked="0" hidden="0"/>
    </xf>
    <xf numFmtId="0"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indent="1"/>
      <protection locked="0" hidden="0"/>
    </xf>
    <xf numFmtId="0" fontId="14" fillId="3" borderId="1" applyAlignment="1" applyProtection="1" pivotButton="0" quotePrefix="0" xfId="0">
      <alignment horizontal="center" vertical="center"/>
      <protection locked="0" hidden="0"/>
    </xf>
    <xf numFmtId="0" fontId="5" fillId="3" borderId="1" applyAlignment="1" applyProtection="1" pivotButton="0" quotePrefix="0" xfId="0">
      <alignment horizontal="left" vertical="center" indent="1"/>
      <protection locked="0" hidden="0"/>
    </xf>
    <xf numFmtId="0" fontId="6" fillId="2" borderId="0" applyAlignment="1" applyProtection="1" pivotButton="0" quotePrefix="0" xfId="0">
      <alignment horizontal="center" vertical="center"/>
      <protection locked="0" hidden="0"/>
    </xf>
    <xf numFmtId="0" fontId="18" fillId="2" borderId="0" applyAlignment="1" applyProtection="1" pivotButton="0" quotePrefix="0" xfId="0">
      <alignment horizontal="center" vertical="center"/>
      <protection locked="0" hidden="0"/>
    </xf>
    <xf numFmtId="0" fontId="19" fillId="0" borderId="0" applyAlignment="1" applyProtection="1" pivotButton="0" quotePrefix="0" xfId="0">
      <alignment horizontal="right" vertical="center" shrinkToFit="1"/>
      <protection locked="0" hidden="0"/>
    </xf>
    <xf numFmtId="0" fontId="0" fillId="0" borderId="8" applyProtection="1" pivotButton="0" quotePrefix="0" xfId="0">
      <protection locked="0" hidden="0"/>
    </xf>
    <xf numFmtId="0" fontId="21" fillId="0" borderId="0" applyAlignment="1" applyProtection="1" pivotButton="0" quotePrefix="0" xfId="0">
      <alignment horizontal="right" vertical="center" shrinkToFit="1"/>
      <protection locked="0" hidden="0"/>
    </xf>
    <xf numFmtId="0" fontId="0" fillId="0" borderId="9" applyProtection="1" pivotButton="0" quotePrefix="0" xfId="0">
      <protection locked="0" hidden="0"/>
    </xf>
    <xf numFmtId="0" fontId="22" fillId="0" borderId="0" applyAlignment="1" applyProtection="1" pivotButton="0" quotePrefix="0" xfId="0">
      <alignment horizontal="left" vertical="center" wrapText="1"/>
      <protection locked="0" hidden="0"/>
    </xf>
    <xf numFmtId="0" fontId="23" fillId="0" borderId="0" applyAlignment="1" applyProtection="1" pivotButton="0" quotePrefix="0" xfId="0">
      <alignment horizontal="left" vertical="center" wrapText="1"/>
      <protection locked="0" hidden="0"/>
    </xf>
    <xf numFmtId="0" fontId="21" fillId="0" borderId="0" applyAlignment="1" applyProtection="1" pivotButton="0" quotePrefix="0" xfId="0">
      <alignment horizontal="general" vertical="bottom"/>
      <protection locked="0" hidden="0"/>
    </xf>
    <xf numFmtId="0" fontId="21" fillId="0" borderId="0" applyAlignment="1" applyProtection="1" pivotButton="0" quotePrefix="0" xfId="0">
      <alignment horizontal="right" vertical="bottom"/>
      <protection locked="0" hidden="0"/>
    </xf>
    <xf numFmtId="2" fontId="24" fillId="17" borderId="3" applyAlignment="1" applyProtection="1" pivotButton="0" quotePrefix="0" xfId="0">
      <alignment horizontal="center" vertical="bottom"/>
      <protection locked="0" hidden="0"/>
    </xf>
    <xf numFmtId="0" fontId="25" fillId="0" borderId="0" applyAlignment="1" applyProtection="1" pivotButton="0" quotePrefix="0" xfId="0">
      <alignment horizontal="general" vertical="bottom"/>
      <protection locked="0" hidden="0"/>
    </xf>
    <xf numFmtId="0" fontId="26" fillId="7" borderId="3" applyAlignment="1" applyProtection="1" pivotButton="0" quotePrefix="0" xfId="0">
      <alignment horizontal="center" vertical="center" wrapText="1"/>
      <protection locked="0" hidden="0"/>
    </xf>
    <xf numFmtId="0" fontId="27" fillId="0" borderId="0" applyAlignment="1" applyProtection="1" pivotButton="0" quotePrefix="0" xfId="0">
      <alignment horizontal="general" vertical="bottom"/>
      <protection locked="0" hidden="0"/>
    </xf>
    <xf numFmtId="0" fontId="6" fillId="7" borderId="0" applyAlignment="1" applyProtection="1" pivotButton="0" quotePrefix="0" xfId="0">
      <alignment horizontal="center" vertical="center"/>
      <protection locked="0" hidden="0"/>
    </xf>
    <xf numFmtId="0" fontId="9" fillId="0" borderId="0" applyAlignment="1" applyProtection="1" pivotButton="0" quotePrefix="0" xfId="0">
      <alignment horizontal="right" vertical="center" indent="1"/>
      <protection locked="0" hidden="0"/>
    </xf>
    <xf numFmtId="2" fontId="29" fillId="14" borderId="1" applyAlignment="1" applyProtection="1" pivotButton="0" quotePrefix="0" xfId="0">
      <alignment horizontal="center" vertical="center"/>
      <protection locked="0" hidden="0"/>
    </xf>
    <xf numFmtId="0" fontId="11" fillId="3" borderId="0" applyAlignment="1" applyProtection="1" pivotButton="0" quotePrefix="0" xfId="0">
      <alignment horizontal="general" vertical="bottom"/>
      <protection locked="0" hidden="0"/>
    </xf>
    <xf numFmtId="0" fontId="30" fillId="3" borderId="0" applyAlignment="1" applyProtection="1" pivotButton="0" quotePrefix="0" xfId="0">
      <alignment horizontal="center" vertical="center" wrapText="1"/>
      <protection locked="0" hidden="0"/>
    </xf>
    <xf numFmtId="0" fontId="12" fillId="7" borderId="0" applyAlignment="1" applyProtection="1" pivotButton="0" quotePrefix="0" xfId="0">
      <alignment horizontal="center" vertical="center"/>
      <protection locked="0" hidden="0"/>
    </xf>
    <xf numFmtId="0" fontId="14" fillId="14" borderId="1" applyAlignment="1" applyProtection="1" pivotButton="0" quotePrefix="0" xfId="0">
      <alignment horizontal="center" vertical="center"/>
      <protection locked="0" hidden="0"/>
    </xf>
    <xf numFmtId="0" fontId="14" fillId="6" borderId="1" applyAlignment="1" applyProtection="1" pivotButton="0" quotePrefix="0" xfId="0">
      <alignment horizontal="center" vertical="center"/>
      <protection locked="0" hidden="0"/>
    </xf>
    <xf numFmtId="0" fontId="12" fillId="8"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protection locked="0" hidden="0"/>
    </xf>
    <xf numFmtId="0" fontId="30" fillId="3" borderId="0" applyAlignment="1" applyProtection="1" pivotButton="0" quotePrefix="0" xfId="0">
      <alignment horizontal="left" vertical="top" wrapText="1" indent="1"/>
      <protection locked="0" hidden="0"/>
    </xf>
    <xf numFmtId="0" fontId="14" fillId="14" borderId="1" applyAlignment="1" applyProtection="1" pivotButton="0" quotePrefix="0" xfId="0">
      <alignment horizontal="left" vertical="center" wrapText="1" indent="1"/>
      <protection locked="0" hidden="0"/>
    </xf>
    <xf numFmtId="0" fontId="14" fillId="3" borderId="1" applyAlignment="1" applyProtection="1" pivotButton="0" quotePrefix="0" xfId="0">
      <alignment horizontal="left" vertical="center" wrapText="1" indent="1"/>
      <protection locked="0" hidden="0"/>
    </xf>
    <xf numFmtId="0" fontId="14" fillId="6" borderId="1" applyAlignment="1" applyProtection="1" pivotButton="0" quotePrefix="0" xfId="0">
      <alignment horizontal="left" vertical="center" wrapText="1" indent="1"/>
      <protection locked="0" hidden="0"/>
    </xf>
    <xf numFmtId="0" fontId="14" fillId="19" borderId="1" applyAlignment="1" applyProtection="1" pivotButton="0" quotePrefix="0" xfId="0">
      <alignment horizontal="center" vertical="center"/>
      <protection locked="0" hidden="0"/>
    </xf>
    <xf numFmtId="0" fontId="14" fillId="19" borderId="1" applyAlignment="1" applyProtection="1" pivotButton="0" quotePrefix="0" xfId="0">
      <alignment horizontal="left" vertical="center" wrapText="1" indent="1"/>
      <protection locked="0" hidden="0"/>
    </xf>
    <xf numFmtId="0" fontId="13" fillId="2" borderId="0" applyAlignment="1" applyProtection="1" pivotButton="0" quotePrefix="0" xfId="0">
      <alignment horizontal="center" vertical="center" wrapText="1"/>
      <protection locked="0" hidden="0"/>
    </xf>
    <xf numFmtId="0" fontId="13" fillId="8" borderId="0" applyAlignment="1" applyProtection="1" pivotButton="0" quotePrefix="0" xfId="0">
      <alignment horizontal="center" vertical="center" wrapText="1"/>
      <protection locked="0" hidden="0"/>
    </xf>
    <xf numFmtId="0" fontId="13" fillId="20" borderId="0" applyAlignment="1" applyProtection="1" pivotButton="0" quotePrefix="0" xfId="0">
      <alignment horizontal="center" vertical="center" wrapText="1"/>
      <protection locked="0" hidden="0"/>
    </xf>
    <xf numFmtId="1" fontId="14" fillId="14" borderId="1" applyAlignment="1" applyProtection="1" pivotButton="0" quotePrefix="0" xfId="0">
      <alignment horizontal="center" vertical="center"/>
      <protection locked="0" hidden="0"/>
    </xf>
    <xf numFmtId="171" fontId="14" fillId="14" borderId="1" applyAlignment="1" applyProtection="1" pivotButton="0" quotePrefix="0" xfId="0">
      <alignment horizontal="center" vertical="center"/>
      <protection locked="0" hidden="0"/>
    </xf>
    <xf numFmtId="168" fontId="14" fillId="14" borderId="1" applyAlignment="1" applyProtection="1" pivotButton="0" quotePrefix="0" xfId="0">
      <alignment horizontal="center" vertical="center"/>
      <protection locked="0" hidden="0"/>
    </xf>
    <xf numFmtId="1" fontId="14" fillId="16" borderId="1" applyAlignment="1" applyProtection="1" pivotButton="0" quotePrefix="0" xfId="0">
      <alignment horizontal="center" vertical="center"/>
      <protection locked="0" hidden="0"/>
    </xf>
    <xf numFmtId="171" fontId="14" fillId="16" borderId="1" applyAlignment="1" applyProtection="1" pivotButton="0" quotePrefix="0" xfId="0">
      <alignment horizontal="center" vertical="center"/>
      <protection locked="0" hidden="0"/>
    </xf>
    <xf numFmtId="2" fontId="14" fillId="16" borderId="1" applyAlignment="1" applyProtection="1" pivotButton="0" quotePrefix="0" xfId="0">
      <alignment horizontal="center" vertical="center"/>
      <protection locked="0" hidden="0"/>
    </xf>
    <xf numFmtId="1" fontId="14" fillId="3" borderId="1" applyAlignment="1" applyProtection="1" pivotButton="0" quotePrefix="0" xfId="0">
      <alignment horizontal="center" vertical="center"/>
      <protection locked="0" hidden="0"/>
    </xf>
    <xf numFmtId="171" fontId="14" fillId="3" borderId="1" applyAlignment="1" applyProtection="1" pivotButton="0" quotePrefix="0" xfId="0">
      <alignment horizontal="center" vertical="center"/>
      <protection locked="0" hidden="0"/>
    </xf>
    <xf numFmtId="168" fontId="14" fillId="3" borderId="1" applyAlignment="1" applyProtection="1" pivotButton="0" quotePrefix="0" xfId="0">
      <alignment horizontal="center" vertical="center"/>
      <protection locked="0" hidden="0"/>
    </xf>
    <xf numFmtId="2" fontId="14" fillId="3" borderId="1" applyAlignment="1" applyProtection="1" pivotButton="0" quotePrefix="0" xfId="0">
      <alignment horizontal="center" vertical="center"/>
      <protection locked="0" hidden="0"/>
    </xf>
    <xf numFmtId="0" fontId="9" fillId="6" borderId="1" applyAlignment="1" applyProtection="1" pivotButton="0" quotePrefix="0" xfId="0">
      <alignment horizontal="right" vertical="center" indent="1"/>
      <protection locked="0" hidden="0"/>
    </xf>
    <xf numFmtId="0" fontId="0" fillId="6" borderId="1" applyAlignment="1" applyProtection="1" pivotButton="0" quotePrefix="0" xfId="0">
      <alignment horizontal="general" vertical="bottom"/>
      <protection locked="0" hidden="0"/>
    </xf>
    <xf numFmtId="0" fontId="9" fillId="14" borderId="1" applyAlignment="1" applyProtection="1" pivotButton="0" quotePrefix="0" xfId="0">
      <alignment horizontal="right" vertical="center" indent="1"/>
      <protection locked="0" hidden="0"/>
    </xf>
    <xf numFmtId="0" fontId="0" fillId="14" borderId="1" applyAlignment="1" applyProtection="1" pivotButton="0" quotePrefix="0" xfId="0">
      <alignment horizontal="general" vertical="bottom"/>
      <protection locked="0" hidden="0"/>
    </xf>
    <xf numFmtId="1" fontId="14" fillId="14" borderId="1" applyAlignment="1" applyProtection="1" pivotButton="0" quotePrefix="0" xfId="0">
      <alignment horizontal="left" vertical="center" wrapText="1" indent="1"/>
      <protection locked="0" hidden="0"/>
    </xf>
    <xf numFmtId="2" fontId="14" fillId="14" borderId="1" applyAlignment="1" applyProtection="1" pivotButton="0" quotePrefix="0" xfId="0">
      <alignment horizontal="left" vertical="center" wrapText="1" indent="1"/>
      <protection locked="0" hidden="0"/>
    </xf>
    <xf numFmtId="1" fontId="14" fillId="0" borderId="1" applyAlignment="1" applyProtection="1" pivotButton="0" quotePrefix="0" xfId="0">
      <alignment horizontal="center" vertical="center"/>
      <protection locked="0" hidden="0"/>
    </xf>
    <xf numFmtId="171" fontId="14" fillId="0" borderId="1" applyAlignment="1" applyProtection="1" pivotButton="0" quotePrefix="0" xfId="0">
      <alignment horizontal="center" vertical="center"/>
      <protection locked="0" hidden="0"/>
    </xf>
    <xf numFmtId="2"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wrapText="1" indent="1"/>
      <protection locked="0" hidden="0"/>
    </xf>
    <xf numFmtId="0" fontId="5" fillId="3" borderId="1" applyAlignment="1" applyProtection="1" pivotButton="0" quotePrefix="0" xfId="0">
      <alignment horizontal="left" vertical="center" wrapText="1" indent="1"/>
      <protection locked="0" hidden="0"/>
    </xf>
    <xf numFmtId="173" fontId="7" fillId="0" borderId="1" applyAlignment="1" pivotButton="0" quotePrefix="0" xfId="0">
      <alignment horizontal="center" vertical="center"/>
    </xf>
    <xf numFmtId="173" fontId="14" fillId="0" borderId="1" applyAlignment="1" pivotButton="0" quotePrefix="0" xfId="0">
      <alignment horizontal="center" vertical="center"/>
    </xf>
    <xf numFmtId="173" fontId="7" fillId="3" borderId="1" applyAlignment="1" pivotButton="0" quotePrefix="0" xfId="0">
      <alignment horizontal="center" vertical="center"/>
    </xf>
    <xf numFmtId="173" fontId="14" fillId="3" borderId="1" applyAlignment="1" pivotButton="0" quotePrefix="0" xfId="0">
      <alignment horizontal="center" vertical="center"/>
    </xf>
    <xf numFmtId="173" fontId="7" fillId="0" borderId="3" applyAlignment="1" pivotButton="0" quotePrefix="0" xfId="0">
      <alignment horizontal="center" vertical="bottom"/>
    </xf>
    <xf numFmtId="0" fontId="41" fillId="37" borderId="0" applyAlignment="1" applyProtection="1" pivotButton="0" quotePrefix="0" xfId="0">
      <alignment horizontal="center" vertical="center"/>
      <protection locked="0" hidden="0"/>
    </xf>
    <xf numFmtId="164" fontId="42" fillId="11" borderId="0" applyAlignment="1" pivotButton="0" quotePrefix="0" xfId="0">
      <alignment horizontal="center" vertical="center"/>
    </xf>
    <xf numFmtId="165" fontId="42" fillId="11" borderId="0" applyAlignment="1" pivotButton="0" quotePrefix="0" xfId="0">
      <alignment horizontal="center" vertical="center"/>
    </xf>
    <xf numFmtId="166" fontId="42" fillId="11" borderId="0" applyAlignment="1" pivotButton="0" quotePrefix="0" xfId="0">
      <alignment horizontal="center" vertical="center"/>
    </xf>
    <xf numFmtId="167" fontId="42" fillId="11" borderId="0" applyAlignment="1" pivotButton="0" quotePrefix="0" xfId="0">
      <alignment horizontal="center" vertical="center"/>
    </xf>
    <xf numFmtId="0" fontId="42" fillId="0" borderId="0" applyAlignment="1" pivotButton="0" quotePrefix="0" xfId="0">
      <alignment horizontal="left" vertical="center" indent="1"/>
    </xf>
    <xf numFmtId="172" fontId="42" fillId="11" borderId="0" applyAlignment="1" pivotButton="0" quotePrefix="0" xfId="0">
      <alignment horizontal="center" vertical="center"/>
    </xf>
    <xf numFmtId="0" fontId="42" fillId="11" borderId="0" applyAlignment="1" pivotButton="0" quotePrefix="0" xfId="0">
      <alignment horizontal="center" vertical="center"/>
    </xf>
    <xf numFmtId="0" fontId="43" fillId="0" borderId="0" applyAlignment="1" applyProtection="1" pivotButton="0" quotePrefix="0" xfId="0">
      <alignment horizontal="center" vertical="center"/>
      <protection locked="0" hidden="0"/>
    </xf>
    <xf numFmtId="0" fontId="44" fillId="37" borderId="0" applyAlignment="1" applyProtection="1" pivotButton="0" quotePrefix="0" xfId="0">
      <alignment horizontal="center" vertical="center"/>
      <protection locked="0" hidden="0"/>
    </xf>
    <xf numFmtId="0" fontId="7" fillId="0" borderId="1" applyAlignment="1" pivotButton="0" quotePrefix="0" xfId="0">
      <alignment horizontal="center" vertical="center"/>
    </xf>
    <xf numFmtId="0" fontId="7" fillId="3" borderId="1" applyAlignment="1" pivotButton="0" quotePrefix="0" xfId="0">
      <alignment horizontal="center" vertical="center"/>
    </xf>
    <xf numFmtId="0" fontId="7" fillId="0" borderId="3" applyAlignment="1" pivotButton="0" quotePrefix="0" xfId="0">
      <alignment horizontal="center" vertical="bottom"/>
    </xf>
    <xf numFmtId="173" fontId="0" fillId="0" borderId="0" applyProtection="1" pivotButton="0" quotePrefix="0" xfId="0">
      <protection locked="0" hidden="0"/>
    </xf>
    <xf numFmtId="173" fontId="27" fillId="0" borderId="0" applyAlignment="1" applyProtection="1" pivotButton="0" quotePrefix="0" xfId="0">
      <alignment horizontal="general" vertical="bottom"/>
      <protection locked="0" hidden="0"/>
    </xf>
    <xf numFmtId="0" fontId="45" fillId="0" borderId="0" applyAlignment="1" pivotButton="0" quotePrefix="0" xfId="0">
      <alignment horizontal="left" vertical="center" indent="1"/>
    </xf>
    <xf numFmtId="0" fontId="46" fillId="38" borderId="0" applyAlignment="1" pivotButton="0" quotePrefix="0" xfId="0">
      <alignment horizontal="left" vertical="center" indent="1"/>
    </xf>
    <xf numFmtId="0" fontId="6" fillId="11" borderId="0" applyAlignment="1" applyProtection="1" pivotButton="0" quotePrefix="0" xfId="0">
      <alignment horizontal="right" vertical="center"/>
      <protection locked="0" hidden="0"/>
    </xf>
    <xf numFmtId="164" fontId="42" fillId="11" borderId="0" applyAlignment="1" pivotButton="0" quotePrefix="0" xfId="0">
      <alignment horizontal="left" vertical="center"/>
    </xf>
    <xf numFmtId="165" fontId="42" fillId="11" borderId="0" applyAlignment="1" pivotButton="0" quotePrefix="0" xfId="0">
      <alignment horizontal="left" vertical="center"/>
    </xf>
    <xf numFmtId="166" fontId="42" fillId="11" borderId="0" applyAlignment="1" pivotButton="0" quotePrefix="0" xfId="0">
      <alignment horizontal="left" vertical="center"/>
    </xf>
    <xf numFmtId="167" fontId="42" fillId="11" borderId="0" applyAlignment="1" pivotButton="0" quotePrefix="0" xfId="0">
      <alignment horizontal="left" vertical="center"/>
    </xf>
    <xf numFmtId="0" fontId="46" fillId="38" borderId="0" applyAlignment="1" pivotButton="0" quotePrefix="0" xfId="0">
      <alignment horizontal="left" vertical="center"/>
    </xf>
    <xf numFmtId="172" fontId="42" fillId="11" borderId="0" applyAlignment="1" pivotButton="0" quotePrefix="0" xfId="0">
      <alignment horizontal="left" vertical="center"/>
    </xf>
    <xf numFmtId="0" fontId="33" fillId="38" borderId="0" applyAlignment="1" applyProtection="1" pivotButton="0" quotePrefix="0" xfId="0">
      <alignment horizontal="right" vertical="center"/>
      <protection locked="0" hidden="0"/>
    </xf>
    <xf numFmtId="0" fontId="46" fillId="38" borderId="0" applyAlignment="1" pivotButton="0" quotePrefix="0" xfId="0">
      <alignment horizontal="center" vertical="center"/>
    </xf>
    <xf numFmtId="0" fontId="43" fillId="0" borderId="0" pivotButton="0" quotePrefix="0" xfId="0"/>
    <xf numFmtId="0" fontId="43" fillId="38" borderId="0" pivotButton="0" quotePrefix="0" xfId="0"/>
    <xf numFmtId="171" fontId="42" fillId="11" borderId="0" applyAlignment="1" pivotButton="0" quotePrefix="0" xfId="0">
      <alignment horizontal="left" vertical="center"/>
    </xf>
    <xf numFmtId="1" fontId="42" fillId="11" borderId="0" applyAlignment="1" pivotButton="0" quotePrefix="0" xfId="0">
      <alignment horizontal="left" vertical="center"/>
    </xf>
    <xf numFmtId="168" fontId="42" fillId="11" borderId="0" applyAlignment="1" pivotButton="0" quotePrefix="0" xfId="0">
      <alignment horizontal="left" vertical="center"/>
    </xf>
    <xf numFmtId="168" fontId="42" fillId="38" borderId="0" applyAlignment="1" pivotButton="0" quotePrefix="0" xfId="0">
      <alignment horizontal="left" vertical="center"/>
    </xf>
    <xf numFmtId="49" fontId="7" fillId="0" borderId="0" applyAlignment="1" applyProtection="1" pivotButton="0" quotePrefix="0" xfId="0">
      <alignment horizontal="center" vertical="center"/>
      <protection locked="0" hidden="0"/>
    </xf>
    <xf numFmtId="49" fontId="7" fillId="3" borderId="0" applyAlignment="1" applyProtection="1" pivotButton="0" quotePrefix="0" xfId="0">
      <alignment horizontal="center" vertical="center"/>
      <protection locked="0" hidden="0"/>
    </xf>
    <xf numFmtId="0" fontId="26" fillId="7" borderId="10" applyAlignment="1" applyProtection="1" pivotButton="0" quotePrefix="0" xfId="0">
      <alignment horizontal="center" vertical="center" wrapText="1"/>
      <protection locked="0" hidden="0"/>
    </xf>
    <xf numFmtId="0" fontId="0" fillId="0" borderId="10" applyProtection="1" pivotButton="0" quotePrefix="0" xfId="0">
      <protection locked="0" hidden="0"/>
    </xf>
    <xf numFmtId="171" fontId="7" fillId="0" borderId="10" applyAlignment="1" pivotButton="0" quotePrefix="0" xfId="0">
      <alignment horizontal="center" vertical="bottom"/>
    </xf>
    <xf numFmtId="1" fontId="7" fillId="0" borderId="10" applyAlignment="1" pivotButton="0" quotePrefix="0" xfId="0">
      <alignment horizontal="center" vertical="bottom"/>
    </xf>
    <xf numFmtId="2" fontId="7" fillId="0" borderId="10" applyAlignment="1" pivotButton="0" quotePrefix="0" xfId="0">
      <alignment horizontal="center" vertical="bottom"/>
    </xf>
    <xf numFmtId="168" fontId="7" fillId="0" borderId="10" applyAlignment="1" pivotButton="0" quotePrefix="0" xfId="0">
      <alignment horizontal="center" vertical="bottom"/>
    </xf>
    <xf numFmtId="0" fontId="7" fillId="0" borderId="10" applyAlignment="1" pivotButton="0" quotePrefix="0" xfId="0">
      <alignment horizontal="center" vertical="bottom"/>
    </xf>
    <xf numFmtId="173" fontId="7" fillId="0" borderId="10" applyAlignment="1" pivotButton="0" quotePrefix="0" xfId="0">
      <alignment horizontal="center" vertical="bottom"/>
    </xf>
    <xf numFmtId="173" fontId="0" fillId="0" borderId="10" applyProtection="1" pivotButton="0" quotePrefix="0" xfId="0">
      <protection locked="0" hidden="0"/>
    </xf>
    <xf numFmtId="171" fontId="7" fillId="18" borderId="10" applyAlignment="1" pivotButton="0" quotePrefix="0" xfId="0">
      <alignment horizontal="center" vertical="bottom"/>
    </xf>
    <xf numFmtId="1" fontId="7" fillId="18" borderId="10" applyAlignment="1" pivotButton="0" quotePrefix="0" xfId="0">
      <alignment horizontal="center" vertical="bottom"/>
    </xf>
    <xf numFmtId="2" fontId="7" fillId="18" borderId="10" applyAlignment="1" pivotButton="0" quotePrefix="0" xfId="0">
      <alignment horizontal="center" vertical="bottom"/>
    </xf>
    <xf numFmtId="171" fontId="7" fillId="0" borderId="10" applyAlignment="1" pivotButton="0" quotePrefix="0" xfId="0">
      <alignment horizontal="center" vertical="center"/>
    </xf>
    <xf numFmtId="1" fontId="7" fillId="0" borderId="10" applyAlignment="1" pivotButton="0" quotePrefix="0" xfId="0">
      <alignment horizontal="center" vertical="center"/>
    </xf>
    <xf numFmtId="2" fontId="7" fillId="0" borderId="10" applyAlignment="1" pivotButton="0" quotePrefix="0" xfId="0">
      <alignment horizontal="center" vertical="center"/>
    </xf>
    <xf numFmtId="173" fontId="27" fillId="0" borderId="10" applyAlignment="1" applyProtection="1" pivotButton="0" quotePrefix="0" xfId="0">
      <alignment horizontal="general" vertical="bottom"/>
      <protection locked="0" hidden="0"/>
    </xf>
    <xf numFmtId="0" fontId="9" fillId="0" borderId="10" applyAlignment="1" applyProtection="1" pivotButton="0" quotePrefix="0" xfId="0">
      <alignment horizontal="right" vertical="center" indent="1"/>
      <protection locked="0" hidden="0"/>
    </xf>
    <xf numFmtId="2" fontId="29" fillId="14" borderId="10" applyAlignment="1" applyProtection="1" pivotButton="0" quotePrefix="0" xfId="0">
      <alignment horizontal="center" vertical="center"/>
      <protection locked="0" hidden="0"/>
    </xf>
    <xf numFmtId="0" fontId="11" fillId="0" borderId="10" applyAlignment="1" applyProtection="1" pivotButton="0" quotePrefix="0" xfId="0">
      <alignment horizontal="general" vertical="bottom"/>
      <protection locked="0" hidden="0"/>
    </xf>
    <xf numFmtId="0" fontId="13" fillId="7" borderId="10" applyAlignment="1" applyProtection="1" pivotButton="0" quotePrefix="0" xfId="0">
      <alignment horizontal="center" vertical="center" wrapText="1"/>
      <protection locked="0" hidden="0"/>
    </xf>
    <xf numFmtId="168" fontId="7" fillId="0" borderId="10" applyAlignment="1" pivotButton="0" quotePrefix="0" xfId="0">
      <alignment horizontal="center" vertical="center"/>
    </xf>
    <xf numFmtId="49" fontId="7" fillId="0" borderId="10" applyAlignment="1" applyProtection="1" pivotButton="0" quotePrefix="0" xfId="0">
      <alignment horizontal="center" vertical="center"/>
      <protection locked="0" hidden="0"/>
    </xf>
    <xf numFmtId="168" fontId="7" fillId="3" borderId="10" applyAlignment="1" pivotButton="0" quotePrefix="0" xfId="0">
      <alignment horizontal="center" vertical="center"/>
    </xf>
    <xf numFmtId="1" fontId="7" fillId="3" borderId="10" applyAlignment="1" pivotButton="0" quotePrefix="0" xfId="0">
      <alignment horizontal="center" vertical="center"/>
    </xf>
    <xf numFmtId="171" fontId="7" fillId="3" borderId="10" applyAlignment="1" pivotButton="0" quotePrefix="0" xfId="0">
      <alignment horizontal="center" vertical="center"/>
    </xf>
    <xf numFmtId="2" fontId="7" fillId="3" borderId="10" applyAlignment="1" pivotButton="0" quotePrefix="0" xfId="0">
      <alignment horizontal="center" vertical="center"/>
    </xf>
    <xf numFmtId="49" fontId="7" fillId="3" borderId="10" applyAlignment="1" applyProtection="1" pivotButton="0" quotePrefix="0" xfId="0">
      <alignment horizontal="center" vertical="center"/>
      <protection locked="0" hidden="0"/>
    </xf>
    <xf numFmtId="174" fontId="7" fillId="0" borderId="10" applyAlignment="1" pivotButton="0" quotePrefix="0" xfId="0">
      <alignment horizontal="center" vertical="bottom"/>
    </xf>
    <xf numFmtId="174" fontId="7" fillId="0" borderId="10" applyAlignment="1" pivotButton="0" quotePrefix="0" xfId="0">
      <alignment horizontal="center" vertical="center"/>
    </xf>
    <xf numFmtId="174" fontId="7" fillId="3" borderId="10" applyAlignment="1" pivotButton="0" quotePrefix="0" xfId="0">
      <alignment horizontal="center" vertical="center"/>
    </xf>
    <xf numFmtId="0" fontId="47" fillId="0" borderId="0" applyAlignment="1" applyProtection="1" pivotButton="0" quotePrefix="0" xfId="0">
      <alignment horizontal="general" vertical="bottom"/>
      <protection locked="0" hidden="0"/>
    </xf>
    <xf numFmtId="0" fontId="47" fillId="0" borderId="0" applyProtection="1" pivotButton="0" quotePrefix="0" xfId="0">
      <protection locked="0" hidden="0"/>
    </xf>
    <xf numFmtId="175" fontId="7" fillId="0" borderId="10" applyAlignment="1" pivotButton="0" quotePrefix="0" xfId="0">
      <alignment horizontal="center" vertical="bottom"/>
    </xf>
    <xf numFmtId="175" fontId="0" fillId="0" borderId="10" applyProtection="1" pivotButton="0" quotePrefix="0" xfId="0">
      <protection locked="0" hidden="0"/>
    </xf>
    <xf numFmtId="175" fontId="27" fillId="0" borderId="10" applyAlignment="1" applyProtection="1" pivotButton="0" quotePrefix="0" xfId="0">
      <alignment horizontal="general" vertical="bottom"/>
      <protection locked="0" hidden="0"/>
    </xf>
    <xf numFmtId="0" fontId="48" fillId="39" borderId="0" applyAlignment="1" applyProtection="1" pivotButton="0" quotePrefix="0" xfId="0">
      <alignment horizontal="center" vertical="center"/>
      <protection locked="0" hidden="0"/>
    </xf>
    <xf numFmtId="0" fontId="49" fillId="39" borderId="0" applyAlignment="1" applyProtection="1" pivotButton="0" quotePrefix="0" xfId="0">
      <alignment horizontal="left" vertical="center"/>
      <protection locked="0" hidden="0"/>
    </xf>
    <xf numFmtId="164" fontId="50" fillId="39" borderId="2" applyAlignment="1" pivotButton="0" quotePrefix="0" xfId="0">
      <alignment horizontal="left" vertical="center"/>
    </xf>
    <xf numFmtId="0" fontId="0" fillId="39" borderId="8" applyAlignment="1" pivotButton="0" quotePrefix="0" xfId="0">
      <alignment horizontal="left" vertical="center"/>
    </xf>
    <xf numFmtId="168" fontId="50" fillId="39" borderId="3" applyAlignment="1" pivotButton="0" quotePrefix="0" xfId="0">
      <alignment horizontal="left" vertical="center"/>
    </xf>
    <xf numFmtId="171" fontId="50" fillId="39" borderId="3" applyAlignment="1" pivotButton="0" quotePrefix="0" xfId="0">
      <alignment horizontal="left" vertical="center"/>
    </xf>
    <xf numFmtId="0" fontId="0" fillId="39" borderId="0" applyAlignment="1" applyProtection="1" pivotButton="0" quotePrefix="0" xfId="0">
      <alignment horizontal="left" vertical="center"/>
      <protection locked="0" hidden="0"/>
    </xf>
    <xf numFmtId="0" fontId="0" fillId="39" borderId="9" applyAlignment="1" pivotButton="0" quotePrefix="0" xfId="0">
      <alignment horizontal="left" vertical="center"/>
    </xf>
    <xf numFmtId="0" fontId="0" fillId="39" borderId="0" applyAlignment="1" pivotButton="0" quotePrefix="0" xfId="0">
      <alignment horizontal="left" vertical="center"/>
    </xf>
    <xf numFmtId="1" fontId="50" fillId="39" borderId="3" applyAlignment="1" pivotButton="0" quotePrefix="0" xfId="0">
      <alignment horizontal="left" vertical="center"/>
    </xf>
    <xf numFmtId="2" fontId="50" fillId="39" borderId="3" applyAlignment="1" pivotButton="0" quotePrefix="0" xfId="0">
      <alignment horizontal="left" vertical="center"/>
    </xf>
    <xf numFmtId="0" fontId="50" fillId="39" borderId="3" applyAlignment="1" pivotButton="0" quotePrefix="0" xfId="0">
      <alignment horizontal="left" vertical="center"/>
    </xf>
    <xf numFmtId="0" fontId="51" fillId="40" borderId="10" applyAlignment="1" applyProtection="1" pivotButton="0" quotePrefix="0" xfId="0">
      <alignment horizontal="center" vertical="center" wrapText="1"/>
      <protection locked="0" hidden="0"/>
    </xf>
    <xf numFmtId="171" fontId="7" fillId="18" borderId="10" applyAlignment="1" pivotButton="0" quotePrefix="0" xfId="0">
      <alignment horizontal="center" vertical="center"/>
    </xf>
    <xf numFmtId="1" fontId="7" fillId="18" borderId="10" applyAlignment="1" pivotButton="0" quotePrefix="0" xfId="0">
      <alignment horizontal="center" vertical="center"/>
    </xf>
    <xf numFmtId="2" fontId="7" fillId="18" borderId="10" applyAlignment="1" pivotButton="0" quotePrefix="0" xfId="0">
      <alignment horizontal="center" vertical="center"/>
    </xf>
    <xf numFmtId="0" fontId="53" fillId="39" borderId="0" applyAlignment="1" applyProtection="1" pivotButton="0" quotePrefix="0" xfId="0">
      <alignment horizontal="right" vertical="center" wrapText="1"/>
      <protection locked="0" hidden="0"/>
    </xf>
    <xf numFmtId="164" fontId="52" fillId="39" borderId="11" applyAlignment="1" pivotButton="0" quotePrefix="0" xfId="0">
      <alignment horizontal="center" vertical="center"/>
    </xf>
    <xf numFmtId="0" fontId="0" fillId="0" borderId="12" pivotButton="0" quotePrefix="0" xfId="0"/>
    <xf numFmtId="0" fontId="54" fillId="39" borderId="10" applyAlignment="1" applyProtection="1" pivotButton="0" quotePrefix="0" xfId="0">
      <alignment horizontal="right" vertical="center"/>
      <protection locked="0" hidden="0"/>
    </xf>
    <xf numFmtId="168" fontId="55" fillId="39" borderId="10" applyAlignment="1" pivotButton="0" quotePrefix="0" xfId="0">
      <alignment horizontal="left" vertical="center"/>
    </xf>
    <xf numFmtId="171" fontId="55" fillId="39" borderId="10" applyAlignment="1" pivotButton="0" quotePrefix="0" xfId="0">
      <alignment horizontal="left" vertical="center"/>
    </xf>
    <xf numFmtId="0" fontId="0" fillId="0" borderId="13" pivotButton="0" quotePrefix="0" xfId="0"/>
    <xf numFmtId="0" fontId="0" fillId="0" borderId="14" pivotButton="0" quotePrefix="0" xfId="0"/>
    <xf numFmtId="1" fontId="55" fillId="39" borderId="10" applyAlignment="1" pivotButton="0" quotePrefix="0" xfId="0">
      <alignment horizontal="left" vertical="center"/>
    </xf>
    <xf numFmtId="2" fontId="55" fillId="39" borderId="10" applyAlignment="1" pivotButton="0" quotePrefix="0" xfId="0">
      <alignment horizontal="left" vertical="center"/>
    </xf>
    <xf numFmtId="0" fontId="0" fillId="0" borderId="15" pivotButton="0" quotePrefix="0" xfId="0"/>
    <xf numFmtId="0" fontId="0" fillId="0" borderId="16" pivotButton="0" quotePrefix="0" xfId="0"/>
    <xf numFmtId="0" fontId="55" fillId="39" borderId="10" applyAlignment="1" pivotButton="0" quotePrefix="0" xfId="0">
      <alignment horizontal="left" vertical="center"/>
    </xf>
    <xf numFmtId="0" fontId="52" fillId="39" borderId="24" applyAlignment="1" applyProtection="1" pivotButton="0" quotePrefix="0" xfId="0">
      <alignment horizontal="center" vertical="center"/>
      <protection locked="0" hidden="0"/>
    </xf>
    <xf numFmtId="0" fontId="43" fillId="0" borderId="24" pivotButton="0" quotePrefix="0" xfId="0"/>
    <xf numFmtId="0" fontId="56" fillId="0" borderId="24" applyAlignment="1" applyProtection="1" pivotButton="0" quotePrefix="0" xfId="0">
      <alignment horizontal="left" vertical="center"/>
      <protection locked="0" hidden="0"/>
    </xf>
    <xf numFmtId="0" fontId="57" fillId="0" borderId="24" applyAlignment="1" applyProtection="1" pivotButton="0" quotePrefix="0" xfId="0">
      <alignment horizontal="left" vertical="center" wrapText="1"/>
      <protection locked="0" hidden="0"/>
    </xf>
    <xf numFmtId="0" fontId="43" fillId="0" borderId="24" applyProtection="1" pivotButton="0" quotePrefix="0" xfId="0">
      <protection locked="0" hidden="0"/>
    </xf>
    <xf numFmtId="0" fontId="58" fillId="0" borderId="24" applyAlignment="1" applyProtection="1" pivotButton="0" quotePrefix="0" xfId="0">
      <alignment horizontal="left" vertical="center"/>
      <protection locked="0" hidden="0"/>
    </xf>
    <xf numFmtId="0" fontId="57" fillId="0" borderId="24" applyAlignment="1" applyProtection="1" pivotButton="0" quotePrefix="0" xfId="0">
      <alignment horizontal="left" vertical="top" wrapText="1"/>
      <protection locked="0" hidden="0"/>
    </xf>
    <xf numFmtId="0" fontId="59" fillId="0" borderId="24" applyAlignment="1" applyProtection="1" pivotButton="0" quotePrefix="0" xfId="0">
      <alignment horizontal="left" vertical="top" wrapText="1"/>
      <protection locked="0" hidden="0"/>
    </xf>
    <xf numFmtId="0" fontId="60" fillId="0" borderId="24" applyAlignment="1" pivotButton="0" quotePrefix="0" xfId="0">
      <alignment horizontal="center" vertical="center"/>
    </xf>
    <xf numFmtId="164" fontId="52" fillId="39" borderId="17" applyAlignment="1" pivotButton="0" quotePrefix="0" xfId="0">
      <alignment horizontal="center" vertical="center"/>
    </xf>
    <xf numFmtId="0" fontId="0" fillId="0" borderId="20" pivotButton="0" quotePrefix="0" xfId="0"/>
    <xf numFmtId="0" fontId="0" fillId="0" borderId="19" pivotButton="0" quotePrefix="0" xfId="0"/>
    <xf numFmtId="0" fontId="0" fillId="0" borderId="21" pivotButton="0" quotePrefix="0" xfId="0"/>
    <xf numFmtId="0" fontId="0" fillId="0" borderId="22" pivotButton="0" quotePrefix="0" xfId="0"/>
    <xf numFmtId="0" fontId="0" fillId="0" borderId="23" pivotButton="0" quotePrefix="0" xfId="0"/>
    <xf numFmtId="0" fontId="52" fillId="39" borderId="25" applyAlignment="1" applyProtection="1" pivotButton="0" quotePrefix="0" xfId="0">
      <alignment horizontal="center" vertical="center"/>
      <protection locked="0" hidden="0"/>
    </xf>
    <xf numFmtId="0" fontId="56" fillId="0" borderId="25" applyAlignment="1" applyProtection="1" pivotButton="0" quotePrefix="0" xfId="0">
      <alignment horizontal="left" vertical="center"/>
      <protection locked="0" hidden="0"/>
    </xf>
    <xf numFmtId="0" fontId="57" fillId="0" borderId="25" applyAlignment="1" applyProtection="1" pivotButton="0" quotePrefix="0" xfId="0">
      <alignment horizontal="left" vertical="center" wrapText="1"/>
      <protection locked="0" hidden="0"/>
    </xf>
    <xf numFmtId="0" fontId="58" fillId="0" borderId="25" applyAlignment="1" applyProtection="1" pivotButton="0" quotePrefix="0" xfId="0">
      <alignment horizontal="left" vertical="center"/>
      <protection locked="0" hidden="0"/>
    </xf>
    <xf numFmtId="0" fontId="57" fillId="0" borderId="25" applyAlignment="1" applyProtection="1" pivotButton="0" quotePrefix="0" xfId="0">
      <alignment horizontal="left" vertical="top" wrapText="1"/>
      <protection locked="0" hidden="0"/>
    </xf>
    <xf numFmtId="0" fontId="59" fillId="0" borderId="25" applyAlignment="1" applyProtection="1" pivotButton="0" quotePrefix="0" xfId="0">
      <alignment horizontal="left" vertical="top" wrapText="1"/>
      <protection locked="0" hidden="0"/>
    </xf>
    <xf numFmtId="168" fontId="14" fillId="0" borderId="1" applyAlignment="1" applyProtection="1" pivotButton="0" quotePrefix="0" xfId="0">
      <alignment horizontal="center" vertical="center"/>
      <protection locked="0" hidden="0"/>
    </xf>
    <xf numFmtId="0" fontId="11" fillId="38" borderId="0" applyAlignment="1" applyProtection="1" pivotButton="0" quotePrefix="0" xfId="0">
      <alignment horizontal="general" vertical="bottom"/>
      <protection locked="0" hidden="0"/>
    </xf>
    <xf numFmtId="0" fontId="43" fillId="38" borderId="0" applyAlignment="1" applyProtection="1" pivotButton="0" quotePrefix="0" xfId="0">
      <alignment horizontal="center" vertical="center"/>
      <protection locked="0" hidden="0"/>
    </xf>
    <xf numFmtId="0" fontId="61" fillId="0" borderId="0" applyAlignment="1" applyProtection="1" pivotButton="0" quotePrefix="0" xfId="0">
      <alignment horizontal="left" vertical="center"/>
      <protection locked="0" hidden="0"/>
    </xf>
    <xf numFmtId="0" fontId="43" fillId="0" borderId="0" applyProtection="1" pivotButton="0" quotePrefix="0" xfId="0">
      <protection locked="0" hidden="0"/>
    </xf>
    <xf numFmtId="0" fontId="6" fillId="38" borderId="0" applyAlignment="1" applyProtection="1" pivotButton="0" quotePrefix="0" xfId="0">
      <alignment horizontal="right" vertical="center"/>
      <protection locked="0" hidden="0"/>
    </xf>
    <xf numFmtId="0" fontId="0" fillId="38" borderId="0" applyProtection="1" pivotButton="0" quotePrefix="0" xfId="0">
      <protection locked="0" hidden="0"/>
    </xf>
    <xf numFmtId="171" fontId="42" fillId="38" borderId="0" applyAlignment="1" pivotButton="0" quotePrefix="0" xfId="0">
      <alignment horizontal="left" vertical="center"/>
    </xf>
    <xf numFmtId="0" fontId="0" fillId="38" borderId="0" pivotButton="0" quotePrefix="0" xfId="0"/>
    <xf numFmtId="1" fontId="42" fillId="38" borderId="0" applyAlignment="1" pivotButton="0" quotePrefix="0" xfId="0">
      <alignment horizontal="left" vertical="center"/>
    </xf>
    <xf numFmtId="0" fontId="47" fillId="0" borderId="0" pivotButton="0" quotePrefix="0" xfId="0"/>
    <xf numFmtId="168" fontId="5" fillId="0" borderId="1" applyAlignment="1" applyProtection="1" pivotButton="0" quotePrefix="0" xfId="0">
      <alignment horizontal="center" vertical="center"/>
      <protection locked="0" hidden="0"/>
    </xf>
    <xf numFmtId="168" fontId="5" fillId="3" borderId="1" applyAlignment="1" applyProtection="1" pivotButton="0" quotePrefix="0" xfId="0">
      <alignment horizontal="center" vertical="center"/>
      <protection locked="0" hidden="0"/>
    </xf>
    <xf numFmtId="168" fontId="5" fillId="0" borderId="1" applyAlignment="1" pivotButton="0" quotePrefix="0" xfId="0">
      <alignment horizontal="center" vertical="center"/>
    </xf>
    <xf numFmtId="168" fontId="5" fillId="3" borderId="1" applyAlignment="1" pivotButton="0" quotePrefix="0" xfId="0">
      <alignment horizontal="center" vertical="center"/>
    </xf>
    <xf numFmtId="0" fontId="60" fillId="0" borderId="24" applyAlignment="1" pivotButton="0" quotePrefix="0" xfId="0">
      <alignment horizontal="center" vertical="center" wrapText="1"/>
    </xf>
    <xf numFmtId="0" fontId="9" fillId="0" borderId="1" applyAlignment="1" pivotButton="0" quotePrefix="0" xfId="0">
      <alignment horizontal="right" vertical="center" indent="1"/>
    </xf>
    <xf numFmtId="173" fontId="5" fillId="0" borderId="1" applyAlignment="1" pivotButton="0" quotePrefix="0" xfId="0">
      <alignment horizontal="center" vertical="center"/>
    </xf>
    <xf numFmtId="173" fontId="14" fillId="0" borderId="1" applyAlignment="1" applyProtection="1" pivotButton="0" quotePrefix="0" xfId="0">
      <alignment horizontal="center" vertical="center"/>
      <protection locked="0" hidden="0"/>
    </xf>
    <xf numFmtId="173" fontId="5" fillId="3" borderId="1" applyAlignment="1" pivotButton="0" quotePrefix="0" xfId="0">
      <alignment horizontal="center" vertical="center"/>
    </xf>
    <xf numFmtId="173" fontId="14" fillId="3" borderId="1" applyAlignment="1" applyProtection="1" pivotButton="0" quotePrefix="0" xfId="0">
      <alignment horizontal="center" vertical="center"/>
      <protection locked="0" hidden="0"/>
    </xf>
    <xf numFmtId="0" fontId="5" fillId="0" borderId="1" applyAlignment="1" pivotButton="0" quotePrefix="0" xfId="0">
      <alignment horizontal="center" vertical="center"/>
    </xf>
    <xf numFmtId="0" fontId="5" fillId="3" borderId="1" applyAlignment="1" pivotButton="0" quotePrefix="0" xfId="0">
      <alignment horizontal="center" vertical="center"/>
    </xf>
    <xf numFmtId="176" fontId="42" fillId="38" borderId="0" applyAlignment="1" pivotButton="0" quotePrefix="0" xfId="0">
      <alignment horizontal="left" vertical="center"/>
    </xf>
    <xf numFmtId="177" fontId="42" fillId="38" borderId="0" applyAlignment="1" pivotButton="0" quotePrefix="0" xfId="0">
      <alignment horizontal="left" vertical="center"/>
    </xf>
    <xf numFmtId="175" fontId="42" fillId="38" borderId="0" applyAlignment="1" pivotButton="0" quotePrefix="0" xfId="0">
      <alignment horizontal="left" vertical="center"/>
    </xf>
    <xf numFmtId="173" fontId="46" fillId="38" borderId="0" applyAlignment="1" pivotButton="0" quotePrefix="0" xfId="0">
      <alignment horizontal="left" vertical="center"/>
    </xf>
    <xf numFmtId="176" fontId="14" fillId="0" borderId="1" applyAlignment="1" pivotButton="0" quotePrefix="0" xfId="0">
      <alignment horizontal="center" vertical="center"/>
    </xf>
    <xf numFmtId="177" fontId="14" fillId="0" borderId="1" applyAlignment="1" pivotButton="0" quotePrefix="0" xfId="0">
      <alignment horizontal="center" vertical="center"/>
    </xf>
    <xf numFmtId="173" fontId="5" fillId="0" borderId="1" applyAlignment="1" applyProtection="1" pivotButton="0" quotePrefix="0" xfId="0">
      <alignment horizontal="left" vertical="center" indent="1"/>
      <protection locked="0" hidden="0"/>
    </xf>
    <xf numFmtId="176" fontId="14" fillId="3" borderId="1" applyAlignment="1" pivotButton="0" quotePrefix="0" xfId="0">
      <alignment horizontal="center" vertical="center"/>
    </xf>
    <xf numFmtId="177" fontId="14" fillId="3" borderId="1" applyAlignment="1" pivotButton="0" quotePrefix="0" xfId="0">
      <alignment horizontal="center" vertical="center"/>
    </xf>
    <xf numFmtId="173" fontId="5" fillId="3" borderId="1" applyAlignment="1" applyProtection="1" pivotButton="0" quotePrefix="0" xfId="0">
      <alignment horizontal="left" vertical="center" indent="1"/>
      <protection locked="0" hidden="0"/>
    </xf>
    <xf numFmtId="178" fontId="52" fillId="39" borderId="17" applyAlignment="1" pivotButton="0" quotePrefix="0" xfId="0">
      <alignment horizontal="center" vertical="center"/>
    </xf>
    <xf numFmtId="175" fontId="55" fillId="39" borderId="10" applyAlignment="1" pivotButton="0" quotePrefix="0" xfId="0">
      <alignment horizontal="left" vertical="center"/>
    </xf>
    <xf numFmtId="176" fontId="55" fillId="39" borderId="10" applyAlignment="1" pivotButton="0" quotePrefix="0" xfId="0">
      <alignment horizontal="left" vertical="center"/>
    </xf>
    <xf numFmtId="177" fontId="55" fillId="39" borderId="10" applyAlignment="1" pivotButton="0" quotePrefix="0" xfId="0">
      <alignment horizontal="left" vertical="center"/>
    </xf>
    <xf numFmtId="179" fontId="55" fillId="39" borderId="10" applyAlignment="1" pivotButton="0" quotePrefix="0" xfId="0">
      <alignment horizontal="left" vertical="center"/>
    </xf>
    <xf numFmtId="173" fontId="55" fillId="39" borderId="10" applyAlignment="1" pivotButton="0" quotePrefix="0" xfId="0">
      <alignment horizontal="left" vertical="center"/>
    </xf>
    <xf numFmtId="179" fontId="24" fillId="17" borderId="3" applyAlignment="1" applyProtection="1" pivotButton="0" quotePrefix="0" xfId="0">
      <alignment horizontal="center" vertical="bottom"/>
      <protection locked="0" hidden="0"/>
    </xf>
    <xf numFmtId="176" fontId="24" fillId="17" borderId="3" applyAlignment="1" pivotButton="0" quotePrefix="0" xfId="0">
      <alignment horizontal="center" vertical="bottom"/>
    </xf>
    <xf numFmtId="173" fontId="51" fillId="40" borderId="10" applyAlignment="1" applyProtection="1" pivotButton="0" quotePrefix="0" xfId="0">
      <alignment horizontal="center" vertical="center" wrapText="1"/>
      <protection locked="0" hidden="0"/>
    </xf>
    <xf numFmtId="176" fontId="7" fillId="0" borderId="10" applyAlignment="1" pivotButton="0" quotePrefix="0" xfId="0">
      <alignment horizontal="center" vertical="center"/>
    </xf>
    <xf numFmtId="177" fontId="7" fillId="0" borderId="10" applyAlignment="1" pivotButton="0" quotePrefix="0" xfId="0">
      <alignment horizontal="center" vertical="center"/>
    </xf>
    <xf numFmtId="179" fontId="7" fillId="0" borderId="10" applyAlignment="1" pivotButton="0" quotePrefix="0" xfId="0">
      <alignment horizontal="center" vertical="center"/>
    </xf>
    <xf numFmtId="175" fontId="7" fillId="0" borderId="10" applyAlignment="1" pivotButton="0" quotePrefix="0" xfId="0">
      <alignment horizontal="center" vertical="center"/>
    </xf>
    <xf numFmtId="176" fontId="7" fillId="18" borderId="10" applyAlignment="1" pivotButton="0" quotePrefix="0" xfId="0">
      <alignment horizontal="center" vertical="center"/>
    </xf>
    <xf numFmtId="177" fontId="7" fillId="18" borderId="10" applyAlignment="1" pivotButton="0" quotePrefix="0" xfId="0">
      <alignment horizontal="center" vertical="center"/>
    </xf>
    <xf numFmtId="179" fontId="7" fillId="18" borderId="10" applyAlignment="1" pivotButton="0" quotePrefix="0" xfId="0">
      <alignment horizontal="center" vertical="center"/>
    </xf>
    <xf numFmtId="173" fontId="46" fillId="38" borderId="0" applyAlignment="1" pivotButton="0" quotePrefix="0" xfId="0">
      <alignment horizontal="center" vertical="center"/>
    </xf>
    <xf numFmtId="175" fontId="14" fillId="0" borderId="1" applyAlignment="1" pivotButton="0" quotePrefix="0" xfId="0">
      <alignment horizontal="center" vertical="center"/>
    </xf>
    <xf numFmtId="175" fontId="7" fillId="0" borderId="1" applyAlignment="1" pivotButton="0" quotePrefix="0" xfId="0">
      <alignment horizontal="center" vertical="center"/>
    </xf>
    <xf numFmtId="177" fontId="7" fillId="0" borderId="1" applyAlignment="1" pivotButton="0" quotePrefix="0" xfId="0">
      <alignment horizontal="center" vertical="center"/>
    </xf>
    <xf numFmtId="175" fontId="14" fillId="3" borderId="1" applyAlignment="1" pivotButton="0" quotePrefix="0" xfId="0">
      <alignment horizontal="center" vertical="center"/>
    </xf>
    <xf numFmtId="175" fontId="7" fillId="3" borderId="1" applyAlignment="1" pivotButton="0" quotePrefix="0" xfId="0">
      <alignment horizontal="center" vertical="center"/>
    </xf>
    <xf numFmtId="177" fontId="7" fillId="3" borderId="1" applyAlignment="1" pivotButton="0" quotePrefix="0" xfId="0">
      <alignment horizontal="center" vertical="center"/>
    </xf>
    <xf numFmtId="175" fontId="46" fillId="38" borderId="0" applyAlignment="1" pivotButton="0" quotePrefix="0" xfId="0">
      <alignment horizontal="left" vertical="center"/>
    </xf>
    <xf numFmtId="175" fontId="14" fillId="0" borderId="1" applyAlignment="1" applyProtection="1" pivotButton="0" quotePrefix="0" xfId="0">
      <alignment horizontal="center" vertical="center"/>
      <protection locked="0" hidden="0"/>
    </xf>
    <xf numFmtId="0" fontId="11" fillId="7" borderId="10" applyAlignment="1" applyProtection="1" pivotButton="0" quotePrefix="0" xfId="0">
      <alignment horizontal="general" vertical="bottom"/>
      <protection locked="0" hidden="0"/>
    </xf>
    <xf numFmtId="0" fontId="11" fillId="3" borderId="10" applyAlignment="1" applyProtection="1" pivotButton="0" quotePrefix="0" xfId="0">
      <alignment horizontal="general" vertical="bottom"/>
      <protection locked="0" hidden="0"/>
    </xf>
    <xf numFmtId="0" fontId="62" fillId="38" borderId="0" applyAlignment="1" applyProtection="1" pivotButton="0" quotePrefix="0" xfId="0">
      <alignment horizontal="left" vertical="center" wrapText="1"/>
      <protection locked="0" hidden="0"/>
    </xf>
    <xf numFmtId="173" fontId="46" fillId="38" borderId="0" applyAlignment="1" pivotButton="0" quotePrefix="0" xfId="0">
      <alignment horizontal="left" vertical="center" wrapText="1"/>
    </xf>
    <xf numFmtId="0" fontId="0" fillId="0" borderId="0" applyAlignment="1" pivotButton="0" quotePrefix="0" xfId="0">
      <alignment horizontal="center" vertical="center"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
    <dxf>
      <font>
        <color rgb="FFFFFFFF"/>
      </font>
    </dxf>
  </dxfs>
  <colors>
    <indexedColors>
      <rgbColor rgb="FF000000"/>
      <rgbColor rgb="FFFFFFFF"/>
      <rgbColor rgb="FFC00000"/>
      <rgbColor rgb="FF00FF00"/>
      <rgbColor rgb="FF0000FF"/>
      <rgbColor rgb="FFF5F5F5"/>
      <rgbColor rgb="FFFF00FF"/>
      <rgbColor rgb="FF00FFFF"/>
      <rgbColor rgb="FF800000"/>
      <rgbColor rgb="FF008000"/>
      <rgbColor rgb="FF000080"/>
      <rgbColor rgb="FFA98C2A"/>
      <rgbColor rgb="FF7B1FA2"/>
      <rgbColor rgb="FF008080"/>
      <rgbColor rgb="FFB7B7B7"/>
      <rgbColor rgb="FF808080"/>
      <rgbColor rgb="FF93A9CE"/>
      <rgbColor rgb="FF9D3E3B"/>
      <rgbColor rgb="FFFFF8E1"/>
      <rgbColor rgb="FFE3F2FD"/>
      <rgbColor rgb="FF660066"/>
      <rgbColor rgb="FFD9D9D9"/>
      <rgbColor rgb="FF1976D2"/>
      <rgbColor rgb="FFBBDEFB"/>
      <rgbColor rgb="FF000080"/>
      <rgbColor rgb="FFFF00FF"/>
      <rgbColor rgb="FFF3E5F5"/>
      <rgbColor rgb="FF00FFFF"/>
      <rgbColor rgb="FF800080"/>
      <rgbColor rgb="FF800000"/>
      <rgbColor rgb="FF008080"/>
      <rgbColor rgb="FF0000FF"/>
      <rgbColor rgb="FF00CCFF"/>
      <rgbColor rgb="FFE8F5E9"/>
      <rgbColor rgb="FFF2F2F2"/>
      <rgbColor rgb="FFFFF2CC"/>
      <rgbColor rgb="FFA5D6A7"/>
      <rgbColor rgb="FFD4A5A4"/>
      <rgbColor rgb="FFB0B0B0"/>
      <rgbColor rgb="FFFFE082"/>
      <rgbColor rgb="FF4672A8"/>
      <rgbColor rgb="FF33CCCC"/>
      <rgbColor rgb="FF98B855"/>
      <rgbColor rgb="FFFFE0B2"/>
      <rgbColor rgb="FFFF9900"/>
      <rgbColor rgb="FFE65100"/>
      <rgbColor rgb="FF757575"/>
      <rgbColor rgb="FF8B8B8B"/>
      <rgbColor rgb="FF1F4E78"/>
      <rgbColor rgb="FF2E7D32"/>
      <rgbColor rgb="FF003300"/>
      <rgbColor rgb="FF333300"/>
      <rgbColor rgb="FF7F1D1D"/>
      <rgbColor rgb="FFBE4B48"/>
      <rgbColor rgb="FF305496"/>
      <rgbColor rgb="FF595959"/>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Charts!$T$18:$T$25</f>
              <numCache>
                <formatCode>0.000</formatCode>
                <ptCount val="10"/>
                <pt idx="0">
                  <v>57.0</v>
                </pt>
                <pt idx="1">
                  <v>57.3</v>
                </pt>
                <pt idx="2">
                  <v>57.5</v>
                </pt>
              </numCache>
            </numRef>
          </xVal>
          <yVal>
            <numRef>
              <f>Charts!$U$18:$U$25</f>
              <numCache>
                <formatCode>0.000</formatCode>
                <ptCount val="10"/>
                <pt idx="0">
                  <v>2995.5</v>
                </pt>
                <pt idx="1">
                  <v>3038.9</v>
                </pt>
                <pt idx="2">
                  <v>3010.8</v>
                </pt>
              </numCache>
            </numRef>
          </yVal>
          <smooth val="0"/>
        </ser>
        <axId val="7170067"/>
        <axId val="69099073"/>
      </scatterChart>
      <valAx>
        <axId val="7170067"/>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9099073"/>
        <crosses val="autoZero"/>
        <crossBetween val="midCat"/>
      </valAx>
      <valAx>
        <axId val="6909907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170067"/>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Log'!$I$16:$I$25</f>
              <numCache>
                <formatCode>0.000</formatCode>
                <ptCount val="10"/>
                <pt idx="0">
                  <v>19.2</v>
                </pt>
                <pt idx="1">
                  <v>6.0</v>
                </pt>
                <pt idx="2">
                  <v>15.4</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Log'!$J$16:$J$25</f>
              <numCache>
                <formatCode>0.000</formatCode>
                <ptCount val="10"/>
                <pt idx="0">
                  <v>7.3</v>
                </pt>
                <pt idx="1">
                  <v>2.1</v>
                </pt>
                <pt idx="2">
                  <v>6.2</v>
                </pt>
              </numCache>
            </numRef>
          </val>
        </ser>
        <gapWidth val="150"/>
        <overlap val="0"/>
        <axId val="97721715"/>
        <axId val="96260851"/>
      </barChart>
      <catAx>
        <axId val="97721715"/>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6260851"/>
        <crosses val="autoZero"/>
        <auto val="1"/>
        <lblAlgn val="ctr"/>
        <lblOffset val="100"/>
        <noMultiLvlLbl val="0"/>
      </catAx>
      <valAx>
        <axId val="96260851"/>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721715"/>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1F4E78"/>
            </a:solidFill>
            <a:ln xmlns:a="http://schemas.openxmlformats.org/drawingml/2006/main" w="12600">
              <a:solidFill>
                <a:srgbClr val="1F4E78"/>
              </a:solidFill>
              <a:prstDash val="solid"/>
              <a:round/>
            </a:ln>
          </spPr>
          <marker>
            <symbol val="circle"/>
            <size val="8"/>
            <spPr>
              <a:solidFill xmlns:a="http://schemas.openxmlformats.org/drawingml/2006/main">
                <a:srgbClr val="1F4E7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Log'!$H$16:$H$25</f>
              <numCache>
                <formatCode>0.000</formatCode>
                <ptCount val="10"/>
                <pt idx="0">
                  <v>3010.8</v>
                </pt>
                <pt idx="1">
                  <v>2995.5</v>
                </pt>
                <pt idx="2">
                  <v>3038.9</v>
                </pt>
              </numCache>
            </numRef>
          </val>
          <smooth val="0"/>
        </ser>
        <ser>
          <idx val="1"/>
          <order val="1"/>
          <tx>
            <strRef>
              <f>"Group (MOA)"</f>
              <strCache>
                <ptCount val="1"/>
                <pt idx="0">
                  <v>Group (MOA)</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Log'!$K$16:$K$25</f>
              <numCache>
                <formatCode>0.000</formatCode>
                <ptCount val="10"/>
                <pt idx="0">
                  <v>0.506</v>
                </pt>
                <pt idx="1">
                  <v>0.478</v>
                </pt>
                <pt idx="2">
                  <v>0.353</v>
                </pt>
              </numCache>
            </numRef>
          </val>
          <smooth val="0"/>
        </ser>
        <ser>
          <idx val="2"/>
          <order val="2"/>
          <tx>
            <strRef>
              <f>"SD"</f>
              <strCache>
                <ptCount val="1"/>
                <pt idx="0">
                  <v>SD</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Log'!$J$16:$J$25</f>
              <numCache>
                <formatCode>0.000</formatCode>
                <ptCount val="10"/>
                <pt idx="0">
                  <v>7.3</v>
                </pt>
                <pt idx="1">
                  <v>2.1</v>
                </pt>
                <pt idx="2">
                  <v>6.2</v>
                </pt>
              </numCache>
            </numRef>
          </val>
          <smooth val="0"/>
        </ser>
        <hiLowLines>
          <spPr>
            <a:ln xmlns:a="http://schemas.openxmlformats.org/drawingml/2006/main" w="0">
              <a:noFill/>
              <a:prstDash val="solid"/>
            </a:ln>
          </spPr>
        </hiLowLines>
        <marker val="1"/>
        <axId val="61755240"/>
        <axId val="44721967"/>
      </lineChart>
      <catAx>
        <axId val="61755240"/>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4721967"/>
        <crosses val="autoZero"/>
        <auto val="1"/>
        <lblAlgn val="ctr"/>
        <lblOffset val="100"/>
        <noMultiLvlLbl val="0"/>
      </catAx>
      <valAx>
        <axId val="4472196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755240"/>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98B855"/>
            </a:solidFill>
            <a:ln xmlns:a="http://schemas.openxmlformats.org/drawingml/2006/main" w="0">
              <a:solidFill>
                <a:srgbClr val="98B855"/>
              </a:solidFill>
              <a:prstDash val="solid"/>
            </a:ln>
          </spPr>
          <marker>
            <symbol val="circle"/>
            <size val="7"/>
            <spPr>
              <a:solidFill xmlns:a="http://schemas.openxmlformats.org/drawingml/2006/main">
                <a:srgbClr val="98B855"/>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Charts!$T$18:$T$25</f>
              <numCache>
                <formatCode>0.000</formatCode>
                <ptCount val="10"/>
                <pt idx="0">
                  <v>57.0</v>
                </pt>
                <pt idx="1">
                  <v>57.3</v>
                </pt>
                <pt idx="2">
                  <v>57.5</v>
                </pt>
              </numCache>
            </numRef>
          </xVal>
          <yVal>
            <numRef>
              <f>Charts!$U$18:$U$25</f>
              <numCache>
                <formatCode>0.000</formatCode>
                <ptCount val="10"/>
                <pt idx="0">
                  <v>2995.5</v>
                </pt>
                <pt idx="1">
                  <v>3038.9</v>
                </pt>
                <pt idx="2">
                  <v>3010.8</v>
                </pt>
              </numCache>
            </numRef>
          </yVal>
          <smooth val="0"/>
        </ser>
        <axId val="26706432"/>
        <axId val="5966923"/>
      </scatterChart>
      <valAx>
        <axId val="26706432"/>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5966923"/>
        <crosses val="autoZero"/>
        <crossBetween val="midCat"/>
      </valAx>
      <valAx>
        <axId val="596692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26706432"/>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5.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Log'!$I$16:$I$25</f>
              <numCache>
                <formatCode>0.000</formatCode>
                <ptCount val="10"/>
                <pt idx="0">
                  <v>19.2</v>
                </pt>
                <pt idx="1">
                  <v>6.0</v>
                </pt>
                <pt idx="2">
                  <v>15.4</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Log'!$J$16:$J$25</f>
              <numCache>
                <formatCode>0.000</formatCode>
                <ptCount val="10"/>
                <pt idx="0">
                  <v>7.3</v>
                </pt>
                <pt idx="1">
                  <v>2.1</v>
                </pt>
                <pt idx="2">
                  <v>6.2</v>
                </pt>
              </numCache>
            </numRef>
          </val>
        </ser>
        <gapWidth val="150"/>
        <overlap val="0"/>
        <axId val="74671604"/>
        <axId val="67938676"/>
      </barChart>
      <catAx>
        <axId val="74671604"/>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7938676"/>
        <crosses val="autoZero"/>
        <auto val="1"/>
        <lblAlgn val="ctr"/>
        <lblOffset val="100"/>
        <noMultiLvlLbl val="0"/>
      </catAx>
      <valAx>
        <axId val="67938676"/>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467160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6.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9D3E3B"/>
            </a:solidFill>
            <a:ln xmlns:a="http://schemas.openxmlformats.org/drawingml/2006/main" w="9360">
              <a:solidFill>
                <a:srgbClr val="9D3E3B"/>
              </a:solidFill>
              <a:prstDash val="solid"/>
              <a:round/>
            </a:ln>
          </spPr>
          <marker>
            <symbol val="circle"/>
            <size val="7"/>
            <spPr>
              <a:solidFill xmlns:a="http://schemas.openxmlformats.org/drawingml/2006/main">
                <a:srgbClr val="9D3E3B"/>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Log'!$H$16:$H$25</f>
              <numCache>
                <formatCode>0.000</formatCode>
                <ptCount val="10"/>
                <pt idx="0">
                  <v>3010.8</v>
                </pt>
                <pt idx="1">
                  <v>2995.5</v>
                </pt>
                <pt idx="2">
                  <v>3038.9</v>
                </pt>
              </numCache>
            </numRef>
          </val>
          <smooth val="0"/>
        </ser>
        <ser>
          <idx val="1"/>
          <order val="1"/>
          <tx>
            <strRef>
              <f>"Group (MOA)"</f>
              <strCache>
                <ptCount val="1"/>
                <pt idx="0">
                  <v>Group (MOA)</v>
                </pt>
              </strCache>
            </strRef>
          </tx>
          <spPr>
            <a:solidFill xmlns:a="http://schemas.openxmlformats.org/drawingml/2006/main">
              <a:srgbClr val="BE4B48"/>
            </a:solidFill>
            <a:ln xmlns:a="http://schemas.openxmlformats.org/drawingml/2006/main" w="9360">
              <a:solidFill>
                <a:srgbClr val="BE4B48"/>
              </a:solidFill>
              <a:prstDash val="solid"/>
              <a:round/>
            </a:ln>
          </spPr>
          <marker>
            <symbol val="circle"/>
            <size val="7"/>
            <spPr>
              <a:solidFill xmlns:a="http://schemas.openxmlformats.org/drawingml/2006/main">
                <a:srgbClr val="BE4B4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Log'!$K$16:$K$25</f>
              <numCache>
                <formatCode>0.000</formatCode>
                <ptCount val="10"/>
                <pt idx="0">
                  <v>0.506</v>
                </pt>
                <pt idx="1">
                  <v>0.478</v>
                </pt>
                <pt idx="2">
                  <v>0.353</v>
                </pt>
              </numCache>
            </numRef>
          </val>
          <smooth val="0"/>
        </ser>
        <ser>
          <idx val="2"/>
          <order val="2"/>
          <tx>
            <strRef>
              <f>"SD"</f>
              <strCache>
                <ptCount val="1"/>
                <pt idx="0">
                  <v>SD</v>
                </pt>
              </strCache>
            </strRef>
          </tx>
          <spPr>
            <a:solidFill xmlns:a="http://schemas.openxmlformats.org/drawingml/2006/main">
              <a:srgbClr val="D4A5A4"/>
            </a:solidFill>
            <a:ln xmlns:a="http://schemas.openxmlformats.org/drawingml/2006/main" w="9360">
              <a:solidFill>
                <a:srgbClr val="D4A5A4"/>
              </a:solidFill>
              <a:prstDash val="solid"/>
              <a:round/>
            </a:ln>
          </spPr>
          <marker>
            <symbol val="circle"/>
            <size val="7"/>
            <spPr>
              <a:solidFill xmlns:a="http://schemas.openxmlformats.org/drawingml/2006/main">
                <a:srgbClr val="D4A5A4"/>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'Powder Charge Log'!$B$16:$B$25</f>
              <strCache>
                <ptCount val="10"/>
                <pt idx="0">
                  <v>Err:508</v>
                </pt>
                <pt idx="1">
                  <v>Err:508</v>
                </pt>
                <pt idx="2">
                  <v>Err:508</v>
                </pt>
                <pt idx="3">
                  <v>Err:508</v>
                </pt>
                <pt idx="4">
                  <v>Err:508</v>
                </pt>
                <pt idx="5">
                  <v>Err:508</v>
                </pt>
                <pt idx="6">
                  <v>Err:508</v>
                </pt>
                <pt idx="7">
                  <v>Err:508</v>
                </pt>
                <pt idx="8">
                  <v>Err:508</v>
                </pt>
                <pt idx="9">
                  <v>Err:508</v>
                </pt>
              </strCache>
            </strRef>
          </cat>
          <val>
            <numRef>
              <f>'Powder Charge Log'!$J$16:$J$25</f>
              <numCache>
                <formatCode>0.000</formatCode>
                <ptCount val="10"/>
                <pt idx="0">
                  <v>7.3</v>
                </pt>
                <pt idx="1">
                  <v>2.1</v>
                </pt>
                <pt idx="2">
                  <v>6.2</v>
                </pt>
              </numCache>
            </numRef>
          </val>
          <smooth val="0"/>
        </ser>
        <hiLowLines>
          <spPr>
            <a:ln xmlns:a="http://schemas.openxmlformats.org/drawingml/2006/main" w="0">
              <a:noFill/>
              <a:prstDash val="solid"/>
            </a:ln>
          </spPr>
        </hiLowLines>
        <marker val="1"/>
        <axId val="47015463"/>
        <axId val="70465987"/>
      </lineChart>
      <catAx>
        <axId val="47015463"/>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0465987"/>
        <crosses val="autoZero"/>
        <auto val="1"/>
        <lblAlgn val="ctr"/>
        <lblOffset val="100"/>
        <noMultiLvlLbl val="0"/>
      </catAx>
      <valAx>
        <axId val="7046598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7015463"/>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7.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Group Size (in)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"Group Size vs. Jump"</f>
              <strCache>
                <ptCount val="1"/>
                <pt idx="0">
                  <v>Group Size vs. Jump</v>
                </pt>
              </strCache>
            </strRef>
          </tx>
          <spPr>
            <a:solidFill xmlns:a="http://schemas.openxmlformats.org/drawingml/2006/main">
              <a:srgbClr val="C00000"/>
            </a:solidFill>
            <a:ln xmlns:a="http://schemas.openxmlformats.org/drawingml/2006/main" w="0">
              <a:solidFill>
                <a:srgbClr val="C00000"/>
              </a:solidFill>
              <a:prstDash val="solid"/>
            </a:ln>
          </spPr>
          <marker>
            <symbol val="circle"/>
            <size val="7"/>
            <spPr>
              <a:solidFill xmlns:a="http://schemas.openxmlformats.org/drawingml/2006/main">
                <a:srgbClr val="C00000"/>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 Log'!$B$16:$B$25</f>
              <numCache>
                <formatCode>0.000</formatCode>
                <ptCount val="10"/>
                <pt idx="0">
                  <v>0.01</v>
                </pt>
                <pt idx="1">
                  <v>0.014</v>
                </pt>
                <pt idx="2">
                  <v>0.016</v>
                </pt>
              </numCache>
            </numRef>
          </xVal>
          <yVal>
            <numRef>
              <f>'Seating Depth Log'!$L$16:$L$25</f>
              <numCache>
                <formatCode>0.000</formatCode>
                <ptCount val="10"/>
                <pt idx="0">
                  <v>0.353</v>
                </pt>
                <pt idx="1">
                  <v>0.341</v>
                </pt>
                <pt idx="2">
                  <v>0.6</v>
                </pt>
              </numCache>
            </numRef>
          </yVal>
          <smooth val="0"/>
        </ser>
        <axId val="33525579"/>
        <axId val="148052"/>
      </scatterChart>
      <valAx>
        <axId val="33525579"/>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148052"/>
        <crosses val="autoZero"/>
        <crossBetween val="midCat"/>
      </valAx>
      <valAx>
        <axId val="148052"/>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Group (in)</a:t>
                </a:r>
              </a:p>
            </rich>
          </tx>
          <overlay val="0"/>
          <spPr>
            <a:noFill xmlns:a="http://schemas.openxmlformats.org/drawingml/2006/main"/>
            <a:ln xmlns:a="http://schemas.openxmlformats.org/drawingml/2006/main" w="0">
              <a:noFill/>
              <a:prstDash val="solid"/>
            </a:ln>
          </spPr>
        </title>
        <numFmt formatCode="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3525579"/>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8.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SD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"SD vs. Jump"</f>
              <strCache>
                <ptCount val="1"/>
                <pt idx="0">
                  <v>SD vs. Jump</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 Log'!$B$16:$B$25</f>
              <numCache>
                <formatCode>0.000</formatCode>
                <ptCount val="10"/>
                <pt idx="0">
                  <v>0.01</v>
                </pt>
                <pt idx="1">
                  <v>0.014</v>
                </pt>
                <pt idx="2">
                  <v>0.016</v>
                </pt>
              </numCache>
            </numRef>
          </xVal>
          <yVal>
            <numRef>
              <f>'Seating Depth Log'!$K$16:$K$25</f>
              <numCache>
                <formatCode>0.000</formatCode>
                <ptCount val="10"/>
                <pt idx="0">
                  <v>3.6</v>
                </pt>
                <pt idx="1">
                  <v>6.4</v>
                </pt>
                <pt idx="2">
                  <v>9.0</v>
                </pt>
              </numCache>
            </numRef>
          </yVal>
          <smooth val="0"/>
        </ser>
        <axId val="61859044"/>
        <axId val="61461940"/>
      </scatterChart>
      <valAx>
        <axId val="61859044"/>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461940"/>
        <crosses val="autoZero"/>
        <crossBetween val="midCat"/>
      </valAx>
      <valAx>
        <axId val="61461940"/>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SD (fps)</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859044"/>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9.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Avg Velocity vs. Jump (sanity check — should be flat)</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 vs. Jump (sanity check — should be flat)"</f>
              <strCache>
                <ptCount val="1"/>
                <pt idx="0">
                  <v>Avg Velocity vs. Jump (sanity check — should be flat)</v>
                </pt>
              </strCache>
            </strRef>
          </tx>
          <spPr>
            <a:solidFill xmlns:a="http://schemas.openxmlformats.org/drawingml/2006/main">
              <a:srgbClr val="2E7D32"/>
            </a:solidFill>
            <a:ln xmlns:a="http://schemas.openxmlformats.org/drawingml/2006/main" w="0">
              <a:solidFill>
                <a:srgbClr val="2E7D32"/>
              </a:solidFill>
              <a:prstDash val="solid"/>
            </a:ln>
          </spPr>
          <marker>
            <symbol val="circle"/>
            <size val="7"/>
            <spPr>
              <a:solidFill xmlns:a="http://schemas.openxmlformats.org/drawingml/2006/main">
                <a:srgbClr val="2E7D32"/>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 Log'!$B$16:$B$25</f>
              <numCache>
                <formatCode>0.000</formatCode>
                <ptCount val="10"/>
                <pt idx="0">
                  <v>0.01</v>
                </pt>
                <pt idx="1">
                  <v>0.014</v>
                </pt>
                <pt idx="2">
                  <v>0.016</v>
                </pt>
              </numCache>
            </numRef>
          </xVal>
          <yVal>
            <numRef>
              <f>'Seating Depth Log'!$I$16:$I$25</f>
              <numCache>
                <formatCode>0.000</formatCode>
                <ptCount val="10"/>
                <pt idx="0">
                  <v>2720.1</v>
                </pt>
                <pt idx="1">
                  <v>2713.0</v>
                </pt>
                <pt idx="2">
                  <v>2729.7</v>
                </pt>
              </numCache>
            </numRef>
          </yVal>
          <smooth val="0"/>
        </ser>
        <axId val="97085231"/>
        <axId val="39632189"/>
      </scatterChart>
      <valAx>
        <axId val="97085231"/>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9632189"/>
        <crosses val="autoZero"/>
        <crossBetween val="midCat"/>
      </valAx>
      <valAx>
        <axId val="39632189"/>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Avg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085231"/>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omments/comment1.xml><?xml version="1.0" encoding="utf-8"?>
<comments xmlns="http://schemas.openxmlformats.org/spreadsheetml/2006/main">
  <authors>
    <author>Loadscope</author>
  </authors>
  <commentList>
    <comment ref="G15" authorId="0" shapeId="0">
      <text>
        <t>The Load Log displays the first 5 shots per load. If you shot more (Garmin Xero supports up to 7 per session), the Avg Vel, ES, and SD columns automatically reflect ALL your shots — Garmin computes those before import.
To see every individual shot, check the 'Garmin Xero Import' sheet tab.</t>
      </text>
    </comment>
  </commentList>
</comments>
</file>

<file path=xl/comments/comment2.xml><?xml version="1.0" encoding="utf-8"?>
<comments xmlns="http://schemas.openxmlformats.org/spreadsheetml/2006/main">
  <authors>
    <author>None</author>
    <author>Loadscope</author>
  </authors>
  <commentList>
    <comment ref="B3" authorId="0" shapeId="0">
      <text>
        <t>Suggested Charge
The charge with the LOWEST composite score — a weighted blend of
velocity flatness, SD, and group size.
Full breakdown and editable weights on the 'Charts' tab.
Always cross-check by shooting a confirmation group at this charge
plus ±0.3–0.5 gr before committing.</t>
      </text>
    </comment>
    <comment ref="D3" authorId="1" shapeId="0">
      <text>
        <t>Composite Score
Weighted blend of 4 normalized factors:
  • Velocity flat spot (window spread)
  • Shot-string SD
  • Mean Radius (MOA)
  • Vertical (MOA) — uses SD-Vert when available, else Height, else MR
Each scaled 0–1 across candidates, then combined using the weights below.
Lowest score wins.</t>
      </text>
    </comment>
    <comment ref="G5" authorId="1" shapeId="0">
      <text>
        <t>BEST-IN-CLASS INDICATORS
Shows which individual factors the suggested charge is best at:
  • Vel ✓     — lowest Velocity Spread
  • SD ✓      — lowest shot-string SD
  • MR ✓      — smallest Mean Radius
  • Vert ✓    — smallest Vertical MOA
WORKS WITH ANY NUMBER OF CHARGES:
  • 5+ charges → 'window' mode (3-charge sliding analysis)
  • 3-4 charges → 'test' mode (each charge scored individually)
The composite winner often won't be best in EVERY category — that's the trade-off you're tuning with the weights at row 11.</t>
      </text>
    </comment>
    <comment ref="G17" authorId="1" shapeId="0">
      <text>
        <t>When SD-Vert is in your BallisticX data, this column shows it.
If SD-Vert isn't available, falls back to:
  1. Height (extreme spread vertical), then
  2. Mean Radius
(See help → 'How the suggested load is picked'.)</t>
      </text>
    </comment>
    <comment ref="J17" authorId="1" shapeId="0">
      <text>
        <t>NORMALIZED MEAN RADIUS (0–1)
    (this MR (MOA) − min) / (max − min)
across all 8 candidate windows.
Best scores 0, worst scores 1. Input to Composite Score.</t>
      </text>
    </comment>
    <comment ref="K17" authorId="1" shapeId="0">
      <text>
        <t>NORMALIZED VERTICAL (0–1)
    (this Vert MOA − min) / (max − min)
across all 8 candidate windows.
Source: SD-Vert (in) if available, falling back to Height (in)
then Mean Radius if neither is provided. Converted to MOA via
the Distance (yd) on the Load Log.
Best scores 0, worst scores 1. Input to Composite Score.</t>
      </text>
    </comment>
    <comment ref="L17" authorId="1" shapeId="0">
      <text>
        <t>COMPOSITE SCORE — HOW IT'S CALCULATED
Each candidate load is scored on FOUR factors:
  1. Velocity Flat Spot — spread of avg velocities across the
     3-charge window (low, middle, high).
  2. SD — shot-string standard deviation at the middle charge.
  3. Mean Radius (MOA) — converted from inches via Distance.
  4. Vertical (MOA) — uses SD-Vertical when available, falls back
     to Height, then MR (always produces a number).
Each factor is normalized 0–1 across the candidates:
    Normalized = (value − min) / (max − min)
Best-in-class gets 0, worst gets 1.
Combined using the weights in row 11
(defaults: Vel 0.30, SD 0.20, MR 0.20, Vert 0.30).
Weights must sum to 1.0.
LOWEST composite wins. Rank shows each candidate's position.</t>
      </text>
    </comment>
    <comment ref="A10" authorId="1" shapeId="0">
      <text>
        <t>HOW DEFAULTS WERE CHOSEN
A powder ladder is built to find a flat velocity node — a charge where small powder changes produce small velocity changes. So:
• Velocity 0.3 — the metric the ladder is designed to find
• SD-Vert 0.3 — vertical dispersion is the strongest predictor of long-range accuracy
• SD 0.2 + MR 0.2 — useful sanity checks, but a 5-shot group is too small a sample to outrank velocity-stability at this stage
Lowest composite score wins. Adjust the blue cells to weight what matters most to you.</t>
      </text>
    </comment>
  </commentList>
</comments>
</file>

<file path=xl/comments/comment3.xml><?xml version="1.0" encoding="utf-8"?>
<comments xmlns="http://schemas.openxmlformats.org/spreadsheetml/2006/main">
  <authors>
    <author>Loadscope</author>
    <author>Notes</author>
  </authors>
  <commentList>
    <comment ref="O2" authorId="0" shapeId="0">
      <text>
        <t>Best-in: which metrics the suggested charge is best at (lowest value).
Vel = velocity spread, SD = std deviation, MR = mean radius, Vert = vertical dispersion.</t>
      </text>
    </comment>
    <comment ref="H15" authorId="0" shapeId="0">
      <text>
        <t>The Load Log displays the first 5 shots per load. If you shot more (Garmin Xero supports up to 7 per session), the Avg Vel, ES, and SD columns automatically reflect ALL your shots — Garmin computes those before import.
To see every individual shot, check the 'Garmin Xero Import' sheet tab.</t>
      </text>
    </comment>
    <comment ref="A29" authorId="1" shapeId="0">
      <text>
        <t>MIDDLE JUMP
The center jump of a 3-step window (low / middle / high). Each test gets evaluated as the middle of a window using its neighbors on either side, so end-of-table jumps don't get a window.</t>
      </text>
    </comment>
    <comment ref="B29" authorId="1" shapeId="0">
      <text>
        <t>LOW JUMP
The jump one step shallower than the middle (closer to the lands). Used together with the High jump to compute Velocity Spread for this window.</t>
      </text>
    </comment>
    <comment ref="C29" authorId="1" shapeId="0">
      <text>
        <t>HIGH JUMP
The jump one step deeper than the middle (further off the lands). Used with the Low jump to compute Velocity Spread for this window.</t>
      </text>
    </comment>
    <comment ref="D29" authorId="1" shapeId="0">
      <text>
        <t>VELOCITY SPREAD
MAX(Avg Vel) − MIN(Avg Vel) across the three jumps in the window (low, middle, high).
Tighter spread = a flatter velocity node — less sensitive to small seating-depth variation. Lower is better.</t>
      </text>
    </comment>
    <comment ref="E29" authorId="1" shapeId="0">
      <text>
        <t>SHOT-STRING STANDARD DEVIATION
Standard deviation of the 5 shots fired at the middle jump. Pulled directly from the data table (column L of row matching this middle jump).
Lower SD = more consistent ignition and burn. Lower is better.</t>
      </text>
    </comment>
    <comment ref="F29" authorId="1" shapeId="0">
      <text>
        <t>MEAN RADIUS — MOA
Mean Radius at the middle jump, converted to MOA:
    MR (MOA) = MR(in) ÷ (Distance/100) ÷ 1.047
Mean Radius is statistically more reliable than extreme-spread group size because it uses every shot's distance from group center, not just the two outliers. Lower is better.
FALLBACK: if you didn't measure Mean Radius for a row, this falls back to Group (in) for that row so scoring still works.</t>
      </text>
    </comment>
    <comment ref="G29" authorId="1" shapeId="0">
      <text>
        <t>VERTICAL DISPERSION — MOA
Vertical-only dispersion at the middle jump, converted to MOA. If you didn't enter a Vertical (in) value, this falls back to the full Group (MOA) so the formula still produces a number.
Useful when you measure vertical separately (e.g., for ELR work). Lower is better.</t>
      </text>
    </comment>
    <comment ref="H29" authorId="1" shapeId="0">
      <text>
        <t>NORMALIZED VELOCITY SPREAD (0–1)
    (this Vel Spread − min) / (max − min)
across all 8 candidate windows.
Best window scores 0, worst scores 1. Used as input to the weighted Composite Score.</t>
      </text>
    </comment>
    <comment ref="I29" authorId="1" shapeId="0">
      <text>
        <t>NORMALIZED SD (0–1)
    (this SD − min) / (max − min)
across all 8 candidate windows.
Best scores 0, worst scores 1. Input to Composite Score.</t>
      </text>
    </comment>
    <comment ref="J29" authorId="1" shapeId="0">
      <text>
        <t>NORMALIZED MEAN RADIUS (0–1)
    (this MR (MOA) − min) / (max − min)
across all 8 candidate windows.
Best scores 0, worst scores 1. Input to Composite Score with the Group/MR weight from row 28.</t>
      </text>
    </comment>
    <comment ref="K29" authorId="0" shapeId="0">
      <text>
        <t>NORMALIZED VERTICAL (0–1)
    (this Vert MOA − min) / (max − min)
across all 8 candidate windows.
Source: SD-Vert (in) if available, falling back to Height (in)
then Mean Radius if neither is provided. Converted to MOA via
the Distance (yd) on the Seating Depth tab.
Best scores 0, worst scores 1. Input to Composite Score.</t>
      </text>
    </comment>
    <comment ref="L29" authorId="0" shapeId="0">
      <text>
        <t>COMPOSITE SCORE (Seating Depth) — HOW IT'S CALCULATED
Each candidate jump is scored on FOUR factors:
  1. Velocity Spread — spread across the 3-jump window.
  2. SD — shot-string standard deviation at the middle jump.
  3. Mean Radius (MOA) — converted via Distance.
  4. Vertical (MOA) — uses SD-Vertical if available, falls back to
     Height, then MR (always produces a number).
Each factor is normalized 0–1 across the candidates.
Combined using the weights in row 28 (defaults:
Vel 0.15, SD 0.25, MR 0.25, Vert 0.35). Weights must sum to 1.0.
LOWEST composite wins.</t>
      </text>
    </comment>
    <comment ref="M29" authorId="1" shapeId="0">
      <text>
        <t>RANK
Ranks each candidate window from 1 (best) to 8 (worst) by Composite Score, lowest score wins.
    =RANK(Composite, all_composites, 1)
The Suggested Jump up top is whichever window has Rank = 1.</t>
      </text>
    </comment>
    <comment ref="N29" authorId="1" shapeId="0">
      <text>
        <t>BEST-IN-CLASS FLAGS
Shows which individual factors this window is the best at:
  • Vel ✓     — lowest Velocity Spread
  • SD ✓      — lowest shot-string SD
  • MR ✓      — smallest Mean Radius MOA
  • Vert ✓    — smallest Vertical MOA
A window can win multiple categories. The composite winner often isn't the best in every single category — that's the trade-off you're tuning with the weights.</t>
      </text>
    </comment>
    <comment ref="A28" authorId="1" shapeId="0">
      <text>
        <t>HOW DEFAULTS WERE CHOSEN
Once your powder charge is locked in, seating depth tuning is about tight groups, not chasing velocity. So:
• SD-Vert 0.35 — vertical dispersion is the dominant predictor of long-range accuracy, and seating has the biggest effect on it
• SD 0.25 + MR 0.25 — seating depth changes bullet jump and barrel time, both visible in group consistency
• Velocity 0.15 — barely changes with seating, so low weight
Lowest composite score wins. Adjust the blue cells to weight what matters most to you.</t>
      </text>
    </comment>
    <comment ref="A27" authorId="1" shapeId="0">
      <text>
        <t>METHOD
Each seating depth test is scored on four factors:
• Velocity spread (Low–High range across all tests)
• SD (shot-to-shot consistency)
• Mean Radius (MOA) — average distance of each shot from group center
• SD-Vertical (MOA) — vertical dispersion stability (falls back to Height, then MR, if BallisticX export is missing the stat)
Each factor is normalized 0–1 across all tests (0 = best, 1 = worst), then combined into one Composite Score using the weights below. Lowest score wins.</t>
      </text>
    </comment>
  </commentList>
</comments>
</file>

<file path=xl/comments/comment4.xml><?xml version="1.0" encoding="utf-8"?>
<comments xmlns="http://schemas.openxmlformats.org/spreadsheetml/2006/main">
  <authors>
    <author>Notes</author>
  </authors>
  <commentList>
    <comment ref="A5" authorId="0" shapeId="0">
      <text>
        <t>TAG
Tag identifying which session this row maps to. P1–P10 → Load Log Powder Ladder Loads 1–10. S1–S10 → Seating Depth Tests 1–10. Don't reorder rows 6–15 (Loads) or 17–26 (Tests) — Load Log/SD shot cells reference exact rows.</t>
      </text>
    </comment>
    <comment ref="B5" authorId="0" shapeId="0">
      <text>
        <t>DATE
Date of the Garmin session.</t>
      </text>
    </comment>
    <comment ref="C5" authorId="0" shapeId="0">
      <text>
        <t>SESSION TITLE
First-line title from ShotView CSV.</t>
      </text>
    </comment>
    <comment ref="D5" authorId="0" shapeId="0">
      <text>
        <t># SHOTS
Auto-counts shots populated in this row.</t>
      </text>
    </comment>
    <comment ref="E5" authorId="0" shapeId="0">
      <text>
        <t>SHOT 1 (FPS)
Shot 1 velocity. Wired to Load Log/SD.</t>
      </text>
    </comment>
    <comment ref="F5" authorId="0" shapeId="0">
      <text>
        <t>SHOT 2 (FPS)
Shot 2 velocity. Wired.</t>
      </text>
    </comment>
    <comment ref="G5" authorId="0" shapeId="0">
      <text>
        <t>SHOT 3 (FPS)
Shot 3 velocity. Wired.</t>
      </text>
    </comment>
    <comment ref="H5" authorId="0" shapeId="0">
      <text>
        <t>SHOT 4 (FPS)
Shot 4 velocity. Wired.</t>
      </text>
    </comment>
    <comment ref="I5" authorId="0" shapeId="0">
      <text>
        <t>SHOT 5 (FPS)
Shot 5 velocity. Wired.</t>
      </text>
    </comment>
    <comment ref="J5" authorId="0" shapeId="0">
      <text>
        <t>SHOT 6 (FPS)
Optional 6th shot — NOT wired (Load Log expects 5).</t>
      </text>
    </comment>
    <comment ref="K5" authorId="0" shapeId="0">
      <text>
        <t>SHOT 7 (FPS)
Optional 7th — NOT wired.</t>
      </text>
    </comment>
    <comment ref="L5" authorId="0" shapeId="0">
      <text>
        <t>AVG VEL (FPS)
Auto: AVERAGE(E:K).</t>
      </text>
    </comment>
    <comment ref="M5" authorId="0" shapeId="0">
      <text>
        <t>SD (FPS)
Auto: STDEV(E:K).</t>
      </text>
    </comment>
    <comment ref="N5" authorId="0" shapeId="0">
      <text>
        <t>ES (FPS)
Auto: MAX − MIN.</t>
      </text>
    </comment>
    <comment ref="O5" authorId="0" shapeId="0">
      <text>
        <t>BULLET WT (GR)
From CSV's PROJECTILE WEIGHT row. Reference.</t>
      </text>
    </comment>
    <comment ref="P5" authorId="0" shapeId="0">
      <text>
        <t>AVG KE (FT·LB)
From CSV's AVG KINETIC ENERGY. Reference.</t>
      </text>
    </comment>
    <comment ref="Q5" authorId="0" shapeId="0">
      <text>
        <t>NOTES
Anything from the CSV's SESSION NOTE field.</t>
      </text>
    </comment>
  </commentList>
</comments>
</file>

<file path=xl/comments/comment5.xml><?xml version="1.0" encoding="utf-8"?>
<comments xmlns="http://schemas.openxmlformats.org/spreadsheetml/2006/main">
  <authors>
    <author>Notes</author>
  </authors>
  <commentList>
    <comment ref="A5" authorId="0" shapeId="0">
      <text>
        <t>TAG
Tag identifying which load/test this row maps to. P1–P10 → Load Log Powder Ladder Loads 1–10. S1–S10 → Seating Depth Tests 1–10. Type the SAME tag in BallisticX's Label field for each group, and the lookup matches.</t>
      </text>
    </comment>
    <comment ref="B5" authorId="0" shapeId="0">
      <text>
        <t>DATE
Date from BallisticX's CreatedAt field.</t>
      </text>
    </comment>
    <comment ref="C5" authorId="0" shapeId="0">
      <text>
        <t>DISTANCE (YD)
Distance to target.</t>
      </text>
    </comment>
    <comment ref="D5" authorId="0" shapeId="0">
      <text>
        <t>GROUP (IN)
Extreme spread group size (the 'Group Size' field). Maps to Load Log/Seating Depth Group (in) column.</t>
      </text>
    </comment>
    <comment ref="E5" authorId="0" shapeId="0">
      <text>
        <t>WIDTH (IN)
Overall horizontal width of the group. Diagnostic — helps identify wind/recoil patterns.</t>
      </text>
    </comment>
    <comment ref="F5" authorId="0" shapeId="0">
      <text>
        <t>HEIGHT (IN)
Overall vertical height of the group. Maps to Vertical (in) column on Load Log/SD.</t>
      </text>
    </comment>
    <comment ref="G5" authorId="0" shapeId="0">
      <text>
        <t>MR (IN)
Mean Radius — the most statistically robust accuracy metric. Maps to Mean Radius (in) on Load Log/SD.</t>
      </text>
    </comment>
    <comment ref="H5" authorId="0" shapeId="0">
      <text>
        <t>CEP (IN)
Circular Error Probable — alternative accuracy metric, statistically similar to MR. Reference.</t>
      </text>
    </comment>
    <comment ref="I5" authorId="0" shapeId="0">
      <text>
        <t>SD RADIAL (IN)
Standard deviation of shot positions from group center, 2D.</t>
      </text>
    </comment>
    <comment ref="J5" authorId="0" shapeId="0">
      <text>
        <t>SD VERT (IN)
Vertical-only dispersion SD. Best predictor of long-range hit probability.</t>
      </text>
    </comment>
    <comment ref="K5" authorId="0" shapeId="0">
      <text>
        <t>SD HORIZ (IN)
Horizontal-only dispersion SD. Useful for diagnosing wind during the session.</t>
      </text>
    </comment>
    <comment ref="L5" authorId="0" shapeId="0">
      <text>
        <t>CALIBER
From BallisticX caliber selector. Reference only.</t>
      </text>
    </comment>
    <comment ref="M5" authorId="0" shapeId="0">
      <text>
        <t>NOTES
Anything from BallisticX's measure type field, your own observations, etc.</t>
      </text>
    </comment>
  </commentList>
</comments>
</file>

<file path=xl/comments/comment6.xml><?xml version="1.0" encoding="utf-8"?>
<comments xmlns="http://schemas.openxmlformats.org/spreadsheetml/2006/main">
  <authors>
    <author>Notes</author>
  </authors>
  <commentList>
    <comment ref="A4" authorId="0" shapeId="0">
      <text>
        <t>#
Sequential record number — auto-fill or type manually.</t>
      </text>
    </comment>
    <comment ref="B4" authorId="0" shapeId="0">
      <text>
        <t>DATE ADDED
Date this load was confirmed and added to the library.</t>
      </text>
    </comment>
    <comment ref="C4" authorId="0" shapeId="0">
      <text>
        <t>LOAD NAME
Short identifier for this load (e.g., '6.5CM 140 ELD-M / H4350 / 41.5gr').</t>
      </text>
    </comment>
    <comment ref="D4" authorId="0" shapeId="0">
      <text>
        <t>RIFLE
Rifle this load was developed for. Loads are barrel-specific — keep them tied to the rifle.</t>
      </text>
    </comment>
    <comment ref="E4" authorId="0" shapeId="0">
      <text>
        <t>BULLET
Bullet model (e.g., 'Hornady ELD-M', 'Berger 140 Hybrid').</t>
      </text>
    </comment>
    <comment ref="F4" authorId="0" shapeId="0">
      <text>
        <t>BULLET WT (GR)
Bullet weight in grains. Used in the muzzle-energy formula.</t>
      </text>
    </comment>
    <comment ref="G4" authorId="0" shapeId="0">
      <text>
        <t>POWDER
Powder type.</t>
      </text>
    </comment>
    <comment ref="H4" authorId="0" shapeId="0">
      <text>
        <t>CHARGE (GR)
Final powder charge (grains).</t>
      </text>
    </comment>
    <comment ref="I4" authorId="0" shapeId="0">
      <text>
        <t>PRIMER
Primer (e.g., 'CCI BR-2', 'Fed 210M').</t>
      </text>
    </comment>
    <comment ref="J4" authorId="0" shapeId="0">
      <text>
        <t>BRASS
Brass headstamp (e.g., 'Hornady', 'Lapua', 'Peterson').</t>
      </text>
    </comment>
    <comment ref="K4" authorId="0" shapeId="0">
      <text>
        <t>CBTO (IN)
Cartridge Base-To-Ogive measurement. The actual seating dimension (more repeatable than COAL).</t>
      </text>
    </comment>
    <comment ref="L4" authorId="0" shapeId="0">
      <text>
        <t>JUMP (IN)
Bullet jump off the lands (positive number = off lands). From your seating-depth test.</t>
      </text>
    </comment>
    <comment ref="M4" authorId="0" shapeId="0">
      <text>
        <t>AVG VEL (FPS)
Average chronograph velocity over a confirmation 5–10 shot string.</t>
      </text>
    </comment>
    <comment ref="N4" authorId="0" shapeId="0">
      <text>
        <t>SD (FPS)
Shot-string standard deviation. Lower = more consistent ignition/burn.</t>
      </text>
    </comment>
    <comment ref="O4" authorId="0" shapeId="0">
      <text>
        <t>GROUP (MOA)
Confirmation group MOA (extreme spread).</t>
      </text>
    </comment>
    <comment ref="P4" authorId="0" shapeId="0">
      <text>
        <t>MR (MOA)
Mean Radius MOA — average distance of each shot from group center. Statistically more reliable than extreme spread.</t>
      </text>
    </comment>
    <comment ref="Q4" authorId="0" shapeId="0">
      <text>
        <t>NOTES / CONDITIONS
Lot numbers, density altitude during confirmation, brass annealing notes, weather, anything that helps repeat the load.</t>
      </text>
    </comment>
  </commentList>
</comments>
</file>

<file path=xl/comments/comment7.xml><?xml version="1.0" encoding="utf-8"?>
<comments xmlns="http://schemas.openxmlformats.org/spreadsheetml/2006/main">
  <authors>
    <author>Notes</author>
  </authors>
  <commentList>
    <comment ref="A8" authorId="0" shapeId="0">
      <text>
        <t>RANGE (YD)
Distance to target in yards. Standard increments 100→1000.</t>
      </text>
    </comment>
    <comment ref="B8" authorId="0" shapeId="0">
      <text>
        <t>MILS — ELEV
Elevation hold in MILS for this distance. Pull from your ballistic app or measured DOPE. Mil scopes typically: 1 click = 0.1 mil.</t>
      </text>
    </comment>
    <comment ref="C8" authorId="0" shapeId="0">
      <text>
        <t>MIL CLICKS
Number of clicks UP from your zero. Auto = Mils × 10 (assumes 0.1 mil per click).</t>
      </text>
    </comment>
    <comment ref="D8" authorId="0" shapeId="0">
      <text>
        <t>MOA — ELEV
Elevation hold in MOA for this distance. MOA scopes typically: 1 click = 1/4 MOA = 0.25 MOA.</t>
      </text>
    </comment>
    <comment ref="E8" authorId="0" shapeId="0">
      <text>
        <t>MOA CLICKS
Auto = MOA × 4 (assumes 1/4 MOA per click).</t>
      </text>
    </comment>
    <comment ref="F8" authorId="0" shapeId="0">
      <text>
        <t>WIND MILS / 10 MPH
Mils of wind hold for a 10-mph FULL-VALUE crosswind (90°). Scale linearly: a 5 mph wind = half this; a 6 mph wind = 0.6×; a half-value (45°) wind = half.</t>
      </text>
    </comment>
    <comment ref="G8" authorId="0" shapeId="0">
      <text>
        <t>WIND MIL CLK
Auto = Wind Mils × 10.</t>
      </text>
    </comment>
    <comment ref="H8" authorId="0" shapeId="0">
      <text>
        <t>WIND MOA / 10 MPH
MOA of wind hold for a 10-mph full-value crosswind.</t>
      </text>
    </comment>
    <comment ref="I8" authorId="0" shapeId="0">
      <text>
        <t>WIND MOA CLK
Auto = Wind MOA × 4.</t>
      </text>
    </comment>
    <comment ref="J8" authorId="0" shapeId="0">
      <text>
        <t>TOF (SEC)
Time of flight (optional). Useful for moving-target leads. From your ballistic app.</t>
      </text>
    </comment>
    <comment ref="K8" authorId="0" shapeId="0">
      <text>
        <t>NOTES
Anything else: spin drift correction, atmospheric notes, alternate hold-overs, this DOPE's confirm-fired status.</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_rels/drawing2.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drawing1.xml><?xml version="1.0" encoding="utf-8"?>
<wsDr xmlns="http://schemas.openxmlformats.org/drawingml/2006/spreadsheetDrawing">
  <twoCellAnchor editAs="oneCell">
    <from>
      <col>0</col>
      <colOff>0</colOff>
      <row>28</row>
      <rowOff>0</rowOff>
    </from>
    <to>
      <col>16</col>
      <colOff>0</colOff>
      <row>44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50</row>
      <rowOff>0</rowOff>
    </from>
    <to>
      <col>16</col>
      <colOff>0</colOff>
      <row>66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72</row>
      <rowOff>0</rowOff>
    </from>
    <to>
      <col>16</col>
      <colOff>0</colOff>
      <row>90</row>
      <rowOff>149400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2.xml><?xml version="1.0" encoding="utf-8"?>
<wsDr xmlns="http://schemas.openxmlformats.org/drawingml/2006/spreadsheetDrawing">
  <twoCellAnchor editAs="oneCell">
    <from>
      <col>0</col>
      <colOff>0</colOff>
      <row>31</row>
      <rowOff>0</rowOff>
    </from>
    <to>
      <col>16</col>
      <colOff>0</colOff>
      <row>49</row>
      <rowOff>149400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53</row>
      <rowOff>0</rowOff>
    </from>
    <to>
      <col>16</col>
      <colOff>0</colOff>
      <row>71</row>
      <rowOff>149760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75</row>
      <rowOff>0</rowOff>
    </from>
    <to>
      <col>16</col>
      <colOff>0</colOff>
      <row>95</row>
      <rowOff>130680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editAs="oneCell">
    <from>
      <col>0</col>
      <colOff>0</colOff>
      <row>38</row>
      <rowOff>0</rowOff>
    </from>
    <to>
      <col>16</col>
      <colOff>0</colOff>
      <row>54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60</row>
      <rowOff>0</rowOff>
    </from>
    <to>
      <col>16</col>
      <colOff>0</colOff>
      <row>76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82</row>
      <rowOff>0</rowOff>
    </from>
    <to>
      <col>16</col>
      <colOff>0</colOff>
      <row>98</row>
      <rowOff>168840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Relationships xmlns="http://schemas.openxmlformats.org/package/2006/relationships"><Relationship Type="http://schemas.openxmlformats.org/officeDocument/2006/relationships/hyperlink" Target="#Charts!A1" TargetMode="External" Id="rId1"/><Relationship Type="http://schemas.openxmlformats.org/officeDocument/2006/relationships/drawing" Target="/xl/drawings/drawing1.xml" Id="rId2"/><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comments" Target="/xl/comments/comment2.xml" Id="comments"/><Relationship Type="http://schemas.openxmlformats.org/officeDocument/2006/relationships/vmlDrawing" Target="/xl/drawings/commentsDrawing2.vml" Id="anysvml"/><Relationship Id="rId2" Type="http://schemas.openxmlformats.org/officeDocument/2006/relationships/hyperlink" Target="https://loadscope.app/launch?action=reset-weights" TargetMode="External"/><Relationship Id="rId3" Type="http://schemas.openxmlformats.org/officeDocument/2006/relationships/hyperlink" Target="https://loadscope.app/launch?action=save-to-library" TargetMode="External"/></Relationships>
</file>

<file path=xl/worksheets/_rels/sheet4.xml.rels><Relationships xmlns="http://schemas.openxmlformats.org/package/2006/relationships"><Relationship Type="http://schemas.openxmlformats.org/officeDocument/2006/relationships/hyperlink" Target="#Charts!A1" TargetMode="External" Id="rId1"/><Relationship Type="http://schemas.openxmlformats.org/officeDocument/2006/relationships/drawing" Target="/xl/drawings/drawing3.xml" Id="rId2"/><Relationship Type="http://schemas.openxmlformats.org/officeDocument/2006/relationships/comments" Target="/xl/comments/comment3.xml" Id="comments"/><Relationship Type="http://schemas.openxmlformats.org/officeDocument/2006/relationships/vmlDrawing" Target="/xl/drawings/commentsDrawing3.vml" Id="anysvml"/><Relationship Id="rId3" Type="http://schemas.openxmlformats.org/officeDocument/2006/relationships/hyperlink" Target="https://loadscope.app/launch?action=reset-weights" TargetMode="External"/><Relationship Id="rId4" Type="http://schemas.openxmlformats.org/officeDocument/2006/relationships/hyperlink" Target="https://loadscope.app/launch?action=save-to-library" TargetMode="External"/></Relationships>
</file>

<file path=xl/worksheets/_rels/sheet5.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_rels/sheet6.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commentsDrawing5.vml" Id="anysvml"/></Relationships>
</file>

<file path=xl/worksheets/_rels/sheet7.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commentsDrawing6.vml" Id="anysvml"/></Relationships>
</file>

<file path=xl/worksheets/_rels/sheet8.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commentsDrawing7.vml" Id="anysvml"/><Relationship Id="rId1" Type="http://schemas.openxmlformats.org/officeDocument/2006/relationships/hyperlink" Target="https://loadscope.app/launch?action=print-pocket-card" TargetMode="External"/></Relationships>
</file>

<file path=xl/worksheets/sheet1.xml><?xml version="1.0" encoding="utf-8"?>
<worksheet xmlns="http://schemas.openxmlformats.org/spreadsheetml/2006/main">
  <sheetPr>
    <outlinePr summaryBelow="1" summaryRight="1"/>
    <pageSetUpPr fitToPage="1"/>
  </sheetPr>
  <dimension ref="A1:I24"/>
  <sheetViews>
    <sheetView showGridLines="0" showRowColHeaders="0" tabSelected="1" workbookViewId="0">
      <selection activeCell="A1" sqref="A1"/>
    </sheetView>
  </sheetViews>
  <sheetFormatPr baseColWidth="8" defaultRowHeight="15"/>
  <cols>
    <col width="18" customWidth="1" style="141" min="1" max="1"/>
    <col width="12" customWidth="1" style="141" min="2" max="2"/>
    <col width="12" customWidth="1" style="141" min="3" max="3"/>
    <col width="12" customWidth="1" style="141" min="4" max="4"/>
    <col width="12" customWidth="1" style="141" min="5" max="5"/>
    <col width="12" customWidth="1" style="141" min="6" max="6"/>
    <col width="12" customWidth="1" style="141" min="7" max="7"/>
    <col width="12" customWidth="1" style="141" min="8" max="8"/>
  </cols>
  <sheetData>
    <row r="1" ht="36" customHeight="1" s="141">
      <c r="A1" s="510" t="inlineStr">
        <is>
          <t>After Range Day</t>
        </is>
      </c>
      <c r="B1" s="309" t="n"/>
      <c r="C1" s="309" t="n"/>
      <c r="D1" s="309" t="n"/>
      <c r="E1" s="309" t="n"/>
      <c r="F1" s="309" t="n"/>
      <c r="G1" s="309" t="n"/>
      <c r="H1" s="309" t="n"/>
      <c r="I1" s="496" t="n"/>
    </row>
    <row r="2" ht="22" customHeight="1" s="141">
      <c r="A2" s="511" t="inlineStr">
        <is>
          <t>The 30-second workflow</t>
        </is>
      </c>
      <c r="B2" s="309" t="n"/>
      <c r="C2" s="309" t="n"/>
      <c r="D2" s="309" t="n"/>
      <c r="E2" s="309" t="n"/>
      <c r="F2" s="309" t="n"/>
      <c r="G2" s="309" t="n"/>
      <c r="H2" s="309" t="n"/>
      <c r="I2" s="496" t="n"/>
    </row>
    <row r="3" ht="92" customHeight="1" s="141">
      <c r="A3" s="512" t="inlineStr">
        <is>
          <t xml:space="preserve">1.  Open Loadscope from your /Applications folder.
2.  Drop your Garmin Xero and BallisticX CSV files into Loadscope. Two ways:
       •  Drag the files onto the Loadscope app icon in your Dock, OR
       •  Drag the files onto the drop zone inside the Loadscope window
3.  Click  Run Import.  Your workbook opens in Excel with all the data filled in.</t>
        </is>
      </c>
      <c r="B3" s="309" t="n"/>
      <c r="C3" s="309" t="n"/>
      <c r="D3" s="309" t="n"/>
      <c r="E3" s="309" t="n"/>
      <c r="F3" s="309" t="n"/>
      <c r="G3" s="309" t="n"/>
      <c r="H3" s="309" t="n"/>
      <c r="I3" s="496" t="n"/>
    </row>
    <row r="4" ht="22" customHeight="1" s="141">
      <c r="A4" s="143" t="inlineStr">
        <is>
          <t xml:space="preserve">After Import — what's on each tab
Look at the tabs at the bottom of the workbook. Here's what each one does and how to use it:
•  Load Log — Your powder ladder data. Fill in your bullet, powder, primer, and case info at the top. Pick your scope's click size from the dropdown next to "Click:" (0.1 Mil, 0.05 Mil, 1/4 MOA, or 1/8 MOA). The orange button jumps to the Charts tab.
•  Seating Depth — Your seating-depth test data. Each row is one jump distance. The orange button jumps to the Charts tab.
•  Charts — The "suggested best load" page. Loadscope ranks your powder ladder by a composite score. The orange Save button puts the winning load into Load Library. A second orange button resets the scoring weights to Loadscope's defaults.
•  Ballistics — Your scope's DOPE table (the come-ups for each distance). Fill in the values you got at the range. The orange button at the top prints a Pocket Range Card you can take to the field.
•  Load Library — Every confirmed load you've saved over time, one per row.</t>
        </is>
      </c>
      <c r="B4" s="496" t="n"/>
      <c r="C4" s="496" t="n"/>
      <c r="D4" s="496" t="n"/>
      <c r="E4" s="496" t="n"/>
      <c r="F4" s="496" t="n"/>
      <c r="G4" s="496" t="n"/>
      <c r="H4" s="496" t="n"/>
      <c r="I4" s="496" t="n"/>
    </row>
    <row r="5" ht="22" customHeight="1" s="141">
      <c r="A5" s="513" t="inlineStr">
        <is>
          <t xml:space="preserve">A.  Most range trips — adding to your CURRENT load cycle</t>
        </is>
      </c>
      <c r="B5" s="309" t="n"/>
      <c r="C5" s="309" t="n"/>
      <c r="D5" s="309" t="n"/>
      <c r="E5" s="309" t="n"/>
      <c r="F5" s="309" t="n"/>
      <c r="G5" s="309" t="n"/>
      <c r="H5" s="309" t="n"/>
      <c r="I5" s="496" t="n"/>
    </row>
    <row r="6" ht="340" customHeight="1" s="141">
      <c r="A6" s="514" t="inlineStr">
        <is>
          <t xml:space="preserve">1.  Get your range data off your iPhone or iPad:
       •  Garmin Xero (in ShotView): label every session before exporting (e.g. "P1 45.5 H4350"), then tap Share → CSV.
       •  BallisticX: tap Share on the group, choose CSV. Rename the file to match the label (e.g. "P1 45.5 H4350.csv").
2.  Get the CSV files onto your Mac. Any of these works:
       •  AirDrop the files from your iPhone to your Mac (they land in Downloads)
       •  Save them to iCloud Drive and grab them from your Mac
       •  Email them to yourself and save the attachments
3.  Open Loadscope from your /Applications folder.
4.  Drop the CSVs into Loadscope. Two ways:
       •  Drag the files onto the Loadscope app icon in your Dock, OR
       •  Drag the files onto the drop zone inside the Loadscope window
    Garmin files and BallisticX files can go in together — Loadscope sorts them into the right folders for you.
5.  Click  Run Import.  Your workbook opens in Excel with every row filled in.
6.  On the Load Log tab, fill in Date, Temp, and Notes in the Test Session row at the top. Also pick your scope's click size from the Click: dropdown if you haven't already.
7.  Press  Cmd+S  to save.</t>
        </is>
      </c>
      <c r="B6" s="309" t="n"/>
      <c r="C6" s="309" t="n"/>
      <c r="D6" s="309" t="n"/>
      <c r="E6" s="309" t="n"/>
      <c r="F6" s="309" t="n"/>
      <c r="G6" s="309" t="n"/>
      <c r="H6" s="309" t="n"/>
      <c r="I6" s="496" t="n"/>
    </row>
    <row r="7" ht="22" customHeight="1" s="141">
      <c r="A7" s="499" t="n"/>
      <c r="B7" s="496" t="n"/>
      <c r="C7" s="496" t="n"/>
      <c r="D7" s="496" t="n"/>
      <c r="E7" s="496" t="n"/>
      <c r="F7" s="496" t="n"/>
      <c r="G7" s="496" t="n"/>
      <c r="H7" s="496" t="n"/>
      <c r="I7" s="496" t="n"/>
    </row>
    <row r="8" ht="22" customHeight="1" s="141">
      <c r="A8" s="513" t="inlineStr">
        <is>
          <t xml:space="preserve">B.  Starting a NEW load cycle (different cartridge, bullet, or powder)</t>
        </is>
      </c>
      <c r="B8" s="309" t="n"/>
      <c r="C8" s="309" t="n"/>
      <c r="D8" s="309" t="n"/>
      <c r="E8" s="309" t="n"/>
      <c r="F8" s="309" t="n"/>
      <c r="G8" s="309" t="n"/>
      <c r="H8" s="309" t="n"/>
      <c r="I8" s="496" t="n"/>
    </row>
    <row r="9" ht="175" customHeight="1" s="141">
      <c r="A9" s="514" t="inlineStr">
        <is>
          <t xml:space="preserve">1.  In Loadscope, click  Workbook → Start New Cycle…
2.  Give the new cycle a name (for example,  "6.5CM 140 ELD-M H4350"). Loadscope will:
       •  Move your finished workbook into  Completed Loads/
       •  Archive your old CSVs in  Garmin Imports/  and  BallisticX Imports/  into dated subfolders (nothing is deleted)
       •  Create a fresh workbook from the template and make it your active one
3.  Keep going from Section A — drop the new range trip's CSVs onto Loadscope and click Run Import.
You never have to move files around by hand. The wizard takes care of it.</t>
        </is>
      </c>
      <c r="B9" s="309" t="n"/>
      <c r="C9" s="309" t="n"/>
      <c r="D9" s="309" t="n"/>
      <c r="E9" s="309" t="n"/>
      <c r="F9" s="309" t="n"/>
      <c r="G9" s="309" t="n"/>
      <c r="H9" s="309" t="n"/>
      <c r="I9" s="496" t="n"/>
    </row>
    <row r="10" ht="22" customHeight="1" s="141">
      <c r="A10" s="499" t="n"/>
      <c r="B10" s="496" t="n"/>
      <c r="C10" s="496" t="n"/>
      <c r="D10" s="496" t="n"/>
      <c r="E10" s="496" t="n"/>
      <c r="F10" s="496" t="n"/>
      <c r="G10" s="496" t="n"/>
      <c r="H10" s="496" t="n"/>
      <c r="I10" s="496" t="n"/>
    </row>
    <row r="11" ht="22" customHeight="1" s="141">
      <c r="A11" s="513" t="inlineStr">
        <is>
          <t>Label format:    &lt;tag&gt; &lt;number&gt; &lt;powder&gt;</t>
        </is>
      </c>
      <c r="B11" s="309" t="n"/>
      <c r="C11" s="309" t="n"/>
      <c r="D11" s="309" t="n"/>
      <c r="E11" s="309" t="n"/>
      <c r="F11" s="309" t="n"/>
      <c r="G11" s="309" t="n"/>
      <c r="H11" s="309" t="n"/>
      <c r="I11" s="496" t="n"/>
    </row>
    <row r="12" ht="100" customHeight="1" s="141">
      <c r="A12" s="515" t="inlineStr">
        <is>
          <t>P1 45.5 H4350              →  Powder Ladder, Load 1, 45.5 gr of H4350
S7 0.070 H4350             →  Seating Depth Test 7, 0.070" jump
CONFIRM-1 41.5 H4350       →  Confirmation group
Use the same label for the matching Garmin session and BallisticX file. The first word (P1, S7, CONFIRM-1) is the row tag that ties them together in the workbook.</t>
        </is>
      </c>
      <c r="B12" s="309" t="n"/>
      <c r="C12" s="309" t="n"/>
      <c r="D12" s="309" t="n"/>
      <c r="E12" s="309" t="n"/>
      <c r="F12" s="309" t="n"/>
      <c r="G12" s="309" t="n"/>
      <c r="H12" s="309" t="n"/>
      <c r="I12" s="496" t="n"/>
    </row>
    <row r="13" ht="22" customHeight="1" s="141">
      <c r="A13" s="499" t="n"/>
      <c r="B13" s="496" t="n"/>
      <c r="C13" s="496" t="n"/>
      <c r="D13" s="496" t="n"/>
      <c r="E13" s="496" t="n"/>
      <c r="F13" s="496" t="n"/>
      <c r="G13" s="496" t="n"/>
      <c r="H13" s="496" t="n"/>
      <c r="I13" s="496" t="n"/>
    </row>
    <row r="14" ht="22" customHeight="1" s="141">
      <c r="A14" s="513" t="inlineStr">
        <is>
          <t xml:space="preserve">If something looks wrong</t>
        </is>
      </c>
      <c r="B14" s="309" t="n"/>
      <c r="C14" s="309" t="n"/>
      <c r="D14" s="309" t="n"/>
      <c r="E14" s="309" t="n"/>
      <c r="F14" s="309" t="n"/>
      <c r="G14" s="309" t="n"/>
      <c r="H14" s="309" t="n"/>
      <c r="I14" s="496" t="n"/>
    </row>
    <row r="15" ht="195" customHeight="1" s="141">
      <c r="A15" s="514" t="inlineStr">
        <is>
          <t xml:space="preserve">•  A row stays blank after import  →  The first word of the Garmin label or BallisticX file name must match the row's tag (P1, P2, S1, S7, etc.).
•  Charge or Jump value is blank  →  The label was missing the number or had a typo. Open the Garmin Xero Import or BallisticX Import tab and fix it directly.
•  Loadscope won't run the import  →  Excel is probably open. Close Excel (Cmd+Q) and click Run Import again.
•  Click counts on Ballistics look way off  →  Check the Click: dropdown on the Load Log tab. Pick the right one for your scope (0.1 Mil is the most common for tactical Mil scopes; 1/4 MOA for most MOA scopes).
•  Charts tab Suggested Charge is blank  →  You need both Garmin AND BallisticX data for that row. Make sure both tagged files were imported.
•  Cell shows your typed value instead of filling in automatically  →  You overwrote a formula. Email support@loadscope.app and we'll repair it.
•  Loadscope shows a SAFETY STOP message  →  No CSVs were found. Drop your CSVs onto the Loadscope window or Dock icon and try again.
•  Can't find the Garmin Imports or BallisticX Imports folders?  →  Loadscope creates them automatically the first time you open the app. They live inside your project folder.</t>
        </is>
      </c>
      <c r="B15" s="309" t="n"/>
      <c r="C15" s="309" t="n"/>
      <c r="D15" s="309" t="n"/>
      <c r="E15" s="309" t="n"/>
      <c r="F15" s="309" t="n"/>
      <c r="G15" s="309" t="n"/>
      <c r="H15" s="309" t="n"/>
      <c r="I15" s="496" t="n"/>
    </row>
    <row r="16" ht="22" customHeight="1" s="141">
      <c r="A16" s="499" t="n"/>
      <c r="B16" s="496" t="n"/>
      <c r="C16" s="496" t="n"/>
      <c r="D16" s="496" t="n"/>
      <c r="E16" s="496" t="n"/>
      <c r="F16" s="496" t="n"/>
      <c r="G16" s="496" t="n"/>
      <c r="H16" s="496" t="n"/>
      <c r="I16" s="496" t="n"/>
    </row>
    <row r="17" ht="30" customHeight="1" s="141">
      <c r="A17" s="531" t="inlineStr">
        <is>
          <t>Need more help?  See  Loadscope — Quick Start.docx  in your project folder, or email  support@loadscope.app   ·   🖨  Cmd+P to print this page</t>
        </is>
      </c>
      <c r="I17" s="496" t="n"/>
    </row>
    <row r="18">
      <c r="A18" s="496" t="n"/>
      <c r="B18" s="496" t="n"/>
      <c r="C18" s="496" t="n"/>
      <c r="D18" s="496" t="n"/>
      <c r="E18" s="496" t="n"/>
      <c r="F18" s="496" t="n"/>
      <c r="G18" s="496" t="n"/>
      <c r="H18" s="496" t="n"/>
      <c r="I18" s="496" t="n"/>
    </row>
    <row r="19">
      <c r="A19" s="496" t="n"/>
      <c r="B19" s="496" t="n"/>
      <c r="C19" s="496" t="n"/>
      <c r="D19" s="496" t="n"/>
      <c r="E19" s="496" t="n"/>
      <c r="F19" s="496" t="n"/>
      <c r="G19" s="496" t="n"/>
      <c r="H19" s="496" t="n"/>
      <c r="I19" s="496" t="n"/>
    </row>
    <row r="20">
      <c r="A20" s="496" t="n"/>
      <c r="B20" s="496" t="n"/>
      <c r="C20" s="496" t="n"/>
      <c r="D20" s="496" t="n"/>
      <c r="E20" s="496" t="n"/>
      <c r="F20" s="496" t="n"/>
      <c r="G20" s="496" t="n"/>
      <c r="H20" s="496" t="n"/>
      <c r="I20" s="496" t="n"/>
    </row>
    <row r="21">
      <c r="A21" s="496" t="n"/>
      <c r="B21" s="496" t="n"/>
      <c r="C21" s="496" t="n"/>
      <c r="D21" s="496" t="n"/>
      <c r="E21" s="496" t="n"/>
      <c r="F21" s="496" t="n"/>
      <c r="G21" s="496" t="n"/>
      <c r="H21" s="496" t="n"/>
      <c r="I21" s="496" t="n"/>
    </row>
    <row r="22">
      <c r="A22" s="496" t="n"/>
      <c r="B22" s="496" t="n"/>
      <c r="C22" s="496" t="n"/>
      <c r="D22" s="496" t="n"/>
      <c r="E22" s="496" t="n"/>
      <c r="F22" s="496" t="n"/>
      <c r="G22" s="496" t="n"/>
      <c r="H22" s="496" t="n"/>
      <c r="I22" s="496" t="n"/>
    </row>
    <row r="23">
      <c r="A23" s="496" t="n"/>
      <c r="B23" s="496" t="n"/>
      <c r="C23" s="496" t="n"/>
      <c r="D23" s="496" t="n"/>
      <c r="E23" s="496" t="n"/>
      <c r="F23" s="496" t="n"/>
      <c r="G23" s="496" t="n"/>
      <c r="H23" s="496" t="n"/>
      <c r="I23" s="496" t="n"/>
    </row>
    <row r="24">
      <c r="A24" s="496" t="n"/>
      <c r="B24" s="496" t="n"/>
      <c r="C24" s="496" t="n"/>
      <c r="D24" s="496" t="n"/>
      <c r="E24" s="496" t="n"/>
      <c r="F24" s="496" t="n"/>
      <c r="G24" s="496" t="n"/>
      <c r="H24" s="496" t="n"/>
      <c r="I24" s="496" t="n"/>
    </row>
  </sheetData>
  <sheetProtection selectLockedCells="0" selectUnlockedCells="0" sheet="1" objects="0" insertRows="1" insertHyperlinks="1" autoFilter="0" scenarios="0" formatColumns="0" deleteColumns="1" insertColumns="1" pivotTables="1" deleteRows="1" formatCells="0" formatRows="0" sort="0"/>
  <mergeCells count="12">
    <mergeCell ref="A9:H9"/>
    <mergeCell ref="A12:H12"/>
    <mergeCell ref="A1:H1"/>
    <mergeCell ref="A3:H3"/>
    <mergeCell ref="A15:H15"/>
    <mergeCell ref="A2:H2"/>
    <mergeCell ref="A11:H11"/>
    <mergeCell ref="A14:H14"/>
    <mergeCell ref="A5:H5"/>
    <mergeCell ref="A8:H8"/>
    <mergeCell ref="A6:H6"/>
    <mergeCell ref="A17:H17"/>
    <mergeCell ref="A4:H4"/>
  </mergeCells>
  <printOptions horizontalCentered="1" headings="0" gridLines="0"/>
  <pageMargins left="0.25" right="0.25" top="0.5" bottom="0.5" header="0.25" footer="0.25"/>
  <pageSetup orientation="landscape" paperSize="1" fitToHeight="1" fitToWidth="1"/>
  <headerFooter>
    <oddHeader>&amp;L&amp;"Calibri,Italic"&amp;8 &amp;"Calibri,Italic"&amp;8 &amp;F&amp;C&amp;"Calibri,Bold"&amp;10 &amp;"Calibri,Bold"&amp;10 &amp;A&amp;R&amp;"Calibri,Italic"&amp;8 &amp;"Calibri,Italic"&amp;8 Page &amp;P of &amp;N</oddHeader>
    <oddFooter/>
    <evenHeader/>
    <evenFooter/>
    <firstHeader/>
    <firstFooter/>
  </headerFooter>
</worksheet>
</file>

<file path=xl/worksheets/sheet2.xml><?xml version="1.0" encoding="utf-8"?>
<worksheet xmlns="http://schemas.openxmlformats.org/spreadsheetml/2006/main">
  <sheetPr filterMode="0">
    <outlinePr summaryBelow="1" summaryRight="1"/>
    <pageSetUpPr fitToPage="1"/>
  </sheetPr>
  <dimension ref="A1:AG3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8" customWidth="1" style="140" min="1" max="7"/>
    <col width="8" customWidth="1" style="141" min="2" max="2"/>
    <col width="7" customWidth="1" style="141" min="3" max="3"/>
    <col width="7" customWidth="1" style="141" min="4" max="4"/>
    <col width="8" customWidth="1" style="141" min="5" max="5"/>
    <col width="9" customWidth="1" style="141" min="6" max="6"/>
    <col width="7" customWidth="1" style="141" min="7" max="7"/>
    <col width="8" customWidth="1" style="140" min="8" max="14"/>
    <col width="8" customWidth="1" style="141" min="9" max="9"/>
    <col width="6" customWidth="1" style="141" min="10" max="10"/>
    <col width="12" customWidth="1" style="141" min="11" max="11"/>
    <col width="8" customWidth="1" style="141" min="12" max="12"/>
    <col width="10" customWidth="1" style="141" min="13" max="13"/>
    <col width="8" customWidth="1" style="141" min="14" max="14"/>
    <col width="11" customWidth="1" style="140" min="15" max="33"/>
    <col width="12" customWidth="1" style="141" min="16" max="16"/>
  </cols>
  <sheetData>
    <row r="1" ht="31.5" customHeight="1" s="141">
      <c r="A1" s="316" t="inlineStr">
        <is>
          <t>Powder Charge Test — Best Charge Finder</t>
        </is>
      </c>
      <c r="B1" s="309" t="n"/>
      <c r="C1" s="309" t="n"/>
      <c r="D1" s="309" t="n"/>
      <c r="E1" s="309" t="n"/>
      <c r="F1" s="309" t="n"/>
      <c r="G1" s="309" t="n"/>
      <c r="H1" s="309" t="n"/>
      <c r="I1" s="309" t="n"/>
      <c r="J1" s="309" t="n"/>
      <c r="K1" s="309" t="n"/>
      <c r="L1" s="309" t="n"/>
      <c r="M1" s="309" t="n"/>
      <c r="N1" s="309" t="n"/>
      <c r="O1" s="309" t="n"/>
      <c r="P1" s="309" t="n"/>
      <c r="Q1" s="317" t="n"/>
      <c r="R1" s="317" t="n"/>
      <c r="S1" s="317" t="n"/>
      <c r="T1" s="317" t="n"/>
      <c r="U1" s="317" t="n"/>
      <c r="V1" s="317" t="n"/>
      <c r="W1" s="317" t="n"/>
      <c r="X1" s="317" t="n"/>
      <c r="Y1" s="317" t="n"/>
      <c r="Z1" s="317" t="n"/>
      <c r="AA1" s="317" t="n"/>
      <c r="AB1" s="317" t="n"/>
      <c r="AC1" s="317" t="n"/>
      <c r="AD1" s="317" t="n"/>
      <c r="AE1" s="317" t="n"/>
      <c r="AF1" s="317" t="n"/>
      <c r="AG1" s="317" t="n"/>
    </row>
    <row r="2" ht="33.75" customHeight="1" s="141">
      <c r="A2" s="521" t="inlineStr">
        <is>
          <t>SUGGESTED CHARGE →</t>
        </is>
      </c>
      <c r="B2" s="309" t="n"/>
      <c r="C2" s="309" t="n"/>
      <c r="D2" s="539">
        <f>Charts!B3</f>
        <v/>
      </c>
      <c r="F2" s="521" t="inlineStr">
        <is>
          <t>Avg Vel:</t>
        </is>
      </c>
      <c r="G2" s="540">
        <f>Charts!E5</f>
        <v/>
      </c>
      <c r="I2" s="521" t="inlineStr">
        <is>
          <t>SD:</t>
        </is>
      </c>
      <c r="J2" s="539">
        <f>Charts!G3</f>
        <v/>
      </c>
      <c r="K2" s="521" t="inlineStr">
        <is>
          <t>MR:</t>
        </is>
      </c>
      <c r="L2" s="541">
        <f>Charts!G4</f>
        <v/>
      </c>
      <c r="M2" s="578" t="inlineStr">
        <is>
          <r>
            <rPr>
              <b/>
              <sz val="12"/>
              <color rgb="FFFFFFFF"/>
              <rFont val="Calibri"/>
            </rPr>
            <t xml:space="preserve">Best in:  </t>
          </r>
        </is>
      </c>
      <c r="Q2" s="317" t="n"/>
      <c r="R2" s="317" t="n"/>
      <c r="S2" s="317" t="n"/>
      <c r="T2" s="317" t="n"/>
      <c r="U2" s="317" t="n"/>
      <c r="V2" s="317" t="n"/>
      <c r="W2" s="317" t="n"/>
      <c r="X2" s="317" t="n"/>
      <c r="Y2" s="317" t="n"/>
      <c r="Z2" s="317" t="n"/>
      <c r="AA2" s="317" t="n"/>
      <c r="AB2" s="317" t="n"/>
      <c r="AC2" s="317" t="n"/>
      <c r="AD2" s="317" t="n"/>
      <c r="AE2" s="317" t="n"/>
      <c r="AF2" s="317" t="n"/>
      <c r="AG2" s="317" t="n"/>
    </row>
    <row r="3" ht="24" customHeight="1" s="141">
      <c r="A3" s="406" t="inlineStr">
        <is>
          <t>↓  Click here to jump to the Charts sheet (Suggested Best Load)  ↓</t>
        </is>
      </c>
      <c r="B3" s="309" t="n"/>
      <c r="C3" s="309" t="n"/>
      <c r="D3" s="309" t="n"/>
      <c r="E3" s="309" t="n"/>
      <c r="F3" s="309" t="n"/>
      <c r="G3" s="309" t="n"/>
      <c r="H3" s="309" t="n"/>
      <c r="I3" s="309" t="n"/>
      <c r="J3" s="309" t="n"/>
      <c r="K3" s="309" t="n"/>
      <c r="L3" s="309" t="n"/>
      <c r="M3" s="309" t="n"/>
      <c r="N3" s="309" t="n"/>
      <c r="O3" s="309" t="n"/>
      <c r="P3" s="309" t="n"/>
      <c r="Q3" s="317" t="n"/>
      <c r="R3" s="317" t="n"/>
      <c r="S3" s="317" t="n"/>
      <c r="T3" s="317" t="n"/>
      <c r="U3" s="317" t="n"/>
      <c r="V3" s="317" t="n"/>
      <c r="W3" s="317" t="n"/>
      <c r="X3" s="317" t="n"/>
      <c r="Y3" s="317" t="n"/>
      <c r="Z3" s="317" t="n"/>
      <c r="AA3" s="317" t="n"/>
      <c r="AB3" s="317" t="n"/>
      <c r="AC3" s="317" t="n"/>
      <c r="AD3" s="317" t="n"/>
      <c r="AE3" s="317" t="n"/>
      <c r="AF3" s="317" t="n"/>
      <c r="AG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09" t="n"/>
      <c r="Q4" s="317" t="n"/>
      <c r="R4" s="317" t="n"/>
      <c r="S4" s="317" t="n"/>
      <c r="T4" s="317" t="n"/>
      <c r="U4" s="317" t="n"/>
      <c r="V4" s="317" t="n"/>
      <c r="W4" s="317" t="n"/>
      <c r="X4" s="317" t="n"/>
      <c r="Y4" s="317" t="n"/>
      <c r="Z4" s="317" t="n"/>
      <c r="AA4" s="317" t="n"/>
      <c r="AB4" s="317" t="n"/>
      <c r="AC4" s="317" t="n"/>
      <c r="AD4" s="317" t="n"/>
      <c r="AE4" s="317" t="n"/>
      <c r="AF4" s="317" t="n"/>
      <c r="AG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2" t="n"/>
      <c r="P5" s="323" t="n"/>
      <c r="Q5" s="317" t="n"/>
      <c r="R5" s="317" t="n"/>
      <c r="S5" s="317" t="n"/>
      <c r="T5" s="317" t="n"/>
      <c r="U5" s="317" t="n"/>
      <c r="V5" s="317" t="n"/>
      <c r="W5" s="317" t="n"/>
      <c r="X5" s="317" t="n"/>
      <c r="Y5" s="317" t="n"/>
      <c r="Z5" s="317" t="n"/>
      <c r="AA5" s="317" t="n"/>
      <c r="AB5" s="317" t="n"/>
      <c r="AC5" s="317" t="n"/>
      <c r="AD5" s="317" t="n"/>
      <c r="AE5" s="317" t="n"/>
      <c r="AF5" s="317" t="n"/>
      <c r="AG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2" t="n"/>
      <c r="P6" s="323" t="n"/>
      <c r="Q6" s="317" t="n"/>
      <c r="R6" s="317" t="n"/>
      <c r="S6" s="317" t="n"/>
      <c r="T6" s="317" t="n"/>
      <c r="U6" s="317" t="n"/>
      <c r="V6" s="317" t="n"/>
      <c r="W6" s="317" t="n"/>
      <c r="X6" s="317" t="n"/>
      <c r="Y6" s="317" t="n"/>
      <c r="Z6" s="317" t="n"/>
      <c r="AA6" s="317" t="n"/>
      <c r="AB6" s="317" t="n"/>
      <c r="AC6" s="317" t="n"/>
      <c r="AD6" s="317" t="n"/>
      <c r="AE6" s="317" t="n"/>
      <c r="AF6" s="317" t="n"/>
      <c r="AG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row>
    <row r="8" ht="24" customHeight="1" s="141">
      <c r="A8" s="324" t="inlineStr">
        <is>
          <t>LOAD COMPONENTS  (constants for this powder ladder)</t>
        </is>
      </c>
      <c r="B8" s="309" t="n"/>
      <c r="C8" s="309" t="n"/>
      <c r="D8" s="309" t="n"/>
      <c r="E8" s="309" t="n"/>
      <c r="F8" s="309" t="n"/>
      <c r="G8" s="309" t="n"/>
      <c r="H8" s="309" t="n"/>
      <c r="I8" s="309" t="n"/>
      <c r="J8" s="309" t="n"/>
      <c r="K8" s="309" t="n"/>
      <c r="L8" s="309" t="n"/>
      <c r="M8" s="309" t="n"/>
      <c r="N8" s="309" t="n"/>
      <c r="O8" s="309" t="n"/>
      <c r="P8" s="309" t="n"/>
      <c r="Q8" s="317" t="n"/>
      <c r="R8" s="317" t="n"/>
      <c r="S8" s="317" t="n"/>
      <c r="T8" s="317" t="n"/>
      <c r="U8" s="317" t="n"/>
      <c r="V8" s="317" t="n"/>
      <c r="W8" s="317" t="n"/>
      <c r="X8" s="317" t="n"/>
      <c r="Y8" s="317" t="n"/>
      <c r="Z8" s="317" t="n"/>
      <c r="AA8" s="317" t="n"/>
      <c r="AB8" s="317" t="n"/>
      <c r="AC8" s="317" t="n"/>
      <c r="AD8" s="317" t="n"/>
      <c r="AE8" s="317" t="n"/>
      <c r="AF8" s="317" t="n"/>
      <c r="AG8" s="317" t="n"/>
    </row>
    <row r="9" ht="31.5" customHeight="1" s="141">
      <c r="A9" s="325" t="inlineStr">
        <is>
          <t>Bullet:</t>
        </is>
      </c>
      <c r="B9" s="326" t="n"/>
      <c r="C9" s="322" t="n"/>
      <c r="D9" s="322" t="n"/>
      <c r="E9" s="323" t="n"/>
      <c r="F9" s="168" t="inlineStr">
        <is>
          <t>Powder:</t>
        </is>
      </c>
      <c r="G9" s="169">
        <f>IFERROR(LOOKUP(2,1/(GarminSessions!$C$2:$C$200&lt;&gt;""),GarminSessions!$C$2:$C$200),"")</f>
        <v/>
      </c>
      <c r="H9" s="165" t="n"/>
      <c r="I9" s="165" t="n"/>
      <c r="J9" s="166" t="n"/>
      <c r="K9" s="325" t="inlineStr">
        <is>
          <t>Primer:</t>
        </is>
      </c>
      <c r="L9" s="326" t="n"/>
      <c r="M9" s="323" t="n"/>
      <c r="N9" s="325" t="inlineStr">
        <is>
          <t>Brass:</t>
        </is>
      </c>
      <c r="O9" s="169" t="n"/>
      <c r="P9" s="166" t="n"/>
      <c r="Q9" s="317" t="n"/>
      <c r="R9" s="317" t="n"/>
      <c r="S9" s="317" t="n"/>
      <c r="T9" s="317" t="n"/>
      <c r="U9" s="317" t="n"/>
      <c r="V9" s="317" t="n"/>
      <c r="W9" s="317" t="n"/>
      <c r="X9" s="317" t="n"/>
      <c r="Y9" s="317" t="n"/>
      <c r="Z9" s="317" t="n"/>
      <c r="AA9" s="317" t="n"/>
      <c r="AB9" s="317" t="n"/>
      <c r="AC9" s="317" t="n"/>
      <c r="AD9" s="317" t="n"/>
      <c r="AE9" s="317" t="n"/>
      <c r="AF9" s="317" t="n"/>
      <c r="AG9" s="317" t="n"/>
    </row>
    <row r="10" ht="31.5" customHeight="1" s="141">
      <c r="A10" s="325" t="inlineStr">
        <is>
          <t>CBTO:</t>
        </is>
      </c>
      <c r="B10" s="327" t="n"/>
      <c r="C10" s="322" t="n"/>
      <c r="D10" s="322" t="n"/>
      <c r="E10" s="323" t="n"/>
      <c r="F10" s="325" t="inlineStr">
        <is>
          <t>OAL:</t>
        </is>
      </c>
      <c r="G10" s="328" t="n"/>
      <c r="H10" s="322" t="n"/>
      <c r="I10" s="322" t="n"/>
      <c r="J10" s="323" t="n"/>
      <c r="K10" s="325" t="inlineStr">
        <is>
          <t>Dist:</t>
        </is>
      </c>
      <c r="L10" s="329" t="n"/>
      <c r="M10" s="322" t="n"/>
      <c r="N10" s="322" t="n"/>
      <c r="O10" s="322" t="n"/>
      <c r="P10" s="323" t="n"/>
      <c r="Q10" s="317" t="n"/>
      <c r="R10" s="317" t="n"/>
      <c r="S10" s="317" t="n"/>
      <c r="T10" s="317" t="n"/>
      <c r="U10" s="317" t="n"/>
      <c r="V10" s="317" t="n"/>
      <c r="W10" s="317" t="n"/>
      <c r="X10" s="317" t="n"/>
      <c r="Y10" s="317" t="n"/>
      <c r="Z10" s="317" t="n"/>
      <c r="AA10" s="317" t="n"/>
      <c r="AB10" s="317" t="n"/>
      <c r="AC10" s="317" t="n"/>
      <c r="AD10" s="317" t="n"/>
      <c r="AE10" s="317" t="n"/>
      <c r="AF10" s="317" t="n"/>
      <c r="AG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09" t="n"/>
      <c r="Q12" s="317" t="n"/>
      <c r="R12" s="317" t="n"/>
      <c r="S12" s="317" t="n"/>
      <c r="T12" s="317" t="n"/>
      <c r="U12" s="317" t="n"/>
      <c r="V12" s="317" t="n"/>
      <c r="W12" s="317" t="n"/>
      <c r="X12" s="317" t="n"/>
      <c r="Y12" s="317" t="n"/>
      <c r="Z12" s="317" t="n"/>
      <c r="AA12" s="317" t="n"/>
      <c r="AB12" s="317" t="n"/>
      <c r="AC12" s="317" t="n"/>
      <c r="AD12" s="317" t="n"/>
      <c r="AE12" s="317" t="n"/>
      <c r="AF12" s="317" t="n"/>
      <c r="AG12" s="317" t="n"/>
    </row>
    <row r="13" ht="31.5" customHeight="1" s="141">
      <c r="A13" s="330" t="inlineStr">
        <is>
          <t>Date:</t>
        </is>
      </c>
      <c r="B13" s="331" t="n"/>
      <c r="C13" s="322" t="n"/>
      <c r="D13" s="322" t="n"/>
      <c r="E13" s="323" t="n"/>
      <c r="F13" s="330" t="inlineStr">
        <is>
          <t>Temp:</t>
        </is>
      </c>
      <c r="G13" s="332" t="n"/>
      <c r="H13" s="322" t="n"/>
      <c r="I13" s="322" t="n"/>
      <c r="J13" s="323" t="n"/>
      <c r="K13" s="330" t="inlineStr">
        <is>
          <t>Notes:</t>
        </is>
      </c>
      <c r="L13" s="331" t="n"/>
      <c r="M13" s="322" t="n"/>
      <c r="N13" s="322" t="n"/>
      <c r="O13" s="322" t="n"/>
      <c r="P13" s="323" t="n"/>
      <c r="Q13" s="317" t="n"/>
      <c r="R13" s="317" t="n"/>
      <c r="S13" s="317" t="n"/>
      <c r="T13" s="317" t="n"/>
      <c r="U13" s="317" t="n"/>
      <c r="V13" s="317" t="n"/>
      <c r="W13" s="317" t="n"/>
      <c r="X13" s="317" t="n"/>
      <c r="Y13" s="317" t="n"/>
      <c r="Z13" s="317" t="n"/>
      <c r="AA13" s="317" t="n"/>
      <c r="AB13" s="317" t="n"/>
      <c r="AC13" s="317" t="n"/>
      <c r="AD13" s="317" t="n"/>
      <c r="AE13" s="317" t="n"/>
      <c r="AF13" s="317" t="n"/>
      <c r="AG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row>
    <row r="15" ht="48" customHeight="1" s="141">
      <c r="A15" s="333" t="inlineStr">
        <is>
          <t>Load #</t>
        </is>
      </c>
      <c r="B15" s="333" t="inlineStr">
        <is>
          <t>Charge (gr)</t>
        </is>
      </c>
      <c r="C15" s="333" t="inlineStr">
        <is>
          <t>Shot 1</t>
        </is>
      </c>
      <c r="D15" s="333" t="inlineStr">
        <is>
          <t>Shot 2</t>
        </is>
      </c>
      <c r="E15" s="333" t="inlineStr">
        <is>
          <t>Shot 3</t>
        </is>
      </c>
      <c r="F15" s="333" t="inlineStr">
        <is>
          <t>Shot 4</t>
        </is>
      </c>
      <c r="G15" s="333" t="inlineStr">
        <is>
          <t>Shot 5</t>
        </is>
      </c>
      <c r="H15" s="333" t="inlineStr">
        <is>
          <t>Avg Vel</t>
        </is>
      </c>
      <c r="I15" s="333" t="inlineStr">
        <is>
          <t>ES</t>
        </is>
      </c>
      <c r="J15" s="333" t="inlineStr">
        <is>
          <t>SD</t>
        </is>
      </c>
      <c r="K15" s="333" t="inlineStr">
        <is>
          <t>Group (in)</t>
        </is>
      </c>
      <c r="L15" s="333" t="inlineStr">
        <is>
          <t>Vertical (in)</t>
        </is>
      </c>
      <c r="M15" s="333" t="inlineStr">
        <is>
          <t>Vertical SD (in)</t>
        </is>
      </c>
      <c r="N15" s="333" t="inlineStr">
        <is>
          <t>Mean Radius (in)</t>
        </is>
      </c>
      <c r="O15" s="333" t="inlineStr">
        <is>
          <t>Composite Score</t>
        </is>
      </c>
      <c r="P15" s="333" t="inlineStr">
        <is>
          <t>Winner</t>
        </is>
      </c>
      <c r="Q15" s="317" t="n"/>
      <c r="R15" s="317" t="n"/>
      <c r="S15" s="317" t="n"/>
      <c r="T15" s="317" t="n"/>
      <c r="U15" s="317" t="n"/>
      <c r="V15" s="317" t="n"/>
      <c r="W15" s="317" t="n"/>
      <c r="X15" s="317" t="n"/>
      <c r="Y15" s="317" t="n"/>
      <c r="Z15" s="317" t="n"/>
      <c r="AA15" s="317" t="n"/>
      <c r="AB15" s="317" t="n"/>
      <c r="AC15" s="317" t="n"/>
      <c r="AD15" s="317" t="n"/>
      <c r="AE15" s="317" t="n"/>
      <c r="AF15" s="317" t="n"/>
      <c r="AG15" s="317" t="n"/>
    </row>
    <row r="16" ht="18" customHeight="1" s="141">
      <c r="A16" s="534" t="n">
        <v>1</v>
      </c>
      <c r="B16" s="543">
        <f>IFERROR(LOOKUP(2,1/(GarminSessions!$A$2:$A$200="P1"),GarminSessions!$B$2:$B$200),NA())</f>
        <v/>
      </c>
      <c r="C16" s="544">
        <f>IF(OR('Garmin Xero Import'!E6="",'Garmin Xero Import'!E6=0),"",'Garmin Xero Import'!E6)</f>
        <v/>
      </c>
      <c r="D16" s="544">
        <f>IF(OR('Garmin Xero Import'!F6="",'Garmin Xero Import'!F6=0),"",'Garmin Xero Import'!F6)</f>
        <v/>
      </c>
      <c r="E16" s="544">
        <f>IF(OR('Garmin Xero Import'!G6="",'Garmin Xero Import'!G6=0),"",'Garmin Xero Import'!G6)</f>
        <v/>
      </c>
      <c r="F16" s="544">
        <f>IF(OR('Garmin Xero Import'!H6="",'Garmin Xero Import'!H6=0),"",'Garmin Xero Import'!H6)</f>
        <v/>
      </c>
      <c r="G16" s="544">
        <f>IF(OR('Garmin Xero Import'!I6="",'Garmin Xero Import'!I6=0),"",'Garmin Xero Import'!I6)</f>
        <v/>
      </c>
      <c r="H16" s="392">
        <f>IF(OR('Garmin Xero Import'!O6="",'Garmin Xero Import'!O6=0),NA(),'Garmin Xero Import'!O6)</f>
        <v/>
      </c>
      <c r="I16" s="392">
        <f>IF(OR('Garmin Xero Import'!Q6="",'Garmin Xero Import'!Q6=0),"",'Garmin Xero Import'!Q6)</f>
        <v/>
      </c>
      <c r="J16" s="392">
        <f>IF(OR('Garmin Xero Import'!P6="",'Garmin Xero Import'!P6=0),NA(),'Garmin Xero Import'!P6)</f>
        <v/>
      </c>
      <c r="K16" s="393">
        <f>IF(OR('BallisticX Import'!D6="",'BallisticX Import'!D6=0),NA(),'BallisticX Import'!D6)</f>
        <v/>
      </c>
      <c r="L16" s="393">
        <f>IF(OR('BallisticX Import'!F6="",'BallisticX Import'!F6=0),"",'BallisticX Import'!F6)</f>
        <v/>
      </c>
      <c r="M16" s="533">
        <f>IF(OR('BallisticX Import'!J6="",'BallisticX Import'!J6=0),"",'BallisticX Import'!J6)</f>
        <v/>
      </c>
      <c r="N16" s="534">
        <f>IF(OR('BallisticX Import'!G6="",'BallisticX Import'!G6=0),"",'BallisticX Import'!G6)</f>
        <v/>
      </c>
      <c r="O16" s="573">
        <f>IFERROR(INDEX(Charts!$L$18:$L$25,MATCH(B16,Charts!$A$18:$A$25,0)),NA())</f>
        <v/>
      </c>
      <c r="P16" s="545">
        <f>IF(AND(B16&lt;&gt;"",B16=Charts!$B$3),"⭐ WINNER","")</f>
        <v/>
      </c>
      <c r="Q16" s="317" t="n"/>
      <c r="R16" s="317" t="n"/>
      <c r="S16" s="317" t="n"/>
      <c r="T16" s="317" t="n"/>
      <c r="U16" s="317" t="n"/>
      <c r="V16" s="317" t="n"/>
      <c r="W16" s="317" t="n"/>
      <c r="X16" s="317" t="n"/>
      <c r="Y16" s="317" t="n"/>
      <c r="Z16" s="317" t="n"/>
      <c r="AA16" s="317" t="n"/>
      <c r="AB16" s="317" t="n"/>
      <c r="AC16" s="317" t="n"/>
      <c r="AD16" s="317" t="n"/>
      <c r="AE16" s="317" t="n"/>
      <c r="AF16" s="317" t="n"/>
      <c r="AG16" s="317" t="n"/>
    </row>
    <row r="17" ht="18" customHeight="1" s="141">
      <c r="A17" s="536" t="n">
        <v>2</v>
      </c>
      <c r="B17" s="546">
        <f>IFERROR(LOOKUP(2,1/(GarminSessions!$A$2:$A$200="P2"),GarminSessions!$B$2:$B$200),NA())</f>
        <v/>
      </c>
      <c r="C17" s="547">
        <f>IF(OR('Garmin Xero Import'!E7="",'Garmin Xero Import'!E7=0),"",'Garmin Xero Import'!E7)</f>
        <v/>
      </c>
      <c r="D17" s="547">
        <f>IF(OR('Garmin Xero Import'!F7="",'Garmin Xero Import'!F7=0),"",'Garmin Xero Import'!F7)</f>
        <v/>
      </c>
      <c r="E17" s="547">
        <f>IF(OR('Garmin Xero Import'!G7="",'Garmin Xero Import'!G7=0),"",'Garmin Xero Import'!G7)</f>
        <v/>
      </c>
      <c r="F17" s="547">
        <f>IF(OR('Garmin Xero Import'!H7="",'Garmin Xero Import'!H7=0),"",'Garmin Xero Import'!H7)</f>
        <v/>
      </c>
      <c r="G17" s="547">
        <f>IF(OR('Garmin Xero Import'!I7="",'Garmin Xero Import'!I7=0),"",'Garmin Xero Import'!I7)</f>
        <v/>
      </c>
      <c r="H17" s="394">
        <f>IF(OR('Garmin Xero Import'!O7="",'Garmin Xero Import'!O7=0),NA(),'Garmin Xero Import'!O7)</f>
        <v/>
      </c>
      <c r="I17" s="394">
        <f>IF(OR('Garmin Xero Import'!Q7="",'Garmin Xero Import'!Q7=0),"",'Garmin Xero Import'!Q7)</f>
        <v/>
      </c>
      <c r="J17" s="394">
        <f>IF(OR('Garmin Xero Import'!P7="",'Garmin Xero Import'!P7=0),NA(),'Garmin Xero Import'!P7)</f>
        <v/>
      </c>
      <c r="K17" s="395">
        <f>IF(OR('BallisticX Import'!D7="",'BallisticX Import'!D7=0),NA(),'BallisticX Import'!D7)</f>
        <v/>
      </c>
      <c r="L17" s="395">
        <f>IF(OR('BallisticX Import'!F7="",'BallisticX Import'!F7=0),"",'BallisticX Import'!F7)</f>
        <v/>
      </c>
      <c r="M17" s="535">
        <f>IF(OR('BallisticX Import'!J7="",'BallisticX Import'!J7=0),"",'BallisticX Import'!J7)</f>
        <v/>
      </c>
      <c r="N17" s="536">
        <f>IF(OR('BallisticX Import'!G7="",'BallisticX Import'!G7=0),"",'BallisticX Import'!G7)</f>
        <v/>
      </c>
      <c r="O17" s="573">
        <f>IFERROR(INDEX(Charts!$L$18:$L$25,MATCH(B17,Charts!$A$18:$A$25,0)),NA())</f>
        <v/>
      </c>
      <c r="P17" s="548">
        <f>IF(AND(B17&lt;&gt;"",B17=Charts!$B$3),"⭐ WINNER","")</f>
        <v/>
      </c>
      <c r="Q17" s="317" t="n"/>
      <c r="R17" s="317" t="n"/>
      <c r="S17" s="317" t="n"/>
      <c r="T17" s="317" t="n"/>
      <c r="U17" s="317" t="n"/>
      <c r="V17" s="317" t="n"/>
      <c r="W17" s="317" t="n"/>
      <c r="X17" s="317" t="n"/>
      <c r="Y17" s="317" t="n"/>
      <c r="Z17" s="317" t="n"/>
      <c r="AA17" s="317" t="n"/>
      <c r="AB17" s="317" t="n"/>
      <c r="AC17" s="317" t="n"/>
      <c r="AD17" s="317" t="n"/>
      <c r="AE17" s="317" t="n"/>
      <c r="AF17" s="317" t="n"/>
      <c r="AG17" s="317" t="n"/>
    </row>
    <row r="18" ht="18" customHeight="1" s="141">
      <c r="A18" s="534" t="n">
        <v>3</v>
      </c>
      <c r="B18" s="543">
        <f>IFERROR(LOOKUP(2,1/(GarminSessions!$A$2:$A$200="P3"),GarminSessions!$B$2:$B$200),NA())</f>
        <v/>
      </c>
      <c r="C18" s="544">
        <f>IF(OR('Garmin Xero Import'!E8="",'Garmin Xero Import'!E8=0),"",'Garmin Xero Import'!E8)</f>
        <v/>
      </c>
      <c r="D18" s="544">
        <f>IF(OR('Garmin Xero Import'!F8="",'Garmin Xero Import'!F8=0),"",'Garmin Xero Import'!F8)</f>
        <v/>
      </c>
      <c r="E18" s="544">
        <f>IF(OR('Garmin Xero Import'!G8="",'Garmin Xero Import'!G8=0),"",'Garmin Xero Import'!G8)</f>
        <v/>
      </c>
      <c r="F18" s="544">
        <f>IF(OR('Garmin Xero Import'!H8="",'Garmin Xero Import'!H8=0),"",'Garmin Xero Import'!H8)</f>
        <v/>
      </c>
      <c r="G18" s="544">
        <f>IF(OR('Garmin Xero Import'!I8="",'Garmin Xero Import'!I8=0),"",'Garmin Xero Import'!I8)</f>
        <v/>
      </c>
      <c r="H18" s="392">
        <f>IF(OR('Garmin Xero Import'!O8="",'Garmin Xero Import'!O8=0),NA(),'Garmin Xero Import'!O8)</f>
        <v/>
      </c>
      <c r="I18" s="392">
        <f>IF(OR('Garmin Xero Import'!Q8="",'Garmin Xero Import'!Q8=0),"",'Garmin Xero Import'!Q8)</f>
        <v/>
      </c>
      <c r="J18" s="392">
        <f>IF(OR('Garmin Xero Import'!P8="",'Garmin Xero Import'!P8=0),NA(),'Garmin Xero Import'!P8)</f>
        <v/>
      </c>
      <c r="K18" s="393">
        <f>IF(OR('BallisticX Import'!D8="",'BallisticX Import'!D8=0),NA(),'BallisticX Import'!D8)</f>
        <v/>
      </c>
      <c r="L18" s="393">
        <f>IF(OR('BallisticX Import'!F8="",'BallisticX Import'!F8=0),"",'BallisticX Import'!F8)</f>
        <v/>
      </c>
      <c r="M18" s="533">
        <f>IF(OR('BallisticX Import'!J8="",'BallisticX Import'!J8=0),"",'BallisticX Import'!J8)</f>
        <v/>
      </c>
      <c r="N18" s="534">
        <f>IF(OR('BallisticX Import'!G8="",'BallisticX Import'!G8=0),"",'BallisticX Import'!G8)</f>
        <v/>
      </c>
      <c r="O18" s="573">
        <f>IFERROR(INDEX(Charts!$L$18:$L$25,MATCH(B18,Charts!$A$18:$A$25,0)),NA())</f>
        <v/>
      </c>
      <c r="P18" s="545">
        <f>IF(AND(B18&lt;&gt;"",B18=Charts!$B$3),"⭐ WINNER","")</f>
        <v/>
      </c>
      <c r="Q18" s="317" t="n"/>
      <c r="R18" s="317" t="n"/>
      <c r="S18" s="317" t="n"/>
      <c r="T18" s="317" t="n"/>
      <c r="U18" s="317" t="n"/>
      <c r="V18" s="317" t="n"/>
      <c r="W18" s="317" t="n"/>
      <c r="X18" s="317" t="n"/>
      <c r="Y18" s="317" t="n"/>
      <c r="Z18" s="317" t="n"/>
      <c r="AA18" s="317" t="n"/>
      <c r="AB18" s="317" t="n"/>
      <c r="AC18" s="317" t="n"/>
      <c r="AD18" s="317" t="n"/>
      <c r="AE18" s="317" t="n"/>
      <c r="AF18" s="317" t="n"/>
      <c r="AG18" s="317" t="n"/>
    </row>
    <row r="19" ht="18" customHeight="1" s="141">
      <c r="A19" s="536" t="n">
        <v>4</v>
      </c>
      <c r="B19" s="546">
        <f>IFERROR(LOOKUP(2,1/(GarminSessions!$A$2:$A$200="P4"),GarminSessions!$B$2:$B$200),NA())</f>
        <v/>
      </c>
      <c r="C19" s="547">
        <f>IF(OR('Garmin Xero Import'!E9="",'Garmin Xero Import'!E9=0),"",'Garmin Xero Import'!E9)</f>
        <v/>
      </c>
      <c r="D19" s="547">
        <f>IF(OR('Garmin Xero Import'!F9="",'Garmin Xero Import'!F9=0),"",'Garmin Xero Import'!F9)</f>
        <v/>
      </c>
      <c r="E19" s="547">
        <f>IF(OR('Garmin Xero Import'!G9="",'Garmin Xero Import'!G9=0),"",'Garmin Xero Import'!G9)</f>
        <v/>
      </c>
      <c r="F19" s="547">
        <f>IF(OR('Garmin Xero Import'!H9="",'Garmin Xero Import'!H9=0),"",'Garmin Xero Import'!H9)</f>
        <v/>
      </c>
      <c r="G19" s="547">
        <f>IF(OR('Garmin Xero Import'!I9="",'Garmin Xero Import'!I9=0),"",'Garmin Xero Import'!I9)</f>
        <v/>
      </c>
      <c r="H19" s="394">
        <f>IF(OR('Garmin Xero Import'!O9="",'Garmin Xero Import'!O9=0),NA(),'Garmin Xero Import'!O9)</f>
        <v/>
      </c>
      <c r="I19" s="394">
        <f>IF(OR('Garmin Xero Import'!Q9="",'Garmin Xero Import'!Q9=0),"",'Garmin Xero Import'!Q9)</f>
        <v/>
      </c>
      <c r="J19" s="394">
        <f>IF(OR('Garmin Xero Import'!P9="",'Garmin Xero Import'!P9=0),NA(),'Garmin Xero Import'!P9)</f>
        <v/>
      </c>
      <c r="K19" s="395">
        <f>IF(OR('BallisticX Import'!D9="",'BallisticX Import'!D9=0),NA(),'BallisticX Import'!D9)</f>
        <v/>
      </c>
      <c r="L19" s="395">
        <f>IF(OR('BallisticX Import'!F9="",'BallisticX Import'!F9=0),"",'BallisticX Import'!F9)</f>
        <v/>
      </c>
      <c r="M19" s="535">
        <f>IF(OR('BallisticX Import'!J9="",'BallisticX Import'!J9=0),"",'BallisticX Import'!J9)</f>
        <v/>
      </c>
      <c r="N19" s="536">
        <f>IF(OR('BallisticX Import'!G9="",'BallisticX Import'!G9=0),"",'BallisticX Import'!G9)</f>
        <v/>
      </c>
      <c r="O19" s="573">
        <f>IFERROR(INDEX(Charts!$L$18:$L$25,MATCH(B19,Charts!$A$18:$A$25,0)),NA())</f>
        <v/>
      </c>
      <c r="P19" s="548">
        <f>IF(AND(B19&lt;&gt;"",B19=Charts!$B$3),"⭐ WINNER","")</f>
        <v/>
      </c>
      <c r="Q19" s="317" t="n"/>
      <c r="R19" s="317" t="n"/>
      <c r="S19" s="317" t="n"/>
      <c r="T19" s="317" t="n"/>
      <c r="U19" s="317" t="n"/>
      <c r="V19" s="317" t="n"/>
      <c r="W19" s="317" t="n"/>
      <c r="X19" s="317" t="n"/>
      <c r="Y19" s="317" t="n"/>
      <c r="Z19" s="317" t="n"/>
      <c r="AA19" s="317" t="n"/>
      <c r="AB19" s="317" t="n"/>
      <c r="AC19" s="317" t="n"/>
      <c r="AD19" s="317" t="n"/>
      <c r="AE19" s="317" t="n"/>
      <c r="AF19" s="317" t="n"/>
      <c r="AG19" s="317" t="n"/>
    </row>
    <row r="20" ht="18" customHeight="1" s="141">
      <c r="A20" s="534" t="n">
        <v>5</v>
      </c>
      <c r="B20" s="543">
        <f>IFERROR(LOOKUP(2,1/(GarminSessions!$A$2:$A$200="P5"),GarminSessions!$B$2:$B$200),NA())</f>
        <v/>
      </c>
      <c r="C20" s="544">
        <f>IF(OR('Garmin Xero Import'!E10="",'Garmin Xero Import'!E10=0),"",'Garmin Xero Import'!E10)</f>
        <v/>
      </c>
      <c r="D20" s="544">
        <f>IF(OR('Garmin Xero Import'!F10="",'Garmin Xero Import'!F10=0),"",'Garmin Xero Import'!F10)</f>
        <v/>
      </c>
      <c r="E20" s="544">
        <f>IF(OR('Garmin Xero Import'!G10="",'Garmin Xero Import'!G10=0),"",'Garmin Xero Import'!G10)</f>
        <v/>
      </c>
      <c r="F20" s="544">
        <f>IF(OR('Garmin Xero Import'!H10="",'Garmin Xero Import'!H10=0),"",'Garmin Xero Import'!H10)</f>
        <v/>
      </c>
      <c r="G20" s="544">
        <f>IF(OR('Garmin Xero Import'!I10="",'Garmin Xero Import'!I10=0),"",'Garmin Xero Import'!I10)</f>
        <v/>
      </c>
      <c r="H20" s="392">
        <f>IF(OR('Garmin Xero Import'!O10="",'Garmin Xero Import'!O10=0),NA(),'Garmin Xero Import'!O10)</f>
        <v/>
      </c>
      <c r="I20" s="392">
        <f>IF(OR('Garmin Xero Import'!Q10="",'Garmin Xero Import'!Q10=0),"",'Garmin Xero Import'!Q10)</f>
        <v/>
      </c>
      <c r="J20" s="392">
        <f>IF(OR('Garmin Xero Import'!P10="",'Garmin Xero Import'!P10=0),NA(),'Garmin Xero Import'!P10)</f>
        <v/>
      </c>
      <c r="K20" s="393">
        <f>IF(OR('BallisticX Import'!D10="",'BallisticX Import'!D10=0),NA(),'BallisticX Import'!D10)</f>
        <v/>
      </c>
      <c r="L20" s="393">
        <f>IF(OR('BallisticX Import'!F10="",'BallisticX Import'!F10=0),"",'BallisticX Import'!F10)</f>
        <v/>
      </c>
      <c r="M20" s="533">
        <f>IF(OR('BallisticX Import'!J10="",'BallisticX Import'!J10=0),"",'BallisticX Import'!J10)</f>
        <v/>
      </c>
      <c r="N20" s="534">
        <f>IF(OR('BallisticX Import'!G10="",'BallisticX Import'!G10=0),"",'BallisticX Import'!G10)</f>
        <v/>
      </c>
      <c r="O20" s="573">
        <f>IFERROR(INDEX(Charts!$L$18:$L$25,MATCH(B20,Charts!$A$18:$A$25,0)),NA())</f>
        <v/>
      </c>
      <c r="P20" s="545">
        <f>IF(AND(B20&lt;&gt;"",B20=Charts!$B$3),"⭐ WINNER","")</f>
        <v/>
      </c>
      <c r="Q20" s="317" t="n"/>
      <c r="R20" s="317" t="n"/>
      <c r="S20" s="317" t="n"/>
      <c r="T20" s="317" t="n"/>
      <c r="U20" s="317" t="n"/>
      <c r="V20" s="317" t="n"/>
      <c r="W20" s="317" t="n"/>
      <c r="X20" s="317" t="n"/>
      <c r="Y20" s="317" t="n"/>
      <c r="Z20" s="317" t="n"/>
      <c r="AA20" s="317" t="n"/>
      <c r="AB20" s="317" t="n"/>
      <c r="AC20" s="317" t="n"/>
      <c r="AD20" s="317" t="n"/>
      <c r="AE20" s="317" t="n"/>
      <c r="AF20" s="317" t="n"/>
      <c r="AG20" s="317" t="n"/>
    </row>
    <row r="21" ht="18" customHeight="1" s="141">
      <c r="A21" s="536" t="n">
        <v>6</v>
      </c>
      <c r="B21" s="546">
        <f>IFERROR(LOOKUP(2,1/(GarminSessions!$A$2:$A$200="P6"),GarminSessions!$B$2:$B$200),NA())</f>
        <v/>
      </c>
      <c r="C21" s="547">
        <f>IF(OR('Garmin Xero Import'!E11="",'Garmin Xero Import'!E11=0),"",'Garmin Xero Import'!E11)</f>
        <v/>
      </c>
      <c r="D21" s="547">
        <f>IF(OR('Garmin Xero Import'!F11="",'Garmin Xero Import'!F11=0),"",'Garmin Xero Import'!F11)</f>
        <v/>
      </c>
      <c r="E21" s="547">
        <f>IF(OR('Garmin Xero Import'!G11="",'Garmin Xero Import'!G11=0),"",'Garmin Xero Import'!G11)</f>
        <v/>
      </c>
      <c r="F21" s="547">
        <f>IF(OR('Garmin Xero Import'!H11="",'Garmin Xero Import'!H11=0),"",'Garmin Xero Import'!H11)</f>
        <v/>
      </c>
      <c r="G21" s="547">
        <f>IF(OR('Garmin Xero Import'!I11="",'Garmin Xero Import'!I11=0),"",'Garmin Xero Import'!I11)</f>
        <v/>
      </c>
      <c r="H21" s="394">
        <f>IF(OR('Garmin Xero Import'!O11="",'Garmin Xero Import'!O11=0),NA(),'Garmin Xero Import'!O11)</f>
        <v/>
      </c>
      <c r="I21" s="394">
        <f>IF(OR('Garmin Xero Import'!Q11="",'Garmin Xero Import'!Q11=0),"",'Garmin Xero Import'!Q11)</f>
        <v/>
      </c>
      <c r="J21" s="394">
        <f>IF(OR('Garmin Xero Import'!P11="",'Garmin Xero Import'!P11=0),NA(),'Garmin Xero Import'!P11)</f>
        <v/>
      </c>
      <c r="K21" s="395">
        <f>IF(OR('BallisticX Import'!D11="",'BallisticX Import'!D11=0),NA(),'BallisticX Import'!D11)</f>
        <v/>
      </c>
      <c r="L21" s="395">
        <f>IF(OR('BallisticX Import'!F11="",'BallisticX Import'!F11=0),"",'BallisticX Import'!F11)</f>
        <v/>
      </c>
      <c r="M21" s="535">
        <f>IF(OR('BallisticX Import'!J11="",'BallisticX Import'!J11=0),"",'BallisticX Import'!J11)</f>
        <v/>
      </c>
      <c r="N21" s="536">
        <f>IF(OR('BallisticX Import'!G11="",'BallisticX Import'!G11=0),"",'BallisticX Import'!G11)</f>
        <v/>
      </c>
      <c r="O21" s="573">
        <f>IFERROR(INDEX(Charts!$L$18:$L$25,MATCH(B21,Charts!$A$18:$A$25,0)),NA())</f>
        <v/>
      </c>
      <c r="P21" s="548">
        <f>IF(AND(B21&lt;&gt;"",B21=Charts!$B$3),"⭐ WINNER","")</f>
        <v/>
      </c>
      <c r="Q21" s="317" t="n"/>
      <c r="R21" s="317" t="n"/>
      <c r="S21" s="317" t="n"/>
      <c r="T21" s="317" t="n"/>
      <c r="U21" s="317" t="n"/>
      <c r="V21" s="317" t="n"/>
      <c r="W21" s="317" t="n"/>
      <c r="X21" s="317" t="n"/>
      <c r="Y21" s="317" t="n"/>
      <c r="Z21" s="317" t="n"/>
      <c r="AA21" s="317" t="n"/>
      <c r="AB21" s="317" t="n"/>
      <c r="AC21" s="317" t="n"/>
      <c r="AD21" s="317" t="n"/>
      <c r="AE21" s="317" t="n"/>
      <c r="AF21" s="317" t="n"/>
      <c r="AG21" s="317" t="n"/>
    </row>
    <row r="22" ht="18" customHeight="1" s="141">
      <c r="A22" s="534" t="n">
        <v>7</v>
      </c>
      <c r="B22" s="543">
        <f>IFERROR(LOOKUP(2,1/(GarminSessions!$A$2:$A$200="P7"),GarminSessions!$B$2:$B$200),NA())</f>
        <v/>
      </c>
      <c r="C22" s="544">
        <f>IF(OR('Garmin Xero Import'!E12="",'Garmin Xero Import'!E12=0),"",'Garmin Xero Import'!E12)</f>
        <v/>
      </c>
      <c r="D22" s="544">
        <f>IF(OR('Garmin Xero Import'!F12="",'Garmin Xero Import'!F12=0),"",'Garmin Xero Import'!F12)</f>
        <v/>
      </c>
      <c r="E22" s="544">
        <f>IF(OR('Garmin Xero Import'!G12="",'Garmin Xero Import'!G12=0),"",'Garmin Xero Import'!G12)</f>
        <v/>
      </c>
      <c r="F22" s="544">
        <f>IF(OR('Garmin Xero Import'!H12="",'Garmin Xero Import'!H12=0),"",'Garmin Xero Import'!H12)</f>
        <v/>
      </c>
      <c r="G22" s="544">
        <f>IF(OR('Garmin Xero Import'!I12="",'Garmin Xero Import'!I12=0),"",'Garmin Xero Import'!I12)</f>
        <v/>
      </c>
      <c r="H22" s="392">
        <f>IF(OR('Garmin Xero Import'!O12="",'Garmin Xero Import'!O12=0),NA(),'Garmin Xero Import'!O12)</f>
        <v/>
      </c>
      <c r="I22" s="392">
        <f>IF(OR('Garmin Xero Import'!Q12="",'Garmin Xero Import'!Q12=0),"",'Garmin Xero Import'!Q12)</f>
        <v/>
      </c>
      <c r="J22" s="392">
        <f>IF(OR('Garmin Xero Import'!P12="",'Garmin Xero Import'!P12=0),NA(),'Garmin Xero Import'!P12)</f>
        <v/>
      </c>
      <c r="K22" s="393">
        <f>IF(OR('BallisticX Import'!D12="",'BallisticX Import'!D12=0),NA(),'BallisticX Import'!D12)</f>
        <v/>
      </c>
      <c r="L22" s="393">
        <f>IF(OR('BallisticX Import'!F12="",'BallisticX Import'!F12=0),"",'BallisticX Import'!F12)</f>
        <v/>
      </c>
      <c r="M22" s="533">
        <f>IF(OR('BallisticX Import'!J12="",'BallisticX Import'!J12=0),"",'BallisticX Import'!J12)</f>
        <v/>
      </c>
      <c r="N22" s="534">
        <f>IF(OR('BallisticX Import'!G12="",'BallisticX Import'!G12=0),"",'BallisticX Import'!G12)</f>
        <v/>
      </c>
      <c r="O22" s="573">
        <f>IFERROR(INDEX(Charts!$L$18:$L$25,MATCH(B22,Charts!$A$18:$A$25,0)),NA())</f>
        <v/>
      </c>
      <c r="P22" s="545">
        <f>IF(AND(B22&lt;&gt;"",B22=Charts!$B$3),"⭐ WINNER","")</f>
        <v/>
      </c>
      <c r="Q22" s="317" t="n"/>
      <c r="R22" s="317" t="n"/>
      <c r="S22" s="317" t="n"/>
      <c r="T22" s="317" t="n"/>
      <c r="U22" s="317" t="n"/>
      <c r="V22" s="317" t="n"/>
      <c r="W22" s="317" t="n"/>
      <c r="X22" s="317" t="n"/>
      <c r="Y22" s="317" t="n"/>
      <c r="Z22" s="317" t="n"/>
      <c r="AA22" s="317" t="n"/>
      <c r="AB22" s="317" t="n"/>
      <c r="AC22" s="317" t="n"/>
      <c r="AD22" s="317" t="n"/>
      <c r="AE22" s="317" t="n"/>
      <c r="AF22" s="317" t="n"/>
      <c r="AG22" s="317" t="n"/>
    </row>
    <row r="23" ht="18" customHeight="1" s="141">
      <c r="A23" s="536" t="n">
        <v>8</v>
      </c>
      <c r="B23" s="546">
        <f>IFERROR(LOOKUP(2,1/(GarminSessions!$A$2:$A$200="P8"),GarminSessions!$B$2:$B$200),NA())</f>
        <v/>
      </c>
      <c r="C23" s="547">
        <f>IF(OR('Garmin Xero Import'!E13="",'Garmin Xero Import'!E13=0),"",'Garmin Xero Import'!E13)</f>
        <v/>
      </c>
      <c r="D23" s="547">
        <f>IF(OR('Garmin Xero Import'!F13="",'Garmin Xero Import'!F13=0),"",'Garmin Xero Import'!F13)</f>
        <v/>
      </c>
      <c r="E23" s="547">
        <f>IF(OR('Garmin Xero Import'!G13="",'Garmin Xero Import'!G13=0),"",'Garmin Xero Import'!G13)</f>
        <v/>
      </c>
      <c r="F23" s="547">
        <f>IF(OR('Garmin Xero Import'!H13="",'Garmin Xero Import'!H13=0),"",'Garmin Xero Import'!H13)</f>
        <v/>
      </c>
      <c r="G23" s="547">
        <f>IF(OR('Garmin Xero Import'!I13="",'Garmin Xero Import'!I13=0),"",'Garmin Xero Import'!I13)</f>
        <v/>
      </c>
      <c r="H23" s="394">
        <f>IF(OR('Garmin Xero Import'!O13="",'Garmin Xero Import'!O13=0),NA(),'Garmin Xero Import'!O13)</f>
        <v/>
      </c>
      <c r="I23" s="394">
        <f>IF(OR('Garmin Xero Import'!Q13="",'Garmin Xero Import'!Q13=0),"",'Garmin Xero Import'!Q13)</f>
        <v/>
      </c>
      <c r="J23" s="394">
        <f>IF(OR('Garmin Xero Import'!P13="",'Garmin Xero Import'!P13=0),NA(),'Garmin Xero Import'!P13)</f>
        <v/>
      </c>
      <c r="K23" s="395">
        <f>IF(OR('BallisticX Import'!D13="",'BallisticX Import'!D13=0),NA(),'BallisticX Import'!D13)</f>
        <v/>
      </c>
      <c r="L23" s="395">
        <f>IF(OR('BallisticX Import'!F13="",'BallisticX Import'!F13=0),"",'BallisticX Import'!F13)</f>
        <v/>
      </c>
      <c r="M23" s="535">
        <f>IF(OR('BallisticX Import'!J13="",'BallisticX Import'!J13=0),"",'BallisticX Import'!J13)</f>
        <v/>
      </c>
      <c r="N23" s="536">
        <f>IF(OR('BallisticX Import'!G13="",'BallisticX Import'!G13=0),"",'BallisticX Import'!G13)</f>
        <v/>
      </c>
      <c r="O23" s="573">
        <f>IFERROR(INDEX(Charts!$L$18:$L$25,MATCH(B23,Charts!$A$18:$A$25,0)),NA())</f>
        <v/>
      </c>
      <c r="P23" s="548">
        <f>IF(AND(B23&lt;&gt;"",B23=Charts!$B$3),"⭐ WINNER","")</f>
        <v/>
      </c>
      <c r="Q23" s="317" t="n"/>
      <c r="R23" s="317" t="n"/>
      <c r="S23" s="317" t="n"/>
      <c r="T23" s="317" t="n"/>
      <c r="U23" s="317" t="n"/>
      <c r="V23" s="317" t="n"/>
      <c r="W23" s="317" t="n"/>
      <c r="X23" s="317" t="n"/>
      <c r="Y23" s="317" t="n"/>
      <c r="Z23" s="317" t="n"/>
      <c r="AA23" s="317" t="n"/>
      <c r="AB23" s="317" t="n"/>
      <c r="AC23" s="317" t="n"/>
      <c r="AD23" s="317" t="n"/>
      <c r="AE23" s="317" t="n"/>
      <c r="AF23" s="317" t="n"/>
      <c r="AG23" s="317" t="n"/>
    </row>
    <row r="24" ht="18" customHeight="1" s="141">
      <c r="A24" s="534" t="n">
        <v>9</v>
      </c>
      <c r="B24" s="543">
        <f>IFERROR(LOOKUP(2,1/(GarminSessions!$A$2:$A$200="P9"),GarminSessions!$B$2:$B$200),NA())</f>
        <v/>
      </c>
      <c r="C24" s="544">
        <f>IF(OR('Garmin Xero Import'!E14="",'Garmin Xero Import'!E14=0),"",'Garmin Xero Import'!E14)</f>
        <v/>
      </c>
      <c r="D24" s="544">
        <f>IF(OR('Garmin Xero Import'!F14="",'Garmin Xero Import'!F14=0),"",'Garmin Xero Import'!F14)</f>
        <v/>
      </c>
      <c r="E24" s="544">
        <f>IF(OR('Garmin Xero Import'!G14="",'Garmin Xero Import'!G14=0),"",'Garmin Xero Import'!G14)</f>
        <v/>
      </c>
      <c r="F24" s="544">
        <f>IF(OR('Garmin Xero Import'!H14="",'Garmin Xero Import'!H14=0),"",'Garmin Xero Import'!H14)</f>
        <v/>
      </c>
      <c r="G24" s="544">
        <f>IF(OR('Garmin Xero Import'!I14="",'Garmin Xero Import'!I14=0),"",'Garmin Xero Import'!I14)</f>
        <v/>
      </c>
      <c r="H24" s="392">
        <f>IF(OR('Garmin Xero Import'!O14="",'Garmin Xero Import'!O14=0),NA(),'Garmin Xero Import'!O14)</f>
        <v/>
      </c>
      <c r="I24" s="392">
        <f>IF(OR('Garmin Xero Import'!Q14="",'Garmin Xero Import'!Q14=0),"",'Garmin Xero Import'!Q14)</f>
        <v/>
      </c>
      <c r="J24" s="392">
        <f>IF(OR('Garmin Xero Import'!P14="",'Garmin Xero Import'!P14=0),NA(),'Garmin Xero Import'!P14)</f>
        <v/>
      </c>
      <c r="K24" s="393">
        <f>IF(OR('BallisticX Import'!D14="",'BallisticX Import'!D14=0),NA(),'BallisticX Import'!D14)</f>
        <v/>
      </c>
      <c r="L24" s="393">
        <f>IF(OR('BallisticX Import'!F14="",'BallisticX Import'!F14=0),"",'BallisticX Import'!F14)</f>
        <v/>
      </c>
      <c r="M24" s="533">
        <f>IF(OR('BallisticX Import'!J14="",'BallisticX Import'!J14=0),"",'BallisticX Import'!J14)</f>
        <v/>
      </c>
      <c r="N24" s="534">
        <f>IF(OR('BallisticX Import'!G14="",'BallisticX Import'!G14=0),"",'BallisticX Import'!G14)</f>
        <v/>
      </c>
      <c r="O24" s="573">
        <f>IFERROR(INDEX(Charts!$L$18:$L$25,MATCH(B24,Charts!$A$18:$A$25,0)),NA())</f>
        <v/>
      </c>
      <c r="P24" s="545">
        <f>IF(AND(B24&lt;&gt;"",B24=Charts!$B$3),"⭐ WINNER","")</f>
        <v/>
      </c>
      <c r="Q24" s="317" t="n"/>
      <c r="R24" s="317" t="n"/>
      <c r="S24" s="317" t="n"/>
      <c r="T24" s="317" t="n"/>
      <c r="U24" s="317" t="n"/>
      <c r="V24" s="317" t="n"/>
      <c r="W24" s="317" t="n"/>
      <c r="X24" s="317" t="n"/>
      <c r="Y24" s="317" t="n"/>
      <c r="Z24" s="317" t="n"/>
      <c r="AA24" s="317" t="n"/>
      <c r="AB24" s="317" t="n"/>
      <c r="AC24" s="317" t="n"/>
      <c r="AD24" s="317" t="n"/>
      <c r="AE24" s="317" t="n"/>
      <c r="AF24" s="317" t="n"/>
      <c r="AG24" s="317" t="n"/>
    </row>
    <row r="25" ht="18" customHeight="1" s="141">
      <c r="A25" s="536" t="n">
        <v>10</v>
      </c>
      <c r="B25" s="546">
        <f>IFERROR(LOOKUP(2,1/(GarminSessions!$A$2:$A$200="P10"),GarminSessions!$B$2:$B$200),NA())</f>
        <v/>
      </c>
      <c r="C25" s="547">
        <f>IF(OR('Garmin Xero Import'!E15="",'Garmin Xero Import'!E15=0),"",'Garmin Xero Import'!E15)</f>
        <v/>
      </c>
      <c r="D25" s="547">
        <f>IF(OR('Garmin Xero Import'!F15="",'Garmin Xero Import'!F15=0),"",'Garmin Xero Import'!F15)</f>
        <v/>
      </c>
      <c r="E25" s="547">
        <f>IF(OR('Garmin Xero Import'!G15="",'Garmin Xero Import'!G15=0),"",'Garmin Xero Import'!G15)</f>
        <v/>
      </c>
      <c r="F25" s="547">
        <f>IF(OR('Garmin Xero Import'!H15="",'Garmin Xero Import'!H15=0),"",'Garmin Xero Import'!H15)</f>
        <v/>
      </c>
      <c r="G25" s="547">
        <f>IF(OR('Garmin Xero Import'!I15="",'Garmin Xero Import'!I15=0),"",'Garmin Xero Import'!I15)</f>
        <v/>
      </c>
      <c r="H25" s="394">
        <f>IF(OR('Garmin Xero Import'!O15="",'Garmin Xero Import'!O15=0),NA(),'Garmin Xero Import'!O15)</f>
        <v/>
      </c>
      <c r="I25" s="394">
        <f>IF(OR('Garmin Xero Import'!Q15="",'Garmin Xero Import'!Q15=0),"",'Garmin Xero Import'!Q15)</f>
        <v/>
      </c>
      <c r="J25" s="394">
        <f>IF(OR('Garmin Xero Import'!P15="",'Garmin Xero Import'!P15=0),NA(),'Garmin Xero Import'!P15)</f>
        <v/>
      </c>
      <c r="K25" s="395">
        <f>IF(OR('BallisticX Import'!D15="",'BallisticX Import'!D15=0),NA(),'BallisticX Import'!D15)</f>
        <v/>
      </c>
      <c r="L25" s="395">
        <f>IF(OR('BallisticX Import'!F15="",'BallisticX Import'!F15=0),"",'BallisticX Import'!F15)</f>
        <v/>
      </c>
      <c r="M25" s="535">
        <f>IF(OR('BallisticX Import'!J15="",'BallisticX Import'!J15=0),"",'BallisticX Import'!J15)</f>
        <v/>
      </c>
      <c r="N25" s="536">
        <f>IF(OR('BallisticX Import'!G15="",'BallisticX Import'!G15=0),"",'BallisticX Import'!G15)</f>
        <v/>
      </c>
      <c r="O25" s="573">
        <f>IFERROR(INDEX(Charts!$L$18:$L$25,MATCH(B25,Charts!$A$18:$A$25,0)),NA())</f>
        <v/>
      </c>
      <c r="P25" s="548">
        <f>IF(AND(B25&lt;&gt;"",B25=Charts!$B$3),"⭐ WINNER","")</f>
        <v/>
      </c>
      <c r="Q25" s="317" t="n"/>
      <c r="R25" s="317" t="n"/>
      <c r="S25" s="317" t="n"/>
      <c r="T25" s="317" t="n"/>
      <c r="U25" s="317" t="n"/>
      <c r="V25" s="317" t="n"/>
      <c r="W25" s="317" t="n"/>
      <c r="X25" s="317" t="n"/>
      <c r="Y25" s="317" t="n"/>
      <c r="Z25" s="317" t="n"/>
      <c r="AA25" s="317" t="n"/>
      <c r="AB25" s="317" t="n"/>
      <c r="AC25" s="317" t="n"/>
      <c r="AD25" s="317" t="n"/>
      <c r="AE25" s="317" t="n"/>
      <c r="AF25" s="317" t="n"/>
      <c r="AG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row>
    <row r="27" ht="24" customHeight="1" s="141">
      <c r="A27" s="338" t="inlineStr">
        <is>
          <t>COMPARISON CHARTS</t>
        </is>
      </c>
      <c r="B27" s="309" t="n"/>
      <c r="C27" s="309" t="n"/>
      <c r="D27" s="309" t="n"/>
      <c r="E27" s="309" t="n"/>
      <c r="F27" s="309" t="n"/>
      <c r="G27" s="309" t="n"/>
      <c r="H27" s="309" t="n"/>
      <c r="I27" s="309" t="n"/>
      <c r="J27" s="309" t="n"/>
      <c r="K27" s="309" t="n"/>
      <c r="L27" s="309" t="n"/>
      <c r="M27" s="309" t="n"/>
      <c r="N27" s="309" t="n"/>
      <c r="O27" s="309" t="n"/>
      <c r="P27" s="309" t="n"/>
      <c r="Q27" s="317" t="n"/>
      <c r="R27" s="317" t="n"/>
      <c r="S27" s="317" t="n"/>
      <c r="T27" s="317" t="n"/>
      <c r="U27" s="317" t="n"/>
      <c r="V27" s="317" t="n"/>
      <c r="W27" s="317" t="n"/>
      <c r="X27" s="317" t="n"/>
      <c r="Y27" s="317" t="n"/>
      <c r="Z27" s="317" t="n"/>
      <c r="AA27" s="317" t="n"/>
      <c r="AB27" s="317" t="n"/>
      <c r="AC27" s="317" t="n"/>
      <c r="AD27" s="317" t="n"/>
      <c r="AE27" s="317" t="n"/>
      <c r="AF27" s="317" t="n"/>
      <c r="AG27" s="317" t="n"/>
    </row>
    <row r="28" ht="15.75" customHeight="1" s="141">
      <c r="A28" s="317" t="n"/>
      <c r="B28" s="317" t="n"/>
      <c r="C28" s="317" t="n"/>
      <c r="D28" s="317" t="n"/>
      <c r="E28" s="317" t="n"/>
      <c r="F28" s="317" t="n"/>
      <c r="G28" s="317" t="n"/>
      <c r="H28" s="317" t="n"/>
      <c r="I28" s="317" t="n"/>
      <c r="J28" s="317" t="n"/>
      <c r="K28" s="317" t="n"/>
      <c r="L28" s="317" t="n"/>
      <c r="M28" s="317" t="n"/>
      <c r="N28" s="317" t="n"/>
      <c r="O28" s="317" t="n"/>
      <c r="P28" s="317" t="n"/>
      <c r="Q28" s="317" t="n"/>
      <c r="R28" s="317" t="n"/>
      <c r="S28" s="317" t="n"/>
      <c r="T28" s="317" t="n"/>
      <c r="U28" s="317" t="n"/>
      <c r="V28" s="317" t="n"/>
      <c r="W28" s="317" t="n"/>
      <c r="X28" s="317" t="n"/>
      <c r="Y28" s="317" t="n"/>
      <c r="Z28" s="317" t="n"/>
      <c r="AA28" s="317" t="n"/>
      <c r="AB28" s="317" t="n"/>
      <c r="AC28" s="317" t="n"/>
      <c r="AD28" s="317" t="n"/>
      <c r="AE28" s="317" t="n"/>
      <c r="AF28" s="317" t="n"/>
      <c r="AG28" s="317" t="n"/>
    </row>
    <row r="29" ht="15.75" customHeight="1" s="141">
      <c r="A29" s="317" t="n"/>
      <c r="B29" s="317" t="n"/>
      <c r="C29" s="317" t="n"/>
      <c r="D29" s="317" t="n"/>
      <c r="E29" s="317" t="n"/>
      <c r="F29" s="317" t="n"/>
      <c r="G29" s="317" t="n"/>
      <c r="H29" s="317" t="n"/>
      <c r="I29" s="317" t="n"/>
      <c r="J29" s="317" t="n"/>
      <c r="K29" s="317" t="n"/>
      <c r="L29" s="317" t="n"/>
      <c r="M29" s="317" t="n"/>
      <c r="N29" s="317" t="n"/>
      <c r="O29" s="317" t="n"/>
      <c r="P29" s="317" t="n"/>
      <c r="Q29" s="317" t="n"/>
      <c r="R29" s="317" t="n"/>
      <c r="S29" s="317" t="n"/>
      <c r="T29" s="317" t="n"/>
      <c r="U29" s="317" t="n"/>
      <c r="V29" s="317" t="n"/>
      <c r="W29" s="317" t="n"/>
      <c r="X29" s="317" t="n"/>
      <c r="Y29" s="317" t="n"/>
      <c r="Z29" s="317" t="n"/>
      <c r="AA29" s="317" t="n"/>
      <c r="AB29" s="317" t="n"/>
      <c r="AC29" s="317" t="n"/>
      <c r="AD29" s="317" t="n"/>
      <c r="AE29" s="317" t="n"/>
      <c r="AF29" s="317" t="n"/>
      <c r="AG29" s="317" t="n"/>
    </row>
    <row r="30" ht="15.75" customHeight="1" s="141">
      <c r="A30" s="317" t="n"/>
      <c r="B30" s="317" t="n"/>
      <c r="C30" s="317" t="n"/>
      <c r="D30" s="317" t="n"/>
      <c r="E30" s="317" t="n"/>
      <c r="F30" s="317" t="n"/>
      <c r="G30" s="317" t="n"/>
      <c r="H30" s="317" t="n"/>
      <c r="I30" s="317" t="n"/>
      <c r="J30" s="317" t="n"/>
      <c r="K30" s="317" t="n"/>
      <c r="L30" s="317" t="n"/>
      <c r="M30" s="317" t="n"/>
      <c r="N30" s="317" t="n"/>
      <c r="O30" s="317" t="n"/>
      <c r="P30" s="317" t="n"/>
      <c r="Q30" s="317" t="n"/>
      <c r="R30" s="317" t="n"/>
      <c r="S30" s="317" t="n"/>
      <c r="T30" s="317" t="n"/>
      <c r="U30" s="317" t="n"/>
      <c r="V30" s="317" t="n"/>
      <c r="W30" s="317" t="n"/>
      <c r="X30" s="317" t="n"/>
      <c r="Y30" s="317" t="n"/>
      <c r="Z30" s="317" t="n"/>
      <c r="AA30" s="317" t="n"/>
      <c r="AB30" s="317" t="n"/>
      <c r="AC30" s="317" t="n"/>
      <c r="AD30" s="317" t="n"/>
      <c r="AE30" s="317" t="n"/>
      <c r="AF30" s="317" t="n"/>
      <c r="AG30" s="317" t="n"/>
    </row>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6">
    <mergeCell ref="B9:E9"/>
    <mergeCell ref="G2:H2"/>
    <mergeCell ref="B6:E6"/>
    <mergeCell ref="A8:P8"/>
    <mergeCell ref="A4:P4"/>
    <mergeCell ref="B5:E5"/>
    <mergeCell ref="O9:P9"/>
    <mergeCell ref="L13:P13"/>
    <mergeCell ref="A2:C2"/>
    <mergeCell ref="G9:J9"/>
    <mergeCell ref="D2:E2"/>
    <mergeCell ref="L5:P5"/>
    <mergeCell ref="A1:P1"/>
    <mergeCell ref="L10:P10"/>
    <mergeCell ref="M2:P2"/>
    <mergeCell ref="G10:J10"/>
    <mergeCell ref="L9:M9"/>
    <mergeCell ref="G6:J6"/>
    <mergeCell ref="G13:J13"/>
    <mergeCell ref="B13:E13"/>
    <mergeCell ref="L6:P6"/>
    <mergeCell ref="A27:P27"/>
    <mergeCell ref="A12:P12"/>
    <mergeCell ref="A3:P3"/>
    <mergeCell ref="B10:E10"/>
    <mergeCell ref="G5:J5"/>
    <mergeCell ref="G7:J7"/>
  </mergeCells>
  <conditionalFormatting sqref="K16:K25">
    <cfRule type="colorScale" priority="2">
      <colorScale>
        <cfvo type="min" val="0"/>
        <cfvo type="percentile" val="50"/>
        <cfvo type="max" val="0"/>
        <color rgb="FF63BE7B"/>
        <color rgb="FFFFEB84"/>
        <color rgb="FFF8696B"/>
      </colorScale>
    </cfRule>
    <cfRule type="colorScale" priority="8">
      <colorScale>
        <cfvo type="min"/>
        <cfvo type="percentile" val="50"/>
        <cfvo type="max"/>
        <color rgb="0063BE7B"/>
        <color rgb="00FFEB84"/>
        <color rgb="00F8696B"/>
      </colorScale>
    </cfRule>
  </conditionalFormatting>
  <conditionalFormatting sqref="L16:L25">
    <cfRule type="colorScale" priority="3">
      <colorScale>
        <cfvo type="min" val="0"/>
        <cfvo type="percentile" val="50"/>
        <cfvo type="max" val="0"/>
        <color rgb="FF63BE7B"/>
        <color rgb="FFFFEB84"/>
        <color rgb="FFF8696B"/>
      </colorScale>
    </cfRule>
    <cfRule type="colorScale" priority="9">
      <colorScale>
        <cfvo type="min"/>
        <cfvo type="percentile" val="50"/>
        <cfvo type="max"/>
        <color rgb="0063BE7B"/>
        <color rgb="00FFEB84"/>
        <color rgb="00F8696B"/>
      </colorScale>
    </cfRule>
  </conditionalFormatting>
  <conditionalFormatting sqref="M16:M25">
    <cfRule type="colorScale" priority="4">
      <colorScale>
        <cfvo type="min" val="0"/>
        <cfvo type="percentile" val="50"/>
        <cfvo type="max" val="0"/>
        <color rgb="FF63BE7B"/>
        <color rgb="FFFFEB84"/>
        <color rgb="FFF8696B"/>
      </colorScale>
    </cfRule>
    <cfRule type="colorScale" priority="10">
      <colorScale>
        <cfvo type="min"/>
        <cfvo type="percentile" val="50"/>
        <cfvo type="max"/>
        <color rgb="0063BE7B"/>
        <color rgb="00FFEB84"/>
        <color rgb="00F8696B"/>
      </colorScale>
    </cfRule>
  </conditionalFormatting>
  <conditionalFormatting sqref="A2:P3">
    <cfRule type="expression" priority="4" dxfId="0">
      <formula>ISNA(INDIRECT(ADDRESS(ROW(),COLUMN())))</formula>
    </cfRule>
  </conditionalFormatting>
  <conditionalFormatting sqref="A15:P25">
    <cfRule type="expression" priority="5" dxfId="0">
      <formula>ISNA(INDIRECT(ADDRESS(ROW(),COLUMN())))</formula>
    </cfRule>
  </conditionalFormatting>
  <conditionalFormatting sqref="I16:I25">
    <cfRule type="colorScale" priority="6">
      <colorScale>
        <cfvo type="min"/>
        <cfvo type="percentile" val="50"/>
        <cfvo type="max"/>
        <color rgb="0063BE7B"/>
        <color rgb="00FFEB84"/>
        <color rgb="00F8696B"/>
      </colorScale>
    </cfRule>
  </conditionalFormatting>
  <conditionalFormatting sqref="J16:J25">
    <cfRule type="colorScale" priority="7">
      <colorScale>
        <cfvo type="min"/>
        <cfvo type="percentile" val="50"/>
        <cfvo type="max"/>
        <color rgb="0063BE7B"/>
        <color rgb="00FFEB84"/>
        <color rgb="00F8696B"/>
      </colorScale>
    </cfRule>
  </conditionalFormatting>
  <conditionalFormatting sqref="N16:N25">
    <cfRule type="colorScale" priority="11">
      <colorScale>
        <cfvo type="min"/>
        <cfvo type="percentile" val="50"/>
        <cfvo type="max"/>
        <color rgb="0063BE7B"/>
        <color rgb="00FFEB84"/>
        <color rgb="00F8696B"/>
      </colorScale>
    </cfRule>
  </conditionalFormatting>
  <conditionalFormatting sqref="O16:O25">
    <cfRule type="colorScale" priority="12">
      <colorScale>
        <cfvo type="min"/>
        <cfvo type="percentile" val="50"/>
        <cfvo type="max"/>
        <color rgb="0063BE7B"/>
        <color rgb="00FFEB84"/>
        <color rgb="00F8696B"/>
      </colorScale>
    </cfRule>
  </conditionalFormatting>
  <hyperlinks>
    <hyperlink xmlns:r="http://schemas.openxmlformats.org/officeDocument/2006/relationships" ref="A3" r:id="rId1"/>
  </hyperlinks>
  <dataValidations count="1">
    <dataValidation type="list" allowBlank="1" showInputMessage="1" showErrorMessage="1" sqref="G7">
      <formula1>"0.1 Mil,0.05 Mil,1/4 MOA,1/8 MOA"</formula1>
    </dataValidation>
  </dataValidation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2"/>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1"/>
  </sheetPr>
  <dimension ref="A1:U10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19" customWidth="1" style="140" min="1" max="1"/>
    <col width="7" customWidth="1" style="140" min="2" max="3"/>
    <col width="7" customWidth="1" style="141" min="3" max="3"/>
    <col width="13" customWidth="1" style="140" min="4" max="4"/>
    <col width="9" customWidth="1" style="140" min="5" max="7"/>
    <col width="11" customWidth="1" style="141" min="6" max="6"/>
    <col width="22" customWidth="1" style="141" min="7" max="7"/>
    <col width="11" customWidth="1" style="140" min="8" max="11"/>
    <col width="11" customWidth="1" style="141" min="9" max="9"/>
    <col width="11" customWidth="1" style="141" min="10" max="10"/>
    <col width="11" customWidth="1" style="141" min="11" max="11"/>
    <col width="14" customWidth="1" style="140" min="12" max="12"/>
    <col hidden="1" width="7" customWidth="1" style="140" min="13" max="13"/>
    <col hidden="1" width="8.710000000000001" customWidth="1" style="140" min="14" max="26"/>
    <col hidden="1" width="13" customWidth="1" style="141" min="15" max="15"/>
    <col hidden="1" width="13" customWidth="1" style="141" min="16" max="16"/>
    <col hidden="1" width="13" customWidth="1" style="141" min="17" max="17"/>
  </cols>
  <sheetData>
    <row r="1" ht="27.75" customHeight="1" s="141">
      <c r="A1" s="466" t="inlineStr">
        <is>
          <t>SUGGESTED BEST LOAD — Velocity + SD + Group Cross-Check</t>
        </is>
      </c>
      <c r="B1" s="309" t="n"/>
      <c r="C1" s="309" t="n"/>
      <c r="D1" s="309" t="n"/>
      <c r="E1" s="309" t="n"/>
      <c r="F1" s="309" t="n"/>
      <c r="G1" s="309" t="n"/>
      <c r="H1" s="309" t="n"/>
      <c r="I1" s="309" t="n"/>
      <c r="J1" s="309" t="n"/>
      <c r="K1" s="309" t="n"/>
      <c r="L1" s="309" t="n"/>
      <c r="M1" s="309" t="n"/>
      <c r="N1" s="520" t="n"/>
      <c r="O1" s="309" t="n"/>
      <c r="P1" s="520" t="n"/>
      <c r="Q1" s="520" t="n"/>
      <c r="R1" s="309" t="n"/>
      <c r="S1" s="309" t="n"/>
      <c r="T1" s="309" t="n"/>
      <c r="U1" s="309" t="n"/>
    </row>
    <row r="2">
      <c r="A2" s="309" t="n"/>
      <c r="B2" s="309" t="n"/>
      <c r="C2" s="309" t="n"/>
      <c r="D2" s="309" t="n"/>
      <c r="E2" s="309" t="n"/>
      <c r="F2" s="309" t="n"/>
      <c r="G2" s="309" t="n"/>
      <c r="H2" s="309" t="n"/>
      <c r="I2" s="309" t="n"/>
      <c r="J2" s="309" t="n"/>
      <c r="K2" s="309" t="n"/>
      <c r="L2" s="309" t="n"/>
      <c r="M2" s="309" t="n"/>
      <c r="N2" s="309" t="n"/>
      <c r="O2" s="309" t="n"/>
      <c r="P2" s="309" t="n"/>
      <c r="Q2" s="309" t="n"/>
      <c r="R2" s="309" t="n"/>
      <c r="S2" s="309" t="n"/>
      <c r="T2" s="309" t="n"/>
      <c r="U2" s="309" t="n"/>
    </row>
    <row r="3" ht="25.5" customHeight="1" s="141">
      <c r="A3" s="482" t="inlineStr">
        <is>
          <t>SUGGESTED CHARGE:</t>
        </is>
      </c>
      <c r="B3" s="549">
        <f>IFERROR(INDEX(A18:A25,MATCH(MIN(L18:L25),L18:L25,0)),"")</f>
        <v/>
      </c>
      <c r="C3" s="505" t="n"/>
      <c r="D3" s="485" t="inlineStr">
        <is>
          <t>Composite:</t>
        </is>
      </c>
      <c r="E3" s="550">
        <f>MIN(L18:L25)</f>
        <v/>
      </c>
      <c r="F3" s="485" t="inlineStr">
        <is>
          <t>SD:</t>
        </is>
      </c>
      <c r="G3" s="551">
        <f t="array" ref="G3:G3">IFERROR(INDEX(E18:E25,MATCH(MIN(L18:L25),L18:L25,0)),"")</f>
        <v/>
      </c>
      <c r="H3" s="309" t="n"/>
      <c r="I3" s="309" t="n"/>
      <c r="J3" s="309" t="n"/>
      <c r="K3" s="309" t="n"/>
      <c r="L3" s="309" t="n"/>
      <c r="M3" s="309" t="n"/>
      <c r="N3" s="309" t="n"/>
      <c r="O3" s="309" t="n"/>
      <c r="P3" s="309" t="n"/>
      <c r="Q3" s="309" t="n"/>
      <c r="R3" s="309" t="n"/>
      <c r="S3" s="309" t="n"/>
      <c r="T3" s="309" t="n"/>
      <c r="U3" s="309" t="n"/>
    </row>
    <row r="4" ht="25.5" customHeight="1" s="141">
      <c r="A4" s="309" t="n"/>
      <c r="B4" s="506" t="n"/>
      <c r="C4" s="507" t="n"/>
      <c r="D4" s="127">
        <f>IF($B$100="window","Vel Spread:","")</f>
      </c>
      <c r="E4" s="256">
        <f>IF($B$100="window",IFERROR(INDEX(D18:D25,MATCH(MIN(L18:L25),L18:L25,0)),""),"")</f>
      </c>
      <c r="F4" s="485" t="inlineStr">
        <is>
          <t>Group:</t>
        </is>
      </c>
      <c r="G4" s="553">
        <f t="array" ref="G4:G4">IFERROR(INDEX(F18:F25,MATCH(MIN(L18:L25),L18:L25,0)),"")</f>
        <v/>
      </c>
      <c r="H4" s="309" t="n"/>
      <c r="I4" s="309" t="n"/>
      <c r="J4" s="309" t="n"/>
      <c r="K4" s="309" t="n"/>
      <c r="L4" s="309" t="n"/>
      <c r="M4" s="309" t="n"/>
      <c r="N4" s="309" t="n"/>
      <c r="O4" s="309" t="n"/>
      <c r="P4" s="309" t="n"/>
      <c r="Q4" s="309" t="n"/>
      <c r="R4" s="309" t="n"/>
      <c r="S4" s="309" t="n"/>
      <c r="T4" s="309" t="n"/>
      <c r="U4" s="309" t="n"/>
    </row>
    <row r="5" ht="25.5" customHeight="1" s="141">
      <c r="A5" s="309" t="n"/>
      <c r="B5" s="508" t="n"/>
      <c r="C5" s="509" t="n"/>
      <c r="D5" s="485" t="inlineStr">
        <is>
          <t>Avg Vel:</t>
        </is>
      </c>
      <c r="E5" s="552">
        <f t="array" ref="E5:E5">IFERROR(INDEX('Powder Charge Log'!H16:H25,MATCH(INDEX(A18:A25,MATCH(MIN(L18:L25),L18:L25,0)),'Powder Charge Log'!B16:B25,0)),"")</f>
        <v/>
      </c>
      <c r="F5" s="485" t="inlineStr">
        <is>
          <t>Best in:</t>
        </is>
      </c>
      <c r="G5" s="258" t="inlineStr">
        <is>
          <t xml:space="preserve">MR ✓ </t>
        </is>
      </c>
      <c r="H5" s="309" t="n"/>
      <c r="I5" s="309" t="n"/>
      <c r="J5" s="309" t="n"/>
      <c r="K5" s="309" t="n"/>
      <c r="L5" s="309" t="n"/>
      <c r="M5" s="309" t="n"/>
      <c r="N5" s="309" t="n"/>
      <c r="O5" s="309" t="n"/>
      <c r="P5" s="309" t="n"/>
      <c r="Q5" s="309" t="n"/>
      <c r="R5" s="309" t="n"/>
      <c r="S5" s="309" t="n"/>
      <c r="T5" s="309" t="n"/>
      <c r="U5" s="309" t="n"/>
    </row>
    <row r="6" ht="30" customHeight="1">
      <c r="A6" s="201" t="inlineStr">
        <is>
          <t xml:space="preserve">→  Save Suggested Load to Library  ←</t>
        </is>
      </c>
      <c r="B6" s="309" t="n"/>
      <c r="C6" s="309" t="n"/>
      <c r="D6" s="309" t="n"/>
      <c r="E6" s="309" t="n"/>
      <c r="F6" s="309" t="n"/>
      <c r="G6" s="309" t="n"/>
      <c r="H6" s="309" t="n"/>
      <c r="I6" s="309" t="n"/>
      <c r="J6" s="309" t="n"/>
      <c r="K6" s="309" t="n"/>
      <c r="L6" s="309" t="n"/>
      <c r="M6" s="309" t="n"/>
      <c r="N6" s="309" t="n"/>
      <c r="O6" s="309" t="n"/>
      <c r="P6" s="309" t="n"/>
      <c r="Q6" s="309" t="n"/>
      <c r="R6" s="309" t="n"/>
      <c r="S6" s="309" t="n"/>
      <c r="T6" s="309" t="n"/>
      <c r="U6" s="309" t="n"/>
    </row>
    <row r="7" ht="30" customHeight="1" s="141">
      <c r="A7" s="344" t="inlineStr">
        <is>
          <t>Method: each middle charge of a 3-load window is scored on velocity spread, SD, mean radius (MOA), and Vertical SD (MOA) — each normalized 0-1, 0=best. Combined using the weights below (sum must = 1.0). Lowest composite score wins. Vertical SD falls back to Height, then MR, if the BallisticX export is missing the statistic.</t>
        </is>
      </c>
      <c r="B7" s="309" t="n"/>
      <c r="C7" s="309" t="n"/>
      <c r="D7" s="309" t="n"/>
      <c r="E7" s="309" t="n"/>
      <c r="F7" s="309" t="n"/>
      <c r="G7" s="309" t="n"/>
      <c r="H7" s="309" t="n"/>
      <c r="I7" s="309" t="n"/>
      <c r="J7" s="309" t="n"/>
      <c r="K7" s="309" t="n"/>
      <c r="L7" s="309" t="n"/>
      <c r="M7" s="309" t="n"/>
      <c r="N7" s="309" t="n"/>
      <c r="O7" s="309" t="n"/>
      <c r="P7" s="309" t="n"/>
      <c r="Q7" s="309" t="n"/>
      <c r="R7" s="309" t="n"/>
      <c r="S7" s="309" t="n"/>
      <c r="T7" s="309" t="n"/>
      <c r="U7" s="309" t="n"/>
    </row>
    <row r="8" ht="30" customHeight="1" s="141">
      <c r="A8" s="345" t="inlineStr">
        <is>
          <r>
            <rPr>
              <i/>
              <color rgb="FF595959"/>
              <sz val="12"/>
              <rFont val="Calibri"/>
              <family val="2"/>
            </rPr>
            <t xml:space="preserve">NOTE: Loadscope ranks the charges you entered by your weighted scoring criteria. It does not certify safe charges, recommend loads, or assess pressure. Always cross-reference every charge weight against current published load data from your powder, bullet, and cartridge manufacturers before shooting.</t>
          </r>
        </is>
      </c>
      <c r="B8" s="309" t="n"/>
      <c r="C8" s="309" t="n"/>
      <c r="D8" s="309" t="n"/>
      <c r="E8" s="309" t="n"/>
      <c r="F8" s="309" t="n"/>
      <c r="G8" s="309" t="n"/>
      <c r="H8" s="309" t="n"/>
      <c r="I8" s="309" t="n"/>
      <c r="J8" s="309" t="n"/>
      <c r="K8" s="309" t="n"/>
      <c r="L8" s="309" t="n"/>
      <c r="M8" s="309" t="n"/>
      <c r="N8" s="309" t="n"/>
      <c r="O8" s="309" t="n"/>
      <c r="P8" s="309" t="n"/>
      <c r="Q8" s="309" t="n"/>
      <c r="R8" s="309" t="n"/>
      <c r="S8" s="309" t="n"/>
      <c r="T8" s="309" t="n"/>
      <c r="U8" s="309" t="n"/>
    </row>
    <row r="9">
      <c r="A9" s="309" t="n"/>
      <c r="B9" s="309" t="n"/>
      <c r="C9" s="309" t="n"/>
      <c r="D9" s="309" t="n"/>
      <c r="E9" s="309" t="n"/>
      <c r="F9" s="309" t="n"/>
      <c r="G9" s="309" t="n"/>
      <c r="H9" s="309" t="n"/>
      <c r="I9" s="309" t="n"/>
      <c r="J9" s="309" t="n"/>
      <c r="K9" s="309" t="n"/>
      <c r="L9" s="309" t="n"/>
      <c r="M9" s="309" t="n"/>
      <c r="N9" s="309" t="n"/>
      <c r="O9" s="309" t="n"/>
      <c r="P9" s="309" t="n"/>
      <c r="Q9" s="309" t="n"/>
      <c r="R9" s="309" t="n"/>
      <c r="S9" s="309" t="n"/>
      <c r="T9" s="309" t="n"/>
      <c r="U9" s="309" t="n"/>
    </row>
    <row r="10" ht="15" customHeight="1" s="141">
      <c r="A10" s="346" t="inlineStr">
        <is>
          <t>WEIGHTS — adjust the blue cells to tune what matters most to you (must sum to 1.0).</t>
        </is>
      </c>
      <c r="B10" s="309" t="n"/>
      <c r="C10" s="309" t="n"/>
      <c r="D10" s="309" t="n"/>
      <c r="E10" s="309" t="n"/>
      <c r="F10" s="309" t="n"/>
      <c r="G10" s="309" t="n"/>
      <c r="H10" s="309" t="n"/>
      <c r="I10" s="309" t="n"/>
      <c r="J10" s="309" t="n"/>
      <c r="K10" s="309" t="n"/>
      <c r="L10" s="309" t="n"/>
      <c r="M10" s="309" t="n"/>
      <c r="N10" s="309" t="n"/>
      <c r="O10" s="309" t="n"/>
      <c r="P10" s="309" t="n"/>
      <c r="Q10" s="309" t="n"/>
      <c r="R10" s="309" t="n"/>
      <c r="S10" s="309" t="n"/>
      <c r="T10" s="309" t="n"/>
      <c r="U10" s="309" t="n"/>
    </row>
    <row r="11" ht="15" customHeight="1" s="141">
      <c r="A11" s="347" t="inlineStr">
        <is>
          <t>Velocity</t>
        </is>
      </c>
      <c r="B11" s="555" t="n">
        <v>0.3</v>
      </c>
      <c r="C11" s="347" t="inlineStr">
        <is>
          <t>SD</t>
        </is>
      </c>
      <c r="D11" s="555" t="n">
        <v>0.2</v>
      </c>
      <c r="E11" s="347" t="inlineStr">
        <is>
          <t>MR</t>
        </is>
      </c>
      <c r="F11" s="555" t="n">
        <v>0.2</v>
      </c>
      <c r="G11" s="347" t="inlineStr">
        <is>
          <t>Vertical SD</t>
        </is>
      </c>
      <c r="H11" s="555" t="n">
        <v>0.3</v>
      </c>
      <c r="I11" s="347" t="inlineStr">
        <is>
          <t>Sum:</t>
        </is>
      </c>
      <c r="J11" s="556">
        <f>SUM(B11,D11,F11,H11)</f>
        <v/>
      </c>
      <c r="K11" s="309" t="n"/>
      <c r="L11" s="309" t="n"/>
      <c r="M11" s="309" t="n"/>
      <c r="N11" s="309" t="n"/>
      <c r="O11" s="309" t="n"/>
      <c r="P11" s="309" t="n"/>
      <c r="Q11" s="309" t="n"/>
      <c r="R11" s="309" t="n"/>
      <c r="S11" s="309" t="n"/>
      <c r="T11" s="309" t="n"/>
      <c r="U11" s="309" t="n"/>
    </row>
    <row r="12" ht="30" customHeight="1">
      <c r="A12" s="201" t="inlineStr">
        <is>
          <t xml:space="preserve">→  Reset weights to Loadscope defaults  ←</t>
        </is>
      </c>
    </row>
    <row r="13" ht="15" customHeight="1" s="141">
      <c r="A13" s="349" t="inlineStr">
        <is>
          <t>Powder ladder</t>
        </is>
      </c>
      <c r="B13" s="309" t="n"/>
      <c r="C13" s="309" t="n"/>
      <c r="D13" s="309" t="n"/>
      <c r="E13" s="309" t="n"/>
      <c r="F13" s="309" t="n"/>
      <c r="G13" s="309" t="n"/>
      <c r="H13" s="309" t="n"/>
      <c r="I13" s="309" t="n"/>
      <c r="J13" s="309" t="n"/>
      <c r="K13" s="309" t="n"/>
      <c r="L13" s="309" t="n"/>
      <c r="M13" s="309" t="n"/>
      <c r="N13" s="309" t="n"/>
      <c r="O13" s="309" t="n"/>
      <c r="P13" s="309" t="n"/>
      <c r="Q13" s="309" t="n"/>
      <c r="R13" s="309" t="n"/>
      <c r="S13" s="309" t="n"/>
      <c r="T13" s="309" t="n"/>
      <c r="U13" s="309" t="n"/>
    </row>
    <row r="14" hidden="1">
      <c r="A14" s="309" t="n"/>
      <c r="B14" s="309" t="n"/>
      <c r="C14" s="309" t="n"/>
      <c r="D14" s="309" t="n"/>
      <c r="E14" s="309" t="n"/>
      <c r="F14" s="309" t="n"/>
      <c r="G14" s="309" t="n"/>
      <c r="H14" s="309" t="n"/>
      <c r="I14" s="309" t="n"/>
      <c r="J14" s="309" t="n"/>
      <c r="K14" s="309" t="n"/>
      <c r="L14" s="309" t="n"/>
      <c r="M14" s="309" t="n"/>
      <c r="N14" s="309" t="n"/>
      <c r="O14" s="309" t="n"/>
      <c r="P14" s="309" t="n"/>
      <c r="Q14" s="309" t="n"/>
      <c r="R14" s="309" t="n"/>
      <c r="S14" s="309" t="n"/>
      <c r="T14" s="309" t="n"/>
      <c r="U14" s="309" t="n"/>
    </row>
    <row r="15" hidden="1">
      <c r="A15" s="309" t="n"/>
      <c r="B15" s="309" t="n"/>
      <c r="C15" s="309" t="n"/>
      <c r="D15" s="309" t="n"/>
      <c r="E15" s="309" t="n"/>
      <c r="F15" s="309" t="n"/>
      <c r="G15" s="309" t="n"/>
      <c r="H15" s="309" t="n"/>
      <c r="I15" s="309" t="n"/>
      <c r="J15" s="309" t="n"/>
      <c r="K15" s="309" t="n"/>
      <c r="L15" s="309" t="n"/>
      <c r="M15" s="309" t="n"/>
      <c r="N15" s="309" t="n"/>
      <c r="O15" s="309" t="n"/>
      <c r="P15" s="309" t="n"/>
      <c r="Q15" s="309" t="n"/>
      <c r="R15" s="309" t="n"/>
      <c r="S15" s="309" t="n"/>
      <c r="T15" s="309" t="n"/>
      <c r="U15" s="309" t="n"/>
    </row>
    <row r="16" hidden="1">
      <c r="A16" s="309" t="n"/>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c r="U16" s="309" t="n"/>
    </row>
    <row r="17" ht="42" customHeight="1" s="141">
      <c r="A17" s="557">
        <f>IF($B$100="window","Middle Charge","Charge")</f>
        <v/>
      </c>
      <c r="B17" s="261" t="inlineStr">
        <is>
          <t>Low</t>
        </is>
      </c>
      <c r="C17" s="261" t="inlineStr">
        <is>
          <t>High</t>
        </is>
      </c>
      <c r="D17" s="557">
        <f>IF($B$100="window","Vel Spread (fps)","Avg Vel (fps)")</f>
        <v/>
      </c>
      <c r="E17" s="478" t="inlineStr">
        <is>
          <t>SD (fps)</t>
        </is>
      </c>
      <c r="F17" s="478" t="inlineStr">
        <is>
          <t>Mean Radius (MOA)</t>
        </is>
      </c>
      <c r="G17" s="478" t="inlineStr">
        <is>
          <t>Vertical SD (MOA)</t>
        </is>
      </c>
      <c r="H17" s="478" t="inlineStr">
        <is>
          <t>Norm Spread</t>
        </is>
      </c>
      <c r="I17" s="478" t="inlineStr">
        <is>
          <t>Norm SD</t>
        </is>
      </c>
      <c r="J17" s="478" t="inlineStr">
        <is>
          <t>Norm MR</t>
        </is>
      </c>
      <c r="K17" s="478" t="inlineStr">
        <is>
          <t>Norm Vertical SD</t>
        </is>
      </c>
      <c r="L17" s="478" t="inlineStr">
        <is>
          <t>Composite Score</t>
        </is>
      </c>
      <c r="M17" s="431" t="inlineStr">
        <is>
          <t>Chart: Vel Spread</t>
        </is>
      </c>
      <c r="N17" s="432" t="inlineStr">
        <is>
          <t>Chart: SD</t>
        </is>
      </c>
      <c r="O17" s="432" t="inlineStr">
        <is>
          <t>Chart: MR</t>
        </is>
      </c>
      <c r="P17" s="432" t="inlineStr">
        <is>
          <t>Chart: Vert</t>
        </is>
      </c>
      <c r="Q17" s="432" t="inlineStr">
        <is>
          <t>Chart: Composite</t>
        </is>
      </c>
      <c r="R17" s="258" t="inlineStr">
        <is>
          <t>Best in (per row)</t>
        </is>
      </c>
      <c r="S17" s="309" t="n"/>
      <c r="T17" s="119" t="inlineStr">
        <is>
          <t>Sort Charge</t>
        </is>
      </c>
      <c r="U17" s="119" t="inlineStr">
        <is>
          <t>Sort Vel</t>
        </is>
      </c>
    </row>
    <row r="18" ht="15" customHeight="1" s="141">
      <c r="A18" s="558">
        <f>IFERROR(IF($B$100="window",'Powder Charge Log'!B17,IF('Powder Charge Log'!B16="","",'Powder Charge Log'!B16)),"")</f>
        <v/>
      </c>
      <c r="B18" s="558">
        <f>IFERROR(IF($B$100="window",'Powder Charge Log'!B16,""),"")</f>
        <v/>
      </c>
      <c r="C18" s="558">
        <f>IFERROR(IF($B$100="window",'Powder Charge Log'!B18,""),"")</f>
        <v/>
      </c>
      <c r="D18" s="559">
        <f>IF($B$100="window",IF(OR(A18="",B18="",C18=""),"",MAX('Powder Charge Log'!H16:H18)-MIN('Powder Charge Log'!H16:H18)),IF('Powder Charge Log'!H16="","",'Powder Charge Log'!H16))</f>
        <v/>
      </c>
      <c r="E18" s="558">
        <f>IF($B$100="window",IF(OR(A18="",B18="",C18=""),"",'Powder Charge Log'!J17),IF('Powder Charge Log'!J16="","",'Powder Charge Log'!J16))</f>
        <v/>
      </c>
      <c r="F18" s="560">
        <f>IF($B$100="window",IF(OR(A18="",B18="",C18=""),"",IFERROR(IF('Powder Charge Log'!N17="",'Powder Charge Log'!K17,'Powder Charge Log'!N17)/('Powder Charge Log'!$L$10/100)/1.047,"")),IFERROR(IF('Powder Charge Log'!N16="",'Powder Charge Log'!K16,'Powder Charge Log'!N16)/('Powder Charge Log'!$L$10/100)/1.047,""))</f>
        <v/>
      </c>
      <c r="G18" s="560">
        <f>IF($B$100="window",IF(OR(A18="",B18="",C18=""),"",IF('Powder Charge Log'!M17="",IF('Powder Charge Log'!L17="",F18,'Powder Charge Log'!L17/('Powder Charge Log'!$L$10/100)/1.047),'Powder Charge Log'!M17/('Powder Charge Log'!$L$10/100)/1.047)),IF('Powder Charge Log'!M16="",IF('Powder Charge Log'!L16="",F18,'Powder Charge Log'!L16/('Powder Charge Log'!$L$10/100)/1.047),'Powder Charge Log'!M16/('Powder Charge Log'!$L$10/100)/1.047))</f>
        <v/>
      </c>
      <c r="H18" s="561">
        <f ca="1">IF(D18="","",IFERROR((D18-AGGREGATE(5,6,$D$18:$D$25))/(AGGREGATE(4,6,$D$18:$D$25)-AGGREGATE(5,6,$D$18:$D$25)),0))</f>
      </c>
      <c r="I18" s="561">
        <f ca="1">IF(E18="","",IFERROR((E18-AGGREGATE(5,6,$E$18:$E$25))/(AGGREGATE(4,6,$E$18:$E$25)-AGGREGATE(5,6,$E$18:$E$25)),0))</f>
      </c>
      <c r="J18" s="561">
        <f ca="1">IF(F18="","",IFERROR((F18-AGGREGATE(5,6,$F$18:$F$25))/(AGGREGATE(4,6,$F$18:$F$25)-AGGREGATE(5,6,$F$18:$F$25)),0))</f>
      </c>
      <c r="K18" s="561">
        <f ca="1">IF(G18="","",IFERROR((G18-AGGREGATE(5,6,$G$18:$G$25))/(AGGREGATE(4,6,$G$18:$G$25)-AGGREGATE(5,6,$G$18:$G$25)),0))</f>
      </c>
      <c r="L18" s="561">
        <f ca="1">IF(A18="","",H18*$B$11+I18*$D$11+J18*$F$11+K18*$H$11)</f>
      </c>
      <c r="M18" s="463">
        <f>IF(D18="",NA(),H18)</f>
      </c>
      <c r="N18" s="464">
        <f>IF(D18="",NA(),I18)</f>
      </c>
      <c r="O18" s="464">
        <f>IF(D18="",NA(),J18)</f>
      </c>
      <c r="P18" s="464">
        <f>IF(D18="",NA(),K18)</f>
      </c>
      <c r="Q18" s="464">
        <f>IF(D18="",NA(),L18)</f>
      </c>
      <c r="R18" s="140" t="n"/>
      <c r="S18" s="309" t="n"/>
      <c r="T18" s="140">
        <v>57.0</v>
      </c>
      <c r="U18" s="140">
        <v>2995.5</v>
      </c>
    </row>
    <row r="19" ht="15" customHeight="1" s="141">
      <c r="A19" s="562">
        <f>IFERROR(IF($B$100="window",'Powder Charge Log'!B18,IF('Powder Charge Log'!B17="","",'Powder Charge Log'!B17)),"")</f>
        <v/>
      </c>
      <c r="B19" s="562">
        <f>IFERROR(IF($B$100="window",'Powder Charge Log'!B17,""),"")</f>
        <v/>
      </c>
      <c r="C19" s="562">
        <f>IFERROR(IF($B$100="window",'Powder Charge Log'!B19,""),"")</f>
        <v/>
      </c>
      <c r="D19" s="563">
        <f>IF($B$100="window",IF(OR(A19="",B19="",C19=""),"",MAX('Powder Charge Log'!H17:H19)-MIN('Powder Charge Log'!H17:H19)),IF('Powder Charge Log'!H17="","",'Powder Charge Log'!H17))</f>
        <v/>
      </c>
      <c r="E19" s="562">
        <f>IF($B$100="window",IF(OR(A19="",B19="",C19=""),"",'Powder Charge Log'!J18),IF('Powder Charge Log'!J17="","",'Powder Charge Log'!J17))</f>
        <v/>
      </c>
      <c r="F19" s="564">
        <f>IF($B$100="window",IF(OR(A19="",B19="",C19=""),"",IFERROR(IF('Powder Charge Log'!N18="",'Powder Charge Log'!K18,'Powder Charge Log'!N18)/('Powder Charge Log'!$L$10/100)/1.047,"")),IFERROR(IF('Powder Charge Log'!N17="",'Powder Charge Log'!K17,'Powder Charge Log'!N17)/('Powder Charge Log'!$L$10/100)/1.047,""))</f>
        <v/>
      </c>
      <c r="G19" s="560">
        <f>IF($B$100="window",IF(OR(A19="",B19="",C19=""),"",IF('Powder Charge Log'!M18="",IF('Powder Charge Log'!L18="",F19,'Powder Charge Log'!L18/('Powder Charge Log'!$L$10/100)/1.047),'Powder Charge Log'!M18/('Powder Charge Log'!$L$10/100)/1.047)),IF('Powder Charge Log'!M17="",IF('Powder Charge Log'!L17="",F19,'Powder Charge Log'!L17/('Powder Charge Log'!$L$10/100)/1.047),'Powder Charge Log'!M17/('Powder Charge Log'!$L$10/100)/1.047))</f>
        <v/>
      </c>
      <c r="H19" s="561">
        <f ca="1">IF(D19="","",IFERROR((D19-AGGREGATE(5,6,$D$18:$D$25))/(AGGREGATE(4,6,$D$18:$D$25)-AGGREGATE(5,6,$D$18:$D$25)),0))</f>
      </c>
      <c r="I19" s="561">
        <f ca="1">IF(E19="","",IFERROR((E19-AGGREGATE(5,6,$E$18:$E$25))/(AGGREGATE(4,6,$E$18:$E$25)-AGGREGATE(5,6,$E$18:$E$25)),0))</f>
      </c>
      <c r="J19" s="561">
        <f ca="1">IF(F19="","",IFERROR((F19-AGGREGATE(5,6,$F$18:$F$25))/(AGGREGATE(4,6,$F$18:$F$25)-AGGREGATE(5,6,$F$18:$F$25)),0))</f>
      </c>
      <c r="K19" s="561">
        <f ca="1">IF(G19="","",IFERROR((G19-AGGREGATE(5,6,$G$18:$G$25))/(AGGREGATE(4,6,$G$18:$G$25)-AGGREGATE(5,6,$G$18:$G$25)),0))</f>
      </c>
      <c r="L19" s="561">
        <f ca="1">IF(A19="","",H19*$B$11+I19*$D$11+J19*$F$11+K19*$H$11)</f>
      </c>
      <c r="M19" s="463">
        <f>IF(D19="",NA(),H19)</f>
      </c>
      <c r="N19" s="464">
        <f>IF(D19="",NA(),I19)</f>
      </c>
      <c r="O19" s="464">
        <f>IF(D19="",NA(),J19)</f>
      </c>
      <c r="P19" s="464">
        <f>IF(D19="",NA(),K19)</f>
      </c>
      <c r="Q19" s="464">
        <f>IF(D19="",NA(),L19)</f>
      </c>
      <c r="R19" s="140" t="n"/>
      <c r="S19" s="309" t="n"/>
      <c r="T19" s="140">
        <v>57.3</v>
      </c>
      <c r="U19" s="140">
        <v>3038.9</v>
      </c>
    </row>
    <row r="20" ht="15" customHeight="1" s="141">
      <c r="A20" s="558">
        <f>IFERROR(IF($B$100="window",'Powder Charge Log'!B19,IF('Powder Charge Log'!B18="","",'Powder Charge Log'!B18)),"")</f>
        <v/>
      </c>
      <c r="B20" s="558">
        <f>IFERROR(IF($B$100="window",'Powder Charge Log'!B18,""),"")</f>
        <v/>
      </c>
      <c r="C20" s="558">
        <f>IFERROR(IF($B$100="window",'Powder Charge Log'!B20,""),"")</f>
        <v/>
      </c>
      <c r="D20" s="559">
        <f>IF($B$100="window",IF(OR(A20="",B20="",C20=""),"",MAX('Powder Charge Log'!H18:H20)-MIN('Powder Charge Log'!H18:H20)),IF('Powder Charge Log'!H18="","",'Powder Charge Log'!H18))</f>
        <v/>
      </c>
      <c r="E20" s="558">
        <f>IF($B$100="window",IF(OR(A20="",B20="",C20=""),"",'Powder Charge Log'!J19),IF('Powder Charge Log'!J18="","",'Powder Charge Log'!J18))</f>
        <v/>
      </c>
      <c r="F20" s="560">
        <f>IF($B$100="window",IF(OR(A20="",B20="",C20=""),"",IFERROR(IF('Powder Charge Log'!N19="",'Powder Charge Log'!K19,'Powder Charge Log'!N19)/('Powder Charge Log'!$L$10/100)/1.047,"")),IFERROR(IF('Powder Charge Log'!N18="",'Powder Charge Log'!K18,'Powder Charge Log'!N18)/('Powder Charge Log'!$L$10/100)/1.047,""))</f>
        <v/>
      </c>
      <c r="G20" s="560">
        <f>IF($B$100="window",IF(OR(A20="",B20="",C20=""),"",IF('Powder Charge Log'!M19="",IF('Powder Charge Log'!L19="",F20,'Powder Charge Log'!L19/('Powder Charge Log'!$L$10/100)/1.047),'Powder Charge Log'!M19/('Powder Charge Log'!$L$10/100)/1.047)),IF('Powder Charge Log'!M18="",IF('Powder Charge Log'!L18="",F20,'Powder Charge Log'!L18/('Powder Charge Log'!$L$10/100)/1.047),'Powder Charge Log'!M18/('Powder Charge Log'!$L$10/100)/1.047))</f>
        <v/>
      </c>
      <c r="H20" s="561">
        <f ca="1">IF(D20="","",IFERROR((D20-AGGREGATE(5,6,$D$18:$D$25))/(AGGREGATE(4,6,$D$18:$D$25)-AGGREGATE(5,6,$D$18:$D$25)),0))</f>
      </c>
      <c r="I20" s="561">
        <f ca="1">IF(E20="","",IFERROR((E20-AGGREGATE(5,6,$E$18:$E$25))/(AGGREGATE(4,6,$E$18:$E$25)-AGGREGATE(5,6,$E$18:$E$25)),0))</f>
      </c>
      <c r="J20" s="561">
        <f ca="1">IF(F20="","",IFERROR((F20-AGGREGATE(5,6,$F$18:$F$25))/(AGGREGATE(4,6,$F$18:$F$25)-AGGREGATE(5,6,$F$18:$F$25)),0))</f>
      </c>
      <c r="K20" s="561">
        <f ca="1">IF(G20="","",IFERROR((G20-AGGREGATE(5,6,$G$18:$G$25))/(AGGREGATE(4,6,$G$18:$G$25)-AGGREGATE(5,6,$G$18:$G$25)),0))</f>
      </c>
      <c r="L20" s="561">
        <f ca="1">IF(A20="","",H20*$B$11+I20*$D$11+J20*$F$11+K20*$H$11)</f>
      </c>
      <c r="M20" s="463">
        <f>IF(D20="",NA(),H20)</f>
      </c>
      <c r="N20" s="464">
        <f>IF(D20="",NA(),I20)</f>
      </c>
      <c r="O20" s="464">
        <f>IF(D20="",NA(),J20)</f>
      </c>
      <c r="P20" s="464">
        <f>IF(D20="",NA(),K20)</f>
      </c>
      <c r="Q20" s="464">
        <f>IF(D20="",NA(),L20)</f>
      </c>
      <c r="R20" s="140" t="n"/>
      <c r="S20" s="309" t="n"/>
      <c r="T20" s="140">
        <v>57.5</v>
      </c>
      <c r="U20" s="140">
        <v>3010.8</v>
      </c>
    </row>
    <row r="21" ht="15" customHeight="1" s="141">
      <c r="A21" s="562">
        <f>IFERROR(IF($B$100="window",'Powder Charge Log'!B20,IF('Powder Charge Log'!B19="","",'Powder Charge Log'!B19)),"")</f>
        <v/>
      </c>
      <c r="B21" s="562">
        <f>IFERROR(IF($B$100="window",'Powder Charge Log'!B19,""),"")</f>
        <v/>
      </c>
      <c r="C21" s="562">
        <f>IFERROR(IF($B$100="window",'Powder Charge Log'!B21,""),"")</f>
        <v/>
      </c>
      <c r="D21" s="563">
        <f>IF($B$100="window",IF(OR(A21="",B21="",C21=""),"",MAX('Powder Charge Log'!H19:H21)-MIN('Powder Charge Log'!H19:H21)),IF('Powder Charge Log'!H19="","",'Powder Charge Log'!H19))</f>
        <v/>
      </c>
      <c r="E21" s="562">
        <f>IF($B$100="window",IF(OR(A21="",B21="",C21=""),"",'Powder Charge Log'!J20),IF('Powder Charge Log'!J19="","",'Powder Charge Log'!J19))</f>
        <v/>
      </c>
      <c r="F21" s="564">
        <f>IF($B$100="window",IF(OR(A21="",B21="",C21=""),"",IFERROR(IF('Powder Charge Log'!N20="",'Powder Charge Log'!K20,'Powder Charge Log'!N20)/('Powder Charge Log'!$L$10/100)/1.047,"")),IFERROR(IF('Powder Charge Log'!N19="",'Powder Charge Log'!K19,'Powder Charge Log'!N19)/('Powder Charge Log'!$L$10/100)/1.047,""))</f>
        <v/>
      </c>
      <c r="G21" s="560">
        <f>IF($B$100="window",IF(OR(A21="",B21="",C21=""),"",IF('Powder Charge Log'!M20="",IF('Powder Charge Log'!L20="",F21,'Powder Charge Log'!L20/('Powder Charge Log'!$L$10/100)/1.047),'Powder Charge Log'!M20/('Powder Charge Log'!$L$10/100)/1.047)),IF('Powder Charge Log'!M19="",IF('Powder Charge Log'!L19="",F21,'Powder Charge Log'!L19/('Powder Charge Log'!$L$10/100)/1.047),'Powder Charge Log'!M19/('Powder Charge Log'!$L$10/100)/1.047))</f>
        <v/>
      </c>
      <c r="H21" s="561">
        <f ca="1">IF(D21="","",IFERROR((D21-AGGREGATE(5,6,$D$18:$D$25))/(AGGREGATE(4,6,$D$18:$D$25)-AGGREGATE(5,6,$D$18:$D$25)),0))</f>
      </c>
      <c r="I21" s="561">
        <f ca="1">IF(E21="","",IFERROR((E21-AGGREGATE(5,6,$E$18:$E$25))/(AGGREGATE(4,6,$E$18:$E$25)-AGGREGATE(5,6,$E$18:$E$25)),0))</f>
      </c>
      <c r="J21" s="561">
        <f ca="1">IF(F21="","",IFERROR((F21-AGGREGATE(5,6,$F$18:$F$25))/(AGGREGATE(4,6,$F$18:$F$25)-AGGREGATE(5,6,$F$18:$F$25)),0))</f>
      </c>
      <c r="K21" s="561">
        <f ca="1">IF(G21="","",IFERROR((G21-AGGREGATE(5,6,$G$18:$G$25))/(AGGREGATE(4,6,$G$18:$G$25)-AGGREGATE(5,6,$G$18:$G$25)),0))</f>
      </c>
      <c r="L21" s="561">
        <f ca="1">IF(A21="","",H21*$B$11+I21*$D$11+J21*$F$11+K21*$H$11)</f>
      </c>
      <c r="M21" s="463">
        <f>IF(D21="",NA(),H21)</f>
      </c>
      <c r="N21" s="464">
        <f>IF(D21="",NA(),I21)</f>
      </c>
      <c r="O21" s="464">
        <f>IF(D21="",NA(),J21)</f>
      </c>
      <c r="P21" s="464">
        <f>IF(D21="",NA(),K21)</f>
      </c>
      <c r="Q21" s="464">
        <f>IF(D21="",NA(),L21)</f>
      </c>
      <c r="R21" s="140" t="n"/>
      <c r="S21" s="309" t="n"/>
      <c r="T21" s="140" t="e">
        <v>#N/A</v>
      </c>
      <c r="U21" s="140" t="e">
        <v>#N/A</v>
      </c>
    </row>
    <row r="22" ht="15" customHeight="1" s="141">
      <c r="A22" s="558">
        <f>IFERROR(IF($B$100="window",'Powder Charge Log'!B21,IF('Powder Charge Log'!B20="","",'Powder Charge Log'!B20)),"")</f>
        <v/>
      </c>
      <c r="B22" s="558">
        <f>IFERROR(IF($B$100="window",'Powder Charge Log'!B20,""),"")</f>
        <v/>
      </c>
      <c r="C22" s="558">
        <f>IFERROR(IF($B$100="window",'Powder Charge Log'!B22,""),"")</f>
        <v/>
      </c>
      <c r="D22" s="559">
        <f>IF($B$100="window",IF(OR(A22="",B22="",C22=""),"",MAX('Powder Charge Log'!H20:H22)-MIN('Powder Charge Log'!H20:H22)),IF('Powder Charge Log'!H20="","",'Powder Charge Log'!H20))</f>
        <v/>
      </c>
      <c r="E22" s="558">
        <f>IF($B$100="window",IF(OR(A22="",B22="",C22=""),"",'Powder Charge Log'!J21),IF('Powder Charge Log'!J20="","",'Powder Charge Log'!J20))</f>
        <v/>
      </c>
      <c r="F22" s="560">
        <f>IF($B$100="window",IF(OR(A22="",B22="",C22=""),"",IFERROR(IF('Powder Charge Log'!N21="",'Powder Charge Log'!K21,'Powder Charge Log'!N21)/('Powder Charge Log'!$L$10/100)/1.047,"")),IFERROR(IF('Powder Charge Log'!N20="",'Powder Charge Log'!K20,'Powder Charge Log'!N20)/('Powder Charge Log'!$L$10/100)/1.047,""))</f>
        <v/>
      </c>
      <c r="G22" s="560">
        <f>IF($B$100="window",IF(OR(A22="",B22="",C22=""),"",IF('Powder Charge Log'!M21="",IF('Powder Charge Log'!L21="",F22,'Powder Charge Log'!L21/('Powder Charge Log'!$L$10/100)/1.047),'Powder Charge Log'!M21/('Powder Charge Log'!$L$10/100)/1.047)),IF('Powder Charge Log'!M20="",IF('Powder Charge Log'!L20="",F22,'Powder Charge Log'!L20/('Powder Charge Log'!$L$10/100)/1.047),'Powder Charge Log'!M20/('Powder Charge Log'!$L$10/100)/1.047))</f>
        <v/>
      </c>
      <c r="H22" s="561">
        <f ca="1">IF(D22="","",IFERROR((D22-AGGREGATE(5,6,$D$18:$D$25))/(AGGREGATE(4,6,$D$18:$D$25)-AGGREGATE(5,6,$D$18:$D$25)),0))</f>
      </c>
      <c r="I22" s="561">
        <f ca="1">IF(E22="","",IFERROR((E22-AGGREGATE(5,6,$E$18:$E$25))/(AGGREGATE(4,6,$E$18:$E$25)-AGGREGATE(5,6,$E$18:$E$25)),0))</f>
      </c>
      <c r="J22" s="561">
        <f ca="1">IF(F22="","",IFERROR((F22-AGGREGATE(5,6,$F$18:$F$25))/(AGGREGATE(4,6,$F$18:$F$25)-AGGREGATE(5,6,$F$18:$F$25)),0))</f>
      </c>
      <c r="K22" s="561">
        <f ca="1">IF(G22="","",IFERROR((G22-AGGREGATE(5,6,$G$18:$G$25))/(AGGREGATE(4,6,$G$18:$G$25)-AGGREGATE(5,6,$G$18:$G$25)),0))</f>
      </c>
      <c r="L22" s="561">
        <f ca="1">IF(A22="","",H22*$B$11+I22*$D$11+J22*$F$11+K22*$H$11)</f>
      </c>
      <c r="M22" s="463">
        <f>IF(D22="",NA(),H22)</f>
      </c>
      <c r="N22" s="464">
        <f>IF(D22="",NA(),I22)</f>
      </c>
      <c r="O22" s="464">
        <f>IF(D22="",NA(),J22)</f>
      </c>
      <c r="P22" s="464">
        <f>IF(D22="",NA(),K22)</f>
      </c>
      <c r="Q22" s="464">
        <f>IF(D22="",NA(),L22)</f>
      </c>
      <c r="R22" s="140" t="n"/>
      <c r="S22" s="309" t="n"/>
      <c r="T22" s="140" t="e">
        <v>#N/A</v>
      </c>
      <c r="U22" s="140" t="e">
        <v>#N/A</v>
      </c>
    </row>
    <row r="23" ht="15" customHeight="1" s="141">
      <c r="A23" s="558">
        <f>IFERROR(IF($B$100="window",'Powder Charge Log'!B22,IF('Powder Charge Log'!B21="","",'Powder Charge Log'!B21)),"")</f>
        <v/>
      </c>
      <c r="B23" s="558">
        <f>IFERROR(IF($B$100="window",'Powder Charge Log'!B21,""),"")</f>
        <v/>
      </c>
      <c r="C23" s="558">
        <f>IFERROR(IF($B$100="window",'Powder Charge Log'!B23,""),"")</f>
        <v/>
      </c>
      <c r="D23" s="559">
        <f>IF($B$100="window",IF(OR(A23="",B23="",C23=""),"",MAX('Powder Charge Log'!H21:H23)-MIN('Powder Charge Log'!H21:H23)),IF('Powder Charge Log'!H21="","",'Powder Charge Log'!H21))</f>
        <v/>
      </c>
      <c r="E23" s="558">
        <f>IF($B$100="window",IF(OR(A23="",B23="",C23=""),"",'Powder Charge Log'!J22),IF('Powder Charge Log'!J21="","",'Powder Charge Log'!J21))</f>
        <v/>
      </c>
      <c r="F23" s="560">
        <f>IF($B$100="window",IF(OR(A23="",B23="",C23=""),"",IFERROR(IF('Powder Charge Log'!N22="",'Powder Charge Log'!K22,'Powder Charge Log'!N22)/('Powder Charge Log'!$L$10/100)/1.047,"")),IFERROR(IF('Powder Charge Log'!N21="",'Powder Charge Log'!K21,'Powder Charge Log'!N21)/('Powder Charge Log'!$L$10/100)/1.047,""))</f>
        <v/>
      </c>
      <c r="G23" s="560">
        <f>IF($B$100="window",IF(OR(A23="",B23="",C23=""),"",IF('Powder Charge Log'!M22="",IF('Powder Charge Log'!L22="",F23,'Powder Charge Log'!L22/('Powder Charge Log'!$L$10/100)/1.047),'Powder Charge Log'!M22/('Powder Charge Log'!$L$10/100)/1.047)),IF('Powder Charge Log'!M21="",IF('Powder Charge Log'!L21="",F23,'Powder Charge Log'!L21/('Powder Charge Log'!$L$10/100)/1.047),'Powder Charge Log'!M21/('Powder Charge Log'!$L$10/100)/1.047))</f>
        <v/>
      </c>
      <c r="H23" s="561">
        <f ca="1">IF(D23="","",IFERROR((D23-AGGREGATE(5,6,$D$18:$D$25))/(AGGREGATE(4,6,$D$18:$D$25)-AGGREGATE(5,6,$D$18:$D$25)),0))</f>
      </c>
      <c r="I23" s="561">
        <f ca="1">IF(E23="","",IFERROR((E23-AGGREGATE(5,6,$E$18:$E$25))/(AGGREGATE(4,6,$E$18:$E$25)-AGGREGATE(5,6,$E$18:$E$25)),0))</f>
      </c>
      <c r="J23" s="561">
        <f ca="1">IF(F23="","",IFERROR((F23-AGGREGATE(5,6,$F$18:$F$25))/(AGGREGATE(4,6,$F$18:$F$25)-AGGREGATE(5,6,$F$18:$F$25)),0))</f>
      </c>
      <c r="K23" s="561">
        <f ca="1">IF(G23="","",IFERROR((G23-AGGREGATE(5,6,$G$18:$G$25))/(AGGREGATE(4,6,$G$18:$G$25)-AGGREGATE(5,6,$G$18:$G$25)),0))</f>
      </c>
      <c r="L23" s="561">
        <f ca="1">IF(A23="","",H23*$B$11+I23*$D$11+J23*$F$11+K23*$H$11)</f>
      </c>
      <c r="M23" s="463">
        <f>IF(D23="",NA(),H23)</f>
      </c>
      <c r="N23" s="464">
        <f>IF(D23="",NA(),I23)</f>
      </c>
      <c r="O23" s="464">
        <f>IF(D23="",NA(),J23)</f>
      </c>
      <c r="P23" s="464">
        <f>IF(D23="",NA(),K23)</f>
      </c>
      <c r="Q23" s="464">
        <f>IF(D23="",NA(),L23)</f>
      </c>
      <c r="R23" s="140" t="n"/>
      <c r="S23" s="309" t="n"/>
      <c r="T23" s="140" t="e">
        <v>#N/A</v>
      </c>
      <c r="U23" s="140" t="e">
        <v>#N/A</v>
      </c>
    </row>
    <row r="24" ht="21.75" customHeight="1" s="141">
      <c r="A24" s="558">
        <f>IFERROR(IF($B$100="window",'Powder Charge Log'!B23,IF('Powder Charge Log'!B22="","",'Powder Charge Log'!B22)),"")</f>
        <v/>
      </c>
      <c r="B24" s="558">
        <f>IFERROR(IF($B$100="window",'Powder Charge Log'!B22,""),"")</f>
        <v/>
      </c>
      <c r="C24" s="558">
        <f>IFERROR(IF($B$100="window",'Powder Charge Log'!B24,""),"")</f>
        <v/>
      </c>
      <c r="D24" s="559">
        <f>IF($B$100="window",IF(OR(A24="",B24="",C24=""),"",MAX('Powder Charge Log'!H22:H24)-MIN('Powder Charge Log'!H22:H24)),IF('Powder Charge Log'!H22="","",'Powder Charge Log'!H22))</f>
        <v/>
      </c>
      <c r="E24" s="558">
        <f>IF($B$100="window",IF(OR(A24="",B24="",C24=""),"",'Powder Charge Log'!J23),IF('Powder Charge Log'!J22="","",'Powder Charge Log'!J22))</f>
        <v/>
      </c>
      <c r="F24" s="560">
        <f>IF($B$100="window",IF(OR(A24="",B24="",C24=""),"",IFERROR(IF('Powder Charge Log'!N23="",'Powder Charge Log'!K23,'Powder Charge Log'!N23)/('Powder Charge Log'!$L$10/100)/1.047,"")),IFERROR(IF('Powder Charge Log'!N22="",'Powder Charge Log'!K22,'Powder Charge Log'!N22)/('Powder Charge Log'!$L$10/100)/1.047,""))</f>
        <v/>
      </c>
      <c r="G24" s="560">
        <f>IF($B$100="window",IF(OR(A24="",B24="",C24=""),"",IF('Powder Charge Log'!M23="",IF('Powder Charge Log'!L23="",F24,'Powder Charge Log'!L23/('Powder Charge Log'!$L$10/100)/1.047),'Powder Charge Log'!M23/('Powder Charge Log'!$L$10/100)/1.047)),IF('Powder Charge Log'!M22="",IF('Powder Charge Log'!L22="",F24,'Powder Charge Log'!L22/('Powder Charge Log'!$L$10/100)/1.047),'Powder Charge Log'!M22/('Powder Charge Log'!$L$10/100)/1.047))</f>
        <v/>
      </c>
      <c r="H24" s="561">
        <f ca="1">IF(D24="","",IFERROR((D24-AGGREGATE(5,6,$D$18:$D$25))/(AGGREGATE(4,6,$D$18:$D$25)-AGGREGATE(5,6,$D$18:$D$25)),0))</f>
      </c>
      <c r="I24" s="561">
        <f ca="1">IF(E24="","",IFERROR((E24-AGGREGATE(5,6,$E$18:$E$25))/(AGGREGATE(4,6,$E$18:$E$25)-AGGREGATE(5,6,$E$18:$E$25)),0))</f>
      </c>
      <c r="J24" s="561">
        <f ca="1">IF(F24="","",IFERROR((F24-AGGREGATE(5,6,$F$18:$F$25))/(AGGREGATE(4,6,$F$18:$F$25)-AGGREGATE(5,6,$F$18:$F$25)),0))</f>
      </c>
      <c r="K24" s="561">
        <f ca="1">IF(G24="","",IFERROR((G24-AGGREGATE(5,6,$G$18:$G$25))/(AGGREGATE(4,6,$G$18:$G$25)-AGGREGATE(5,6,$G$18:$G$25)),0))</f>
      </c>
      <c r="L24" s="561">
        <f ca="1">IF(A24="","",H24*$B$11+I24*$D$11+J24*$F$11+K24*$H$11)</f>
      </c>
      <c r="M24" s="463">
        <f>IF(D24="",NA(),H24)</f>
      </c>
      <c r="N24" s="465">
        <f>IF(D24="",NA(),I24)</f>
      </c>
      <c r="O24" s="465">
        <f>IF(D24="",NA(),J24)</f>
      </c>
      <c r="P24" s="465">
        <f>IF(D24="",NA(),K24)</f>
      </c>
      <c r="Q24" s="465">
        <f>IF(D24="",NA(),L24)</f>
      </c>
      <c r="R24" s="140" t="n"/>
      <c r="S24" s="351" t="n"/>
      <c r="T24" s="140" t="e">
        <v>#N/A</v>
      </c>
      <c r="U24" s="140" t="e">
        <v>#N/A</v>
      </c>
    </row>
    <row r="25" ht="15" customHeight="1" s="141">
      <c r="A25" s="558">
        <f>IFERROR(IF($B$100="window",'Powder Charge Log'!B24,IF('Powder Charge Log'!B23="","",'Powder Charge Log'!B23)),"")</f>
        <v/>
      </c>
      <c r="B25" s="558">
        <f>IFERROR(IF($B$100="window",'Powder Charge Log'!B23,""),"")</f>
        <v/>
      </c>
      <c r="C25" s="558">
        <f>IFERROR(IF($B$100="window",'Powder Charge Log'!B25,""),"")</f>
        <v/>
      </c>
      <c r="D25" s="559">
        <f>IF($B$100="window",IF(OR(A25="",B25="",C25=""),"",MAX('Powder Charge Log'!H23:H25)-MIN('Powder Charge Log'!H23:H25)),IF('Powder Charge Log'!H23="","",'Powder Charge Log'!H23))</f>
        <v/>
      </c>
      <c r="E25" s="558">
        <f>IF($B$100="window",IF(OR(A25="",B25="",C25=""),"",'Powder Charge Log'!J24),IF('Powder Charge Log'!J23="","",'Powder Charge Log'!J23))</f>
        <v/>
      </c>
      <c r="F25" s="560">
        <f>IF($B$100="window",IF(OR(A25="",B25="",C25=""),"",IFERROR(IF('Powder Charge Log'!N24="",'Powder Charge Log'!K24,'Powder Charge Log'!N24)/('Powder Charge Log'!$L$10/100)/1.047,"")),IFERROR(IF('Powder Charge Log'!N23="",'Powder Charge Log'!K23,'Powder Charge Log'!N23)/('Powder Charge Log'!$L$10/100)/1.047,""))</f>
        <v/>
      </c>
      <c r="G25" s="560">
        <f>IF($B$100="window",IF(OR(A25="",B25="",C25=""),"",IF('Powder Charge Log'!M24="",IF('Powder Charge Log'!L24="",F25,'Powder Charge Log'!L24/('Powder Charge Log'!$L$10/100)/1.047),'Powder Charge Log'!M24/('Powder Charge Log'!$L$10/100)/1.047)),IF('Powder Charge Log'!M23="",IF('Powder Charge Log'!L23="",F25,'Powder Charge Log'!L23/('Powder Charge Log'!$L$10/100)/1.047),'Powder Charge Log'!M23/('Powder Charge Log'!$L$10/100)/1.047))</f>
        <v/>
      </c>
      <c r="H25" s="561">
        <f ca="1">IF(D25="","",IFERROR((D25-AGGREGATE(5,6,$D$18:$D$25))/(AGGREGATE(4,6,$D$18:$D$25)-AGGREGATE(5,6,$D$18:$D$25)),0))</f>
      </c>
      <c r="I25" s="561">
        <f ca="1">IF(E25="","",IFERROR((E25-AGGREGATE(5,6,$E$18:$E$25))/(AGGREGATE(4,6,$E$18:$E$25)-AGGREGATE(5,6,$E$18:$E$25)),0))</f>
      </c>
      <c r="J25" s="561">
        <f ca="1">IF(F25="","",IFERROR((F25-AGGREGATE(5,6,$F$18:$F$25))/(AGGREGATE(4,6,$F$18:$F$25)-AGGREGATE(5,6,$F$18:$F$25)),0))</f>
      </c>
      <c r="K25" s="561">
        <f ca="1">IF(G25="","",IFERROR((G25-AGGREGATE(5,6,$G$18:$G$25))/(AGGREGATE(4,6,$G$18:$G$25)-AGGREGATE(5,6,$G$18:$G$25)),0))</f>
      </c>
      <c r="L25" s="561">
        <f ca="1">IF(A25="","",H25*$B$11+I25*$D$11+J25*$F$11+K25*$H$11)</f>
      </c>
      <c r="M25" s="463">
        <f>IF(D25="",NA(),H25)</f>
      </c>
      <c r="N25" s="464">
        <f>IF(D25="",NA(),I25)</f>
      </c>
      <c r="O25" s="464">
        <f>IF(D25="",NA(),J25)</f>
      </c>
      <c r="P25" s="464">
        <f>IF(D25="",NA(),K25)</f>
      </c>
      <c r="Q25" s="464">
        <f>IF(D25="",NA(),L25)</f>
      </c>
      <c r="R25" s="140" t="n"/>
      <c r="S25" s="309" t="n"/>
      <c r="T25" s="140" t="e">
        <v>#N/A</v>
      </c>
      <c r="U25" s="140" t="e">
        <v>#N/A</v>
      </c>
    </row>
    <row r="26" ht="15.75" customHeight="1" s="141">
      <c r="A26" s="309" t="n"/>
      <c r="B26" s="309" t="n"/>
      <c r="C26" s="309" t="n"/>
      <c r="D26" s="309" t="n"/>
      <c r="E26" s="309" t="n"/>
      <c r="F26" s="309" t="n"/>
      <c r="G26" s="309" t="n"/>
      <c r="H26" s="309" t="n"/>
      <c r="I26" s="309" t="n"/>
      <c r="J26" s="309" t="n"/>
      <c r="K26" s="309" t="n"/>
      <c r="L26" s="309" t="n"/>
      <c r="M26" s="309" t="n"/>
      <c r="N26" s="309" t="n"/>
      <c r="O26" s="309" t="n"/>
      <c r="P26" s="309" t="n"/>
      <c r="Q26" s="309" t="n"/>
      <c r="R26" s="309" t="n"/>
      <c r="S26" s="309" t="n"/>
      <c r="T26" s="309" t="n"/>
      <c r="U26" s="309" t="n"/>
    </row>
    <row r="27" ht="21.75" customHeight="1" s="141">
      <c r="A27" s="352" t="inlineStr">
        <is>
          <t>COMPARISON CHARTS</t>
        </is>
      </c>
      <c r="B27" s="309" t="n"/>
      <c r="C27" s="309" t="n"/>
      <c r="D27" s="309" t="n"/>
      <c r="E27" s="309" t="n"/>
      <c r="F27" s="309" t="n"/>
      <c r="G27" s="309" t="n"/>
      <c r="H27" s="309" t="n"/>
      <c r="I27" s="309" t="n"/>
      <c r="J27" s="309" t="n"/>
      <c r="K27" s="309" t="n"/>
      <c r="L27" s="309" t="n"/>
      <c r="M27" s="309" t="n"/>
      <c r="N27" s="309" t="n"/>
      <c r="O27" s="309" t="n"/>
      <c r="P27" s="309" t="n"/>
      <c r="Q27" s="309" t="n"/>
      <c r="R27" s="309" t="n"/>
      <c r="S27" s="309" t="n"/>
      <c r="T27" s="309" t="n"/>
      <c r="U27" s="309" t="n"/>
    </row>
    <row r="28" ht="15.75" customHeight="1" s="141"/>
    <row r="29" ht="15.75" customHeight="1" s="141"/>
    <row r="30" ht="15.75" customHeight="1" s="141"/>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idden="1" ht="15.75" customHeight="1" s="141">
      <c r="A100" s="526" t="inlineStr">
        <is>
          <t>Mode:</t>
        </is>
      </c>
      <c r="B100" s="526">
        <f>IF(COUNT('Powder Charge Log'!B16:B25)&gt;=5,"window","test")</f>
        <v/>
      </c>
    </row>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1:M1"/>
    <mergeCell ref="A27:M27"/>
    <mergeCell ref="A10:L10"/>
    <mergeCell ref="A6:L6"/>
    <mergeCell ref="A7:K7"/>
    <mergeCell ref="B3:C5"/>
    <mergeCell ref="A3:A5"/>
    <mergeCell ref="A8:K8"/>
    <mergeCell ref="A12:L12"/>
  </mergeCells>
  <conditionalFormatting sqref="J18:J25">
    <cfRule type="colorScale" priority="2">
      <colorScale>
        <cfvo type="min" val="0"/>
        <cfvo type="percentile" val="50"/>
        <cfvo type="max" val="0"/>
        <color rgb="FF63BE7B"/>
        <color rgb="FFFFEB84"/>
        <color rgb="FFF8696B"/>
      </colorScale>
    </cfRule>
  </conditionalFormatting>
  <conditionalFormatting sqref="L18:L25">
    <cfRule type="colorScale" priority="3">
      <colorScale>
        <cfvo type="min" val="0"/>
        <cfvo type="percentile" val="50"/>
        <cfvo type="max" val="0"/>
        <color rgb="FF63BE7B"/>
        <color rgb="FFFFEB84"/>
        <color rgb="FFF8696B"/>
      </colorScale>
    </cfRule>
  </conditionalFormatting>
  <conditionalFormatting sqref="A3:L5">
    <cfRule type="expression" priority="3" dxfId="0">
      <formula>ISNA(INDIRECT(ADDRESS(ROW(),COLUMN())))</formula>
    </cfRule>
  </conditionalFormatting>
  <conditionalFormatting sqref="A17:Q25">
    <cfRule type="expression" priority="4" dxfId="0">
      <formula>ISNA(INDIRECT(ADDRESS(ROW(),COLUMN())))</formula>
    </cfRule>
  </conditionalFormatting>
  <conditionalFormatting sqref="D18:D25">
    <cfRule type="colorScale" priority="100">
      <colorScale>
        <cfvo type="min"/>
        <cfvo type="percentile" val="50"/>
        <cfvo type="max"/>
        <color rgb="FF63BE7B"/>
        <color rgb="FFFFEB84"/>
        <color rgb="FFF8696B"/>
      </colorScale>
    </cfRule>
  </conditionalFormatting>
  <conditionalFormatting sqref="E18:E25">
    <cfRule type="colorScale" priority="101">
      <colorScale>
        <cfvo type="min"/>
        <cfvo type="percentile" val="50"/>
        <cfvo type="max"/>
        <color rgb="FF63BE7B"/>
        <color rgb="FFFFEB84"/>
        <color rgb="FFF8696B"/>
      </colorScale>
    </cfRule>
  </conditionalFormatting>
  <conditionalFormatting sqref="F18:F25">
    <cfRule type="colorScale" priority="102">
      <colorScale>
        <cfvo type="min"/>
        <cfvo type="percentile" val="50"/>
        <cfvo type="max"/>
        <color rgb="FF63BE7B"/>
        <color rgb="FFFFEB84"/>
        <color rgb="FFF8696B"/>
      </colorScale>
    </cfRule>
  </conditionalFormatting>
  <conditionalFormatting sqref="G18:G25">
    <cfRule type="colorScale" priority="103">
      <colorScale>
        <cfvo type="min"/>
        <cfvo type="percentile" val="50"/>
        <cfvo type="max"/>
        <color rgb="FF63BE7B"/>
        <color rgb="FFFFEB84"/>
        <color rgb="FFF8696B"/>
      </colorScale>
    </cfRule>
  </conditionalFormatting>
  <conditionalFormatting sqref="H18:H25">
    <cfRule type="colorScale" priority="110">
      <colorScale>
        <cfvo type="min"/>
        <cfvo type="percentile" val="50"/>
        <cfvo type="max"/>
        <color rgb="FF63BE7B"/>
        <color rgb="FFFFEB84"/>
        <color rgb="FFF8696B"/>
      </colorScale>
    </cfRule>
  </conditionalFormatting>
  <conditionalFormatting sqref="I18:I25">
    <cfRule type="colorScale" priority="111">
      <colorScale>
        <cfvo type="min"/>
        <cfvo type="percentile" val="50"/>
        <cfvo type="max"/>
        <color rgb="FF63BE7B"/>
        <color rgb="FFFFEB84"/>
        <color rgb="FFF8696B"/>
      </colorScale>
    </cfRule>
  </conditionalFormatting>
  <conditionalFormatting sqref="K18:K25">
    <cfRule type="colorScale" priority="112">
      <colorScale>
        <cfvo type="min"/>
        <cfvo type="percentile" val="50"/>
        <cfvo type="max"/>
        <color rgb="FF63BE7B"/>
        <color rgb="FFFFEB84"/>
        <color rgb="FFF8696B"/>
      </colorScale>
    </cfRule>
  </conditionalFormatting>
  <hyperlinks>
    <hyperlink xmlns:r="http://schemas.openxmlformats.org/officeDocument/2006/relationships" ref="A6" r:id="rId3" display="Save Suggested Load to Library"/>
    <hyperlink xmlns:r="http://schemas.openxmlformats.org/officeDocument/2006/relationships" ref="A12" r:id="rId2" display="Click to reset to Loadscope defaults"/>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outlinePr summaryBelow="1" summaryRight="1"/>
    <pageSetUpPr fitToPage="1"/>
  </sheetPr>
  <dimension ref="A1:AL10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10" customWidth="1" style="140" min="1" max="10"/>
    <col width="10" customWidth="1" style="141" min="2" max="2"/>
    <col width="8" customWidth="1" style="141" min="3" max="3"/>
    <col width="7" customWidth="1" style="141" min="4" max="4"/>
    <col width="7" customWidth="1" style="141" min="5" max="5"/>
    <col width="9" customWidth="1" style="141" min="6" max="6"/>
    <col width="9" customWidth="1" style="141" min="7" max="7"/>
    <col width="7" customWidth="1" style="141" min="8" max="8"/>
    <col width="8" customWidth="1" style="141" min="9" max="9"/>
    <col width="6" customWidth="1" style="141" min="10" max="10"/>
    <col width="12" customWidth="1" style="140" min="11" max="12"/>
    <col width="10" customWidth="1" style="141" min="12" max="12"/>
    <col width="8" customWidth="1" style="140" min="13" max="13"/>
    <col width="14" customWidth="1" style="140" min="14" max="14"/>
    <col width="8" customWidth="1" style="140" min="15" max="16"/>
    <col width="18" customWidth="1" style="141" min="16" max="16"/>
    <col width="8.43" customWidth="1" style="140" min="17" max="37"/>
  </cols>
  <sheetData>
    <row r="1" ht="31.5" customHeight="1" s="141">
      <c r="A1" s="316" t="inlineStr">
        <is>
          <t>Seating Depth Test — Best Jump Finder</t>
        </is>
      </c>
      <c r="B1" s="309" t="n"/>
      <c r="C1" s="309" t="n"/>
      <c r="D1" s="309" t="n"/>
      <c r="E1" s="309" t="n"/>
      <c r="F1" s="309" t="n"/>
      <c r="G1" s="309" t="n"/>
      <c r="H1" s="309" t="n"/>
      <c r="I1" s="309" t="n"/>
      <c r="J1" s="309" t="n"/>
      <c r="K1" s="309" t="n"/>
      <c r="L1" s="309" t="n"/>
      <c r="M1" s="309" t="n"/>
      <c r="N1" s="309" t="n"/>
      <c r="O1" s="309" t="n"/>
      <c r="P1" s="309" t="n"/>
      <c r="Q1" s="520" t="n"/>
      <c r="R1" s="317" t="n"/>
      <c r="S1" s="317" t="n"/>
      <c r="T1" s="317" t="n"/>
      <c r="U1" s="317" t="n"/>
      <c r="V1" s="317" t="n"/>
      <c r="W1" s="317" t="n"/>
      <c r="X1" s="317" t="n"/>
      <c r="Y1" s="317" t="n"/>
      <c r="Z1" s="317" t="n"/>
      <c r="AA1" s="317" t="n"/>
      <c r="AB1" s="317" t="n"/>
      <c r="AC1" s="317" t="n"/>
      <c r="AD1" s="317" t="n"/>
      <c r="AE1" s="317" t="n"/>
      <c r="AF1" s="317" t="n"/>
      <c r="AG1" s="317" t="n"/>
      <c r="AH1" s="317" t="n"/>
      <c r="AI1" s="317" t="n"/>
      <c r="AJ1" s="317" t="n"/>
      <c r="AK1" s="317" t="n"/>
      <c r="AL1" s="317" t="n"/>
    </row>
    <row r="2" ht="33.75" customHeight="1" s="141">
      <c r="A2" s="521" t="inlineStr">
        <is>
          <t>SUGGESTED JUMP →</t>
        </is>
      </c>
      <c r="B2" s="309" t="n"/>
      <c r="C2" s="309" t="n"/>
      <c r="D2" s="541">
        <f>IFERROR(INDEX($A$30:$A$37,MATCH(MIN($L$30:$L$37),$L$30:$L$37,0)),"")</f>
        <v/>
      </c>
      <c r="F2" s="521" t="inlineStr">
        <is>
          <t>Vel:</t>
        </is>
      </c>
      <c r="G2" s="540">
        <f>IFERROR(INDEX($I$16:$I$25,MATCH(INDEX($A$30:$A$37,MATCH(MIN($L$30:$L$37),$L$30:$L$37,0)),$B$16:$B$25,0)),"")</f>
        <v/>
      </c>
      <c r="I2" s="521" t="inlineStr">
        <is>
          <t>SD:</t>
        </is>
      </c>
      <c r="J2" s="539">
        <f>IFERROR(INDEX($K$16:$K$25,MATCH(INDEX($A$30:$A$37,MATCH(MIN($L$30:$L$37),$L$30:$L$37,0)),$B$16:$B$25,0)),"")</f>
        <v/>
      </c>
      <c r="K2" s="521" t="inlineStr">
        <is>
          <t>MR:</t>
        </is>
      </c>
      <c r="L2" s="541">
        <f>IFERROR(INDEX($F$30:$F$37,MATCH(MIN($L$30:$L$37),$L$30:$L$37,0)),"")</f>
        <v/>
      </c>
      <c r="M2" s="421" t="inlineStr">
        <is>
          <t>Vert:</t>
        </is>
      </c>
      <c r="N2" s="541">
        <f>IFERROR(INDEX($G$30:$G$37,MATCH(MIN($L$30:$L$37),$L$30:$L$37,0)),"")</f>
        <v/>
      </c>
      <c r="O2" s="287" t="inlineStr">
        <is>
          <r>
            <rPr>
              <b/>
              <sz val="12"/>
              <color rgb="FFFFFFFF"/>
              <rFont val="Calibri"/>
            </rPr>
            <t xml:space="preserve">Best in:  </t>
          </r>
          <r>
            <rPr>
              <b/>
              <sz val="16"/>
              <color rgb="FFFFFF00"/>
              <rFont val="Calibri"/>
            </rPr>
            <t xml:space="preserve"/>
          </r>
        </is>
      </c>
      <c r="Q2" s="317" t="n"/>
      <c r="R2" s="317" t="n"/>
      <c r="S2" s="317" t="n"/>
      <c r="T2" s="317" t="n"/>
      <c r="U2" s="317" t="n"/>
      <c r="V2" s="317" t="n"/>
      <c r="W2" s="317" t="n"/>
      <c r="X2" s="317" t="n"/>
      <c r="Y2" s="317" t="n"/>
      <c r="Z2" s="317" t="n"/>
      <c r="AA2" s="317" t="n"/>
      <c r="AB2" s="317" t="n"/>
      <c r="AC2" s="317" t="n"/>
      <c r="AD2" s="317" t="n"/>
      <c r="AE2" s="317" t="n"/>
      <c r="AF2" s="317" t="n"/>
      <c r="AG2" s="317" t="n"/>
      <c r="AH2" s="317" t="n"/>
      <c r="AI2" s="317" t="n"/>
      <c r="AJ2" s="317" t="n"/>
      <c r="AK2" s="317" t="n"/>
      <c r="AL2" s="317" t="n"/>
    </row>
    <row r="3" ht="24" customHeight="1" s="141">
      <c r="A3" s="406" t="inlineStr">
        <is>
          <t>↓  Click here to jump to the Charts sheet (Suggested Best Load)  ↓</t>
        </is>
      </c>
      <c r="B3" s="309" t="n"/>
      <c r="C3" s="309" t="n"/>
      <c r="D3" s="309" t="n"/>
      <c r="E3" s="309" t="n"/>
      <c r="F3" s="309" t="n"/>
      <c r="G3" s="309" t="n"/>
      <c r="H3" s="309" t="n"/>
      <c r="I3" s="309" t="n"/>
      <c r="J3" s="309" t="n"/>
      <c r="K3" s="309" t="n"/>
      <c r="L3" s="309" t="n"/>
      <c r="M3" s="309" t="n"/>
      <c r="N3" s="309" t="n"/>
      <c r="O3" s="309" t="n"/>
      <c r="P3" s="309" t="n"/>
      <c r="Q3" s="317" t="n"/>
      <c r="R3" s="317" t="n"/>
      <c r="S3" s="317" t="n"/>
      <c r="T3" s="317" t="n"/>
      <c r="U3" s="317" t="n"/>
      <c r="V3" s="317" t="n"/>
      <c r="W3" s="317" t="n"/>
      <c r="X3" s="317" t="n"/>
      <c r="Y3" s="317" t="n"/>
      <c r="Z3" s="317" t="n"/>
      <c r="AA3" s="317" t="n"/>
      <c r="AB3" s="317" t="n"/>
      <c r="AC3" s="317" t="n"/>
      <c r="AD3" s="317" t="n"/>
      <c r="AE3" s="317" t="n"/>
      <c r="AF3" s="317" t="n"/>
      <c r="AG3" s="317" t="n"/>
      <c r="AH3" s="317" t="n"/>
      <c r="AI3" s="317" t="n"/>
      <c r="AJ3" s="317" t="n"/>
      <c r="AK3" s="317" t="n"/>
      <c r="AL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09" t="n"/>
      <c r="Q4" s="317" t="n"/>
      <c r="R4" s="317" t="n"/>
      <c r="S4" s="317" t="n"/>
      <c r="T4" s="317" t="n"/>
      <c r="U4" s="317" t="n"/>
      <c r="V4" s="317" t="n"/>
      <c r="W4" s="317" t="n"/>
      <c r="X4" s="317" t="n"/>
      <c r="Y4" s="317" t="n"/>
      <c r="Z4" s="317" t="n"/>
      <c r="AA4" s="317" t="n"/>
      <c r="AB4" s="317" t="n"/>
      <c r="AC4" s="317" t="n"/>
      <c r="AD4" s="317" t="n"/>
      <c r="AE4" s="317" t="n"/>
      <c r="AF4" s="317" t="n"/>
      <c r="AG4" s="317" t="n"/>
      <c r="AH4" s="317" t="n"/>
      <c r="AI4" s="317" t="n"/>
      <c r="AJ4" s="317" t="n"/>
      <c r="AK4" s="317" t="n"/>
      <c r="AL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2" t="n"/>
      <c r="P5" s="323" t="n"/>
      <c r="Q5" s="317" t="n"/>
      <c r="R5" s="317" t="n"/>
      <c r="S5" s="317" t="n"/>
      <c r="T5" s="317" t="n"/>
      <c r="U5" s="317" t="n"/>
      <c r="V5" s="317" t="n"/>
      <c r="W5" s="317" t="n"/>
      <c r="X5" s="317" t="n"/>
      <c r="Y5" s="317" t="n"/>
      <c r="Z5" s="317" t="n"/>
      <c r="AA5" s="317" t="n"/>
      <c r="AB5" s="317" t="n"/>
      <c r="AC5" s="317" t="n"/>
      <c r="AD5" s="317" t="n"/>
      <c r="AE5" s="317" t="n"/>
      <c r="AF5" s="317" t="n"/>
      <c r="AG5" s="317" t="n"/>
      <c r="AH5" s="317" t="n"/>
      <c r="AI5" s="317" t="n"/>
      <c r="AJ5" s="317" t="n"/>
      <c r="AK5" s="317" t="n"/>
      <c r="AL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2" t="n"/>
      <c r="P6" s="323" t="n"/>
      <c r="Q6" s="317" t="n"/>
      <c r="R6" s="317" t="n"/>
      <c r="S6" s="317" t="n"/>
      <c r="T6" s="317" t="n"/>
      <c r="U6" s="317" t="n"/>
      <c r="V6" s="317" t="n"/>
      <c r="W6" s="317" t="n"/>
      <c r="X6" s="317" t="n"/>
      <c r="Y6" s="317" t="n"/>
      <c r="Z6" s="317" t="n"/>
      <c r="AA6" s="317" t="n"/>
      <c r="AB6" s="317" t="n"/>
      <c r="AC6" s="317" t="n"/>
      <c r="AD6" s="317" t="n"/>
      <c r="AE6" s="317" t="n"/>
      <c r="AF6" s="317" t="n"/>
      <c r="AG6" s="317" t="n"/>
      <c r="AH6" s="317" t="n"/>
      <c r="AI6" s="317" t="n"/>
      <c r="AJ6" s="317" t="n"/>
      <c r="AK6" s="317" t="n"/>
      <c r="AL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c r="AH7" s="317" t="n"/>
      <c r="AI7" s="317" t="n"/>
      <c r="AJ7" s="317" t="n"/>
      <c r="AK7" s="317" t="n"/>
      <c r="AL7" s="317" t="n"/>
    </row>
    <row r="8" ht="24" customHeight="1" s="141">
      <c r="A8" s="324" t="inlineStr">
        <is>
          <t>LOAD COMPONENTS  (constants for this seating-depth test)</t>
        </is>
      </c>
      <c r="B8" s="309" t="n"/>
      <c r="C8" s="309" t="n"/>
      <c r="D8" s="309" t="n"/>
      <c r="E8" s="309" t="n"/>
      <c r="F8" s="309" t="n"/>
      <c r="G8" s="309" t="n"/>
      <c r="H8" s="309" t="n"/>
      <c r="I8" s="309" t="n"/>
      <c r="J8" s="309" t="n"/>
      <c r="K8" s="309" t="n"/>
      <c r="L8" s="309" t="n"/>
      <c r="M8" s="309" t="n"/>
      <c r="N8" s="309" t="n"/>
      <c r="O8" s="309" t="n"/>
      <c r="P8" s="309" t="n"/>
      <c r="Q8" s="317" t="n"/>
      <c r="R8" s="317" t="n"/>
      <c r="S8" s="317" t="n"/>
      <c r="T8" s="317" t="n"/>
      <c r="U8" s="317" t="n"/>
      <c r="V8" s="317" t="n"/>
      <c r="W8" s="317" t="n"/>
      <c r="X8" s="317" t="n"/>
      <c r="Y8" s="317" t="n"/>
      <c r="Z8" s="317" t="n"/>
      <c r="AA8" s="317" t="n"/>
      <c r="AB8" s="317" t="n"/>
      <c r="AC8" s="317" t="n"/>
      <c r="AD8" s="317" t="n"/>
      <c r="AE8" s="317" t="n"/>
      <c r="AF8" s="317" t="n"/>
      <c r="AG8" s="317" t="n"/>
      <c r="AH8" s="317" t="n"/>
      <c r="AI8" s="317" t="n"/>
      <c r="AJ8" s="317" t="n"/>
      <c r="AK8" s="317" t="n"/>
      <c r="AL8" s="317" t="n"/>
    </row>
    <row r="9" ht="31.5" customHeight="1" s="141">
      <c r="A9" s="325" t="inlineStr">
        <is>
          <t>Bullet:</t>
        </is>
      </c>
      <c r="B9" s="326" t="n"/>
      <c r="C9" s="322" t="n"/>
      <c r="D9" s="322" t="n"/>
      <c r="E9" s="323" t="n"/>
      <c r="F9" s="168" t="inlineStr">
        <is>
          <t>Powder:</t>
        </is>
      </c>
      <c r="G9" s="169">
        <f>IFERROR(LOOKUP(2,1/(GarminSessions!$C$2:$C$200&lt;&gt;""),GarminSessions!$C$2:$C$200),"")</f>
        <v/>
      </c>
      <c r="H9" s="165" t="n"/>
      <c r="I9" s="165" t="n"/>
      <c r="J9" s="166" t="n"/>
      <c r="K9" s="168" t="inlineStr">
        <is>
          <t>Primer:</t>
        </is>
      </c>
      <c r="L9" s="326" t="n"/>
      <c r="M9" s="323" t="n"/>
      <c r="N9" s="325" t="inlineStr">
        <is>
          <t>Brass:</t>
        </is>
      </c>
      <c r="O9" s="169" t="n"/>
      <c r="P9" s="166" t="n"/>
      <c r="Q9" s="317" t="n"/>
      <c r="R9" s="317" t="n"/>
      <c r="S9" s="317" t="n"/>
      <c r="T9" s="317" t="n"/>
      <c r="U9" s="317" t="n"/>
      <c r="V9" s="317" t="n"/>
      <c r="W9" s="317" t="n"/>
      <c r="X9" s="317" t="n"/>
      <c r="Y9" s="317" t="n"/>
      <c r="Z9" s="317" t="n"/>
      <c r="AA9" s="317" t="n"/>
      <c r="AB9" s="317" t="n"/>
      <c r="AC9" s="317" t="n"/>
      <c r="AD9" s="317" t="n"/>
      <c r="AE9" s="317" t="n"/>
      <c r="AF9" s="317" t="n"/>
      <c r="AG9" s="317" t="n"/>
      <c r="AH9" s="317" t="n"/>
      <c r="AI9" s="317" t="n"/>
      <c r="AJ9" s="317" t="n"/>
      <c r="AK9" s="317" t="n"/>
      <c r="AL9" s="317" t="n"/>
    </row>
    <row r="10" ht="31.5" customHeight="1" s="141">
      <c r="A10" s="325" t="inlineStr">
        <is>
          <t>Charge:</t>
        </is>
      </c>
      <c r="B10" s="224">
        <f>Charts!B3</f>
        <v/>
      </c>
      <c r="C10" s="165" t="n"/>
      <c r="D10" s="165" t="n"/>
      <c r="E10" s="166" t="n"/>
      <c r="F10" s="325" t="inlineStr">
        <is>
          <t>OAL:</t>
        </is>
      </c>
      <c r="G10" s="327" t="n"/>
      <c r="H10" s="322" t="n"/>
      <c r="I10" s="322" t="n"/>
      <c r="J10" s="323" t="n"/>
      <c r="K10" s="325" t="inlineStr">
        <is>
          <t>Dist:</t>
        </is>
      </c>
      <c r="L10" s="329" t="n"/>
      <c r="M10" s="322" t="n"/>
      <c r="N10" s="322" t="n"/>
      <c r="O10" s="322" t="n"/>
      <c r="P10" s="323" t="n"/>
      <c r="Q10" s="317" t="n"/>
      <c r="R10" s="317" t="n"/>
      <c r="S10" s="317" t="n"/>
      <c r="T10" s="317" t="n"/>
      <c r="U10" s="317" t="n"/>
      <c r="V10" s="317" t="n"/>
      <c r="W10" s="317" t="n"/>
      <c r="X10" s="317" t="n"/>
      <c r="Y10" s="317" t="n"/>
      <c r="Z10" s="317" t="n"/>
      <c r="AA10" s="317" t="n"/>
      <c r="AB10" s="317" t="n"/>
      <c r="AC10" s="317" t="n"/>
      <c r="AD10" s="317" t="n"/>
      <c r="AE10" s="317" t="n"/>
      <c r="AF10" s="317" t="n"/>
      <c r="AG10" s="317" t="n"/>
      <c r="AH10" s="317" t="n"/>
      <c r="AI10" s="317" t="n"/>
      <c r="AJ10" s="317" t="n"/>
      <c r="AK10" s="317" t="n"/>
      <c r="AL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c r="AH11" s="317" t="n"/>
      <c r="AI11" s="317" t="n"/>
      <c r="AJ11" s="317" t="n"/>
      <c r="AK11" s="317" t="n"/>
      <c r="AL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09" t="n"/>
      <c r="Q12" s="317" t="n"/>
      <c r="R12" s="317" t="n"/>
      <c r="S12" s="317" t="n"/>
      <c r="T12" s="317" t="n"/>
      <c r="U12" s="317" t="n"/>
      <c r="V12" s="317" t="n"/>
      <c r="W12" s="317" t="n"/>
      <c r="X12" s="317" t="n"/>
      <c r="Y12" s="317" t="n"/>
      <c r="Z12" s="317" t="n"/>
      <c r="AA12" s="317" t="n"/>
      <c r="AB12" s="317" t="n"/>
      <c r="AC12" s="317" t="n"/>
      <c r="AD12" s="317" t="n"/>
      <c r="AE12" s="317" t="n"/>
      <c r="AF12" s="317" t="n"/>
      <c r="AG12" s="317" t="n"/>
      <c r="AH12" s="317" t="n"/>
      <c r="AI12" s="317" t="n"/>
      <c r="AJ12" s="317" t="n"/>
      <c r="AK12" s="317" t="n"/>
      <c r="AL12" s="317" t="n"/>
    </row>
    <row r="13" ht="31.5" customHeight="1" s="141">
      <c r="A13" s="330" t="inlineStr">
        <is>
          <t>Date:</t>
        </is>
      </c>
      <c r="B13" s="331" t="n"/>
      <c r="C13" s="322" t="n"/>
      <c r="D13" s="322" t="n"/>
      <c r="E13" s="323" t="n"/>
      <c r="F13" s="330" t="inlineStr">
        <is>
          <t>Temp:</t>
        </is>
      </c>
      <c r="G13" s="332" t="n"/>
      <c r="H13" s="322" t="n"/>
      <c r="I13" s="322" t="n"/>
      <c r="J13" s="323" t="n"/>
      <c r="K13" s="330" t="inlineStr">
        <is>
          <t>Notes:</t>
        </is>
      </c>
      <c r="L13" s="331" t="n"/>
      <c r="M13" s="322" t="n"/>
      <c r="N13" s="322" t="n"/>
      <c r="O13" s="322" t="n"/>
      <c r="P13" s="323" t="n"/>
      <c r="Q13" s="317" t="n"/>
      <c r="R13" s="317" t="n"/>
      <c r="S13" s="317" t="n"/>
      <c r="T13" s="317" t="n"/>
      <c r="U13" s="317" t="n"/>
      <c r="V13" s="317" t="n"/>
      <c r="W13" s="317" t="n"/>
      <c r="X13" s="317" t="n"/>
      <c r="Y13" s="317" t="n"/>
      <c r="Z13" s="317" t="n"/>
      <c r="AA13" s="317" t="n"/>
      <c r="AB13" s="317" t="n"/>
      <c r="AC13" s="317" t="n"/>
      <c r="AD13" s="317" t="n"/>
      <c r="AE13" s="317" t="n"/>
      <c r="AF13" s="317" t="n"/>
      <c r="AG13" s="317" t="n"/>
      <c r="AH13" s="317" t="n"/>
      <c r="AI13" s="317" t="n"/>
      <c r="AJ13" s="317" t="n"/>
      <c r="AK13" s="317" t="n"/>
      <c r="AL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c r="AH14" s="317" t="n"/>
      <c r="AI14" s="317" t="n"/>
      <c r="AJ14" s="317" t="n"/>
      <c r="AK14" s="317" t="n"/>
      <c r="AL14" s="317" t="n"/>
    </row>
    <row r="15" ht="48" customHeight="1" s="141">
      <c r="A15" s="333" t="inlineStr">
        <is>
          <t>Test #</t>
        </is>
      </c>
      <c r="B15" s="333" t="inlineStr">
        <is>
          <t>Jump (in)</t>
        </is>
      </c>
      <c r="C15" s="333" t="inlineStr">
        <is>
          <t>CBTO</t>
        </is>
      </c>
      <c r="D15" s="333" t="inlineStr">
        <is>
          <t>Shot 1</t>
        </is>
      </c>
      <c r="E15" s="333" t="inlineStr">
        <is>
          <t>Shot 2</t>
        </is>
      </c>
      <c r="F15" s="333" t="inlineStr">
        <is>
          <t>Shot 3</t>
        </is>
      </c>
      <c r="G15" s="333" t="inlineStr">
        <is>
          <t>Shot 4</t>
        </is>
      </c>
      <c r="H15" s="333" t="inlineStr">
        <is>
          <t>Shot 5</t>
        </is>
      </c>
      <c r="I15" s="333" t="inlineStr">
        <is>
          <t>Avg Vel</t>
        </is>
      </c>
      <c r="J15" s="333" t="inlineStr">
        <is>
          <t>ES</t>
        </is>
      </c>
      <c r="K15" s="333" t="inlineStr">
        <is>
          <t>SD</t>
        </is>
      </c>
      <c r="L15" s="333" t="inlineStr">
        <is>
          <t>Group (in)</t>
        </is>
      </c>
      <c r="M15" s="333" t="inlineStr">
        <is>
          <t>Vertical (in)</t>
        </is>
      </c>
      <c r="N15" s="333" t="inlineStr">
        <is>
          <t>Vertical SD (in)</t>
        </is>
      </c>
      <c r="O15" s="333" t="inlineStr">
        <is>
          <t>Mean Radius (in)</t>
        </is>
      </c>
      <c r="P15" s="333" t="inlineStr">
        <is>
          <t>Notes</t>
        </is>
      </c>
      <c r="Q15" s="317" t="n"/>
      <c r="R15" s="317" t="n"/>
      <c r="S15" s="317" t="n"/>
      <c r="T15" s="317" t="n"/>
      <c r="U15" s="317" t="n"/>
      <c r="V15" s="317" t="n"/>
      <c r="W15" s="317" t="n"/>
      <c r="X15" s="317" t="n"/>
      <c r="Y15" s="317" t="n"/>
      <c r="Z15" s="317" t="n"/>
      <c r="AA15" s="317" t="n"/>
      <c r="AB15" s="317" t="n"/>
      <c r="AC15" s="317" t="n"/>
      <c r="AD15" s="317" t="n"/>
      <c r="AE15" s="317" t="n"/>
      <c r="AF15" s="317" t="n"/>
      <c r="AG15" s="317" t="n"/>
      <c r="AH15" s="317" t="n"/>
      <c r="AI15" s="317" t="n"/>
      <c r="AJ15" s="317" t="n"/>
      <c r="AK15" s="317" t="n"/>
      <c r="AL15" s="317" t="n"/>
    </row>
    <row r="16" ht="18" customHeight="1" s="141">
      <c r="A16" s="534" t="n">
        <v>1</v>
      </c>
      <c r="B16" s="566">
        <f>IFERROR(LOOKUP(2,1/(GarminSessions!$A$2:$A$200="S1"),GarminSessions!$B$2:$B$200),NA())</f>
        <v/>
      </c>
      <c r="C16" s="567">
        <f>IFERROR($G$10-B16,"")</f>
        <v/>
      </c>
      <c r="D16" s="544">
        <f>IF(OR('Garmin Xero Import'!E17="",'Garmin Xero Import'!E17=0),"",'Garmin Xero Import'!E17)</f>
        <v/>
      </c>
      <c r="E16" s="544">
        <f>IF(OR('Garmin Xero Import'!F17="",'Garmin Xero Import'!F17=0),"",'Garmin Xero Import'!F17)</f>
        <v/>
      </c>
      <c r="F16" s="544">
        <f>IF(OR('Garmin Xero Import'!G17="",'Garmin Xero Import'!G17=0),"",'Garmin Xero Import'!G17)</f>
        <v/>
      </c>
      <c r="G16" s="544">
        <f>IF(OR('Garmin Xero Import'!H17="",'Garmin Xero Import'!H17=0),"",'Garmin Xero Import'!H17)</f>
        <v/>
      </c>
      <c r="H16" s="544">
        <f>IF(OR('Garmin Xero Import'!I17="",'Garmin Xero Import'!I17=0),"",'Garmin Xero Import'!I17)</f>
        <v/>
      </c>
      <c r="I16" s="392">
        <f>IF(OR('Garmin Xero Import'!O17="",'Garmin Xero Import'!O17=0),"",'Garmin Xero Import'!O17)</f>
        <v/>
      </c>
      <c r="J16" s="568">
        <f>IF(OR('Garmin Xero Import'!Q17="",'Garmin Xero Import'!Q17=0),"",'Garmin Xero Import'!Q17)</f>
        <v/>
      </c>
      <c r="K16" s="392">
        <f>IF(OR('Garmin Xero Import'!P17="",'Garmin Xero Import'!P17=0),"",'Garmin Xero Import'!P17)</f>
        <v/>
      </c>
      <c r="L16" s="393">
        <f>IF(OR('BallisticX Import'!D17="",'BallisticX Import'!D17=0),"",'BallisticX Import'!D17)</f>
        <v/>
      </c>
      <c r="M16" s="393">
        <f>IF(OR('BallisticX Import'!F17="",'BallisticX Import'!F17=0),"",'BallisticX Import'!F17)</f>
        <v/>
      </c>
      <c r="N16" s="533">
        <f>IF(OR('BallisticX Import'!J17="",'BallisticX Import'!J17=0),"",'BallisticX Import'!J17)</f>
        <v/>
      </c>
      <c r="O16" s="534">
        <f>IF(OR('BallisticX Import'!G17="",'BallisticX Import'!G17=0),"",'BallisticX Import'!G17)</f>
        <v/>
      </c>
      <c r="P16" s="545">
        <f>IF(AND(B16&lt;&gt;"",B16=$D$2),"⭐ WINNER","")</f>
        <v/>
      </c>
      <c r="Q16" s="317" t="n"/>
      <c r="R16" s="317" t="n"/>
      <c r="S16" s="317" t="n"/>
      <c r="T16" s="317" t="n"/>
      <c r="U16" s="317" t="n"/>
      <c r="V16" s="317" t="n"/>
      <c r="W16" s="317" t="n"/>
      <c r="X16" s="317" t="n"/>
      <c r="Y16" s="317" t="n"/>
      <c r="Z16" s="317" t="n"/>
      <c r="AA16" s="317" t="n"/>
      <c r="AB16" s="317" t="n"/>
      <c r="AC16" s="317" t="n"/>
      <c r="AD16" s="317" t="n"/>
      <c r="AE16" s="317" t="n"/>
      <c r="AF16" s="317" t="n"/>
      <c r="AG16" s="317" t="n"/>
      <c r="AH16" s="317" t="n"/>
      <c r="AI16" s="317" t="n"/>
      <c r="AJ16" s="317" t="n"/>
      <c r="AK16" s="317" t="n"/>
      <c r="AL16" s="317" t="n"/>
    </row>
    <row r="17" ht="18" customHeight="1" s="141">
      <c r="A17" s="536" t="n">
        <v>2</v>
      </c>
      <c r="B17" s="569">
        <f>IFERROR(LOOKUP(2,1/(GarminSessions!$A$2:$A$200="S2"),GarminSessions!$B$2:$B$200),NA())</f>
        <v/>
      </c>
      <c r="C17" s="570">
        <f>IFERROR($G$10-B17,"")</f>
        <v/>
      </c>
      <c r="D17" s="547">
        <f>IF(OR('Garmin Xero Import'!E18="",'Garmin Xero Import'!E18=0),"",'Garmin Xero Import'!E18)</f>
        <v/>
      </c>
      <c r="E17" s="547">
        <f>IF(OR('Garmin Xero Import'!F18="",'Garmin Xero Import'!F18=0),"",'Garmin Xero Import'!F18)</f>
        <v/>
      </c>
      <c r="F17" s="547">
        <f>IF(OR('Garmin Xero Import'!G18="",'Garmin Xero Import'!G18=0),"",'Garmin Xero Import'!G18)</f>
        <v/>
      </c>
      <c r="G17" s="547">
        <f>IF(OR('Garmin Xero Import'!H18="",'Garmin Xero Import'!H18=0),"",'Garmin Xero Import'!H18)</f>
        <v/>
      </c>
      <c r="H17" s="547">
        <f>IF(OR('Garmin Xero Import'!I18="",'Garmin Xero Import'!I18=0),"",'Garmin Xero Import'!I18)</f>
        <v/>
      </c>
      <c r="I17" s="394">
        <f>IF(OR('Garmin Xero Import'!O18="",'Garmin Xero Import'!O18=0),"",'Garmin Xero Import'!O18)</f>
        <v/>
      </c>
      <c r="J17" s="571">
        <f>IF(OR('Garmin Xero Import'!Q18="",'Garmin Xero Import'!Q18=0),"",'Garmin Xero Import'!Q18)</f>
        <v/>
      </c>
      <c r="K17" s="394">
        <f>IF(OR('Garmin Xero Import'!P18="",'Garmin Xero Import'!P18=0),"",'Garmin Xero Import'!P18)</f>
        <v/>
      </c>
      <c r="L17" s="395">
        <f>IF(OR('BallisticX Import'!D18="",'BallisticX Import'!D18=0),"",'BallisticX Import'!D18)</f>
        <v/>
      </c>
      <c r="M17" s="395">
        <f>IF(OR('BallisticX Import'!F18="",'BallisticX Import'!F18=0),"",'BallisticX Import'!F18)</f>
        <v/>
      </c>
      <c r="N17" s="535">
        <f>IF(OR('BallisticX Import'!J18="",'BallisticX Import'!J18=0),"",'BallisticX Import'!J18)</f>
        <v/>
      </c>
      <c r="O17" s="536">
        <f>IF(OR('BallisticX Import'!G18="",'BallisticX Import'!G18=0),"",'BallisticX Import'!G18)</f>
        <v/>
      </c>
      <c r="P17" s="548">
        <f>IF(AND(B17&lt;&gt;"",B17=$D$2),"⭐ WINNER","")</f>
        <v/>
      </c>
      <c r="Q17" s="317" t="n"/>
      <c r="R17" s="317" t="n"/>
      <c r="S17" s="317" t="n"/>
      <c r="T17" s="317" t="n"/>
      <c r="U17" s="317" t="n"/>
      <c r="V17" s="317" t="n"/>
      <c r="W17" s="317" t="n"/>
      <c r="X17" s="317" t="n"/>
      <c r="Y17" s="317" t="n"/>
      <c r="Z17" s="317" t="n"/>
      <c r="AA17" s="317" t="n"/>
      <c r="AB17" s="317" t="n"/>
      <c r="AC17" s="317" t="n"/>
      <c r="AD17" s="317" t="n"/>
      <c r="AE17" s="317" t="n"/>
      <c r="AF17" s="317" t="n"/>
      <c r="AG17" s="317" t="n"/>
      <c r="AH17" s="317" t="n"/>
      <c r="AI17" s="317" t="n"/>
      <c r="AJ17" s="317" t="n"/>
      <c r="AK17" s="317" t="n"/>
      <c r="AL17" s="317" t="n"/>
    </row>
    <row r="18" ht="18" customHeight="1" s="141">
      <c r="A18" s="534" t="n">
        <v>3</v>
      </c>
      <c r="B18" s="566">
        <f>IFERROR(LOOKUP(2,1/(GarminSessions!$A$2:$A$200="S3"),GarminSessions!$B$2:$B$200),NA())</f>
        <v/>
      </c>
      <c r="C18" s="567">
        <f>IFERROR($G$10-B18,"")</f>
        <v/>
      </c>
      <c r="D18" s="544">
        <f>IF(OR('Garmin Xero Import'!E19="",'Garmin Xero Import'!E19=0),"",'Garmin Xero Import'!E19)</f>
        <v/>
      </c>
      <c r="E18" s="544">
        <f>IF(OR('Garmin Xero Import'!F19="",'Garmin Xero Import'!F19=0),"",'Garmin Xero Import'!F19)</f>
        <v/>
      </c>
      <c r="F18" s="544">
        <f>IF(OR('Garmin Xero Import'!G19="",'Garmin Xero Import'!G19=0),"",'Garmin Xero Import'!G19)</f>
        <v/>
      </c>
      <c r="G18" s="544">
        <f>IF(OR('Garmin Xero Import'!H19="",'Garmin Xero Import'!H19=0),"",'Garmin Xero Import'!H19)</f>
        <v/>
      </c>
      <c r="H18" s="544">
        <f>IF(OR('Garmin Xero Import'!I19="",'Garmin Xero Import'!I19=0),"",'Garmin Xero Import'!I19)</f>
        <v/>
      </c>
      <c r="I18" s="392">
        <f>IF(OR('Garmin Xero Import'!O19="",'Garmin Xero Import'!O19=0),"",'Garmin Xero Import'!O19)</f>
        <v/>
      </c>
      <c r="J18" s="568">
        <f>IF(OR('Garmin Xero Import'!Q19="",'Garmin Xero Import'!Q19=0),"",'Garmin Xero Import'!Q19)</f>
        <v/>
      </c>
      <c r="K18" s="392">
        <f>IF(OR('Garmin Xero Import'!P19="",'Garmin Xero Import'!P19=0),"",'Garmin Xero Import'!P19)</f>
        <v/>
      </c>
      <c r="L18" s="393">
        <f>IF(OR('BallisticX Import'!D19="",'BallisticX Import'!D19=0),"",'BallisticX Import'!D19)</f>
        <v/>
      </c>
      <c r="M18" s="393">
        <f>IF(OR('BallisticX Import'!F19="",'BallisticX Import'!F19=0),"",'BallisticX Import'!F19)</f>
        <v/>
      </c>
      <c r="N18" s="533">
        <f>IF(OR('BallisticX Import'!J19="",'BallisticX Import'!J19=0),"",'BallisticX Import'!J19)</f>
        <v/>
      </c>
      <c r="O18" s="534">
        <f>IF(OR('BallisticX Import'!G19="",'BallisticX Import'!G19=0),"",'BallisticX Import'!G19)</f>
        <v/>
      </c>
      <c r="P18" s="545">
        <f>IF(AND(B18&lt;&gt;"",B18=$D$2),"⭐ WINNER","")</f>
        <v/>
      </c>
      <c r="Q18" s="317" t="n"/>
      <c r="R18" s="317" t="n"/>
      <c r="S18" s="317" t="n"/>
      <c r="T18" s="317" t="n"/>
      <c r="U18" s="317" t="n"/>
      <c r="V18" s="317" t="n"/>
      <c r="W18" s="317" t="n"/>
      <c r="X18" s="317" t="n"/>
      <c r="Y18" s="317" t="n"/>
      <c r="Z18" s="317" t="n"/>
      <c r="AA18" s="317" t="n"/>
      <c r="AB18" s="317" t="n"/>
      <c r="AC18" s="317" t="n"/>
      <c r="AD18" s="317" t="n"/>
      <c r="AE18" s="317" t="n"/>
      <c r="AF18" s="317" t="n"/>
      <c r="AG18" s="317" t="n"/>
      <c r="AH18" s="317" t="n"/>
      <c r="AI18" s="317" t="n"/>
      <c r="AJ18" s="317" t="n"/>
      <c r="AK18" s="317" t="n"/>
      <c r="AL18" s="317" t="n"/>
    </row>
    <row r="19" ht="18" customHeight="1" s="141">
      <c r="A19" s="536" t="n">
        <v>4</v>
      </c>
      <c r="B19" s="569">
        <f>IFERROR(LOOKUP(2,1/(GarminSessions!$A$2:$A$200="S4"),GarminSessions!$B$2:$B$200),NA())</f>
        <v/>
      </c>
      <c r="C19" s="570">
        <f>IFERROR($G$10-B19,"")</f>
        <v/>
      </c>
      <c r="D19" s="547">
        <f>IF(OR('Garmin Xero Import'!E20="",'Garmin Xero Import'!E20=0),"",'Garmin Xero Import'!E20)</f>
        <v/>
      </c>
      <c r="E19" s="547">
        <f>IF(OR('Garmin Xero Import'!F20="",'Garmin Xero Import'!F20=0),"",'Garmin Xero Import'!F20)</f>
        <v/>
      </c>
      <c r="F19" s="547">
        <f>IF(OR('Garmin Xero Import'!G20="",'Garmin Xero Import'!G20=0),"",'Garmin Xero Import'!G20)</f>
        <v/>
      </c>
      <c r="G19" s="547">
        <f>IF(OR('Garmin Xero Import'!H20="",'Garmin Xero Import'!H20=0),"",'Garmin Xero Import'!H20)</f>
        <v/>
      </c>
      <c r="H19" s="547">
        <f>IF(OR('Garmin Xero Import'!I20="",'Garmin Xero Import'!I20=0),"",'Garmin Xero Import'!I20)</f>
        <v/>
      </c>
      <c r="I19" s="394">
        <f>IF(OR('Garmin Xero Import'!O20="",'Garmin Xero Import'!O20=0),"",'Garmin Xero Import'!O20)</f>
        <v/>
      </c>
      <c r="J19" s="571">
        <f>IF(OR('Garmin Xero Import'!Q20="",'Garmin Xero Import'!Q20=0),"",'Garmin Xero Import'!Q20)</f>
        <v/>
      </c>
      <c r="K19" s="394">
        <f>IF(OR('Garmin Xero Import'!P20="",'Garmin Xero Import'!P20=0),"",'Garmin Xero Import'!P20)</f>
        <v/>
      </c>
      <c r="L19" s="395">
        <f>IF(OR('BallisticX Import'!D20="",'BallisticX Import'!D20=0),"",'BallisticX Import'!D20)</f>
        <v/>
      </c>
      <c r="M19" s="395">
        <f>IF(OR('BallisticX Import'!F20="",'BallisticX Import'!F20=0),"",'BallisticX Import'!F20)</f>
        <v/>
      </c>
      <c r="N19" s="535">
        <f>IF(OR('BallisticX Import'!J20="",'BallisticX Import'!J20=0),"",'BallisticX Import'!J20)</f>
        <v/>
      </c>
      <c r="O19" s="536">
        <f>IF(OR('BallisticX Import'!G20="",'BallisticX Import'!G20=0),"",'BallisticX Import'!G20)</f>
        <v/>
      </c>
      <c r="P19" s="548">
        <f>IF(AND(B19&lt;&gt;"",B19=$D$2),"⭐ WINNER","")</f>
        <v/>
      </c>
      <c r="Q19" s="317" t="n"/>
      <c r="R19" s="317" t="n"/>
      <c r="S19" s="317" t="n"/>
      <c r="T19" s="317" t="n"/>
      <c r="U19" s="317" t="n"/>
      <c r="V19" s="317" t="n"/>
      <c r="W19" s="317" t="n"/>
      <c r="X19" s="317" t="n"/>
      <c r="Y19" s="317" t="n"/>
      <c r="Z19" s="317" t="n"/>
      <c r="AA19" s="317" t="n"/>
      <c r="AB19" s="317" t="n"/>
      <c r="AC19" s="317" t="n"/>
      <c r="AD19" s="317" t="n"/>
      <c r="AE19" s="317" t="n"/>
      <c r="AF19" s="317" t="n"/>
      <c r="AG19" s="317" t="n"/>
      <c r="AH19" s="317" t="n"/>
      <c r="AI19" s="317" t="n"/>
      <c r="AJ19" s="317" t="n"/>
      <c r="AK19" s="317" t="n"/>
      <c r="AL19" s="317" t="n"/>
    </row>
    <row r="20" ht="18" customHeight="1" s="141">
      <c r="A20" s="534" t="n">
        <v>5</v>
      </c>
      <c r="B20" s="566">
        <f>IFERROR(LOOKUP(2,1/(GarminSessions!$A$2:$A$200="S5"),GarminSessions!$B$2:$B$200),NA())</f>
        <v/>
      </c>
      <c r="C20" s="567">
        <f>IFERROR($G$10-B20,"")</f>
        <v/>
      </c>
      <c r="D20" s="544">
        <f>IF(OR('Garmin Xero Import'!E21="",'Garmin Xero Import'!E21=0),"",'Garmin Xero Import'!E21)</f>
        <v/>
      </c>
      <c r="E20" s="544">
        <f>IF(OR('Garmin Xero Import'!F21="",'Garmin Xero Import'!F21=0),"",'Garmin Xero Import'!F21)</f>
        <v/>
      </c>
      <c r="F20" s="544">
        <f>IF(OR('Garmin Xero Import'!G21="",'Garmin Xero Import'!G21=0),"",'Garmin Xero Import'!G21)</f>
        <v/>
      </c>
      <c r="G20" s="544">
        <f>IF(OR('Garmin Xero Import'!H21="",'Garmin Xero Import'!H21=0),"",'Garmin Xero Import'!H21)</f>
        <v/>
      </c>
      <c r="H20" s="544">
        <f>IF(OR('Garmin Xero Import'!I21="",'Garmin Xero Import'!I21=0),"",'Garmin Xero Import'!I21)</f>
        <v/>
      </c>
      <c r="I20" s="392">
        <f>IF(OR('Garmin Xero Import'!O21="",'Garmin Xero Import'!O21=0),"",'Garmin Xero Import'!O21)</f>
        <v/>
      </c>
      <c r="J20" s="568">
        <f>IF(OR('Garmin Xero Import'!Q21="",'Garmin Xero Import'!Q21=0),"",'Garmin Xero Import'!Q21)</f>
        <v/>
      </c>
      <c r="K20" s="392">
        <f>IF(OR('Garmin Xero Import'!P21="",'Garmin Xero Import'!P21=0),"",'Garmin Xero Import'!P21)</f>
        <v/>
      </c>
      <c r="L20" s="393">
        <f>IF(OR('BallisticX Import'!D21="",'BallisticX Import'!D21=0),"",'BallisticX Import'!D21)</f>
        <v/>
      </c>
      <c r="M20" s="393">
        <f>IF(OR('BallisticX Import'!F21="",'BallisticX Import'!F21=0),"",'BallisticX Import'!F21)</f>
        <v/>
      </c>
      <c r="N20" s="533">
        <f>IF(OR('BallisticX Import'!J21="",'BallisticX Import'!J21=0),"",'BallisticX Import'!J21)</f>
        <v/>
      </c>
      <c r="O20" s="534">
        <f>IF(OR('BallisticX Import'!G21="",'BallisticX Import'!G21=0),"",'BallisticX Import'!G21)</f>
        <v/>
      </c>
      <c r="P20" s="545">
        <f>IF(AND(B20&lt;&gt;"",B20=$D$2),"⭐ WINNER","")</f>
        <v/>
      </c>
      <c r="Q20" s="317" t="n"/>
      <c r="R20" s="317" t="n"/>
      <c r="S20" s="317" t="n"/>
      <c r="T20" s="317" t="n"/>
      <c r="U20" s="317" t="n"/>
      <c r="V20" s="317" t="n"/>
      <c r="W20" s="317" t="n"/>
      <c r="X20" s="317" t="n"/>
      <c r="Y20" s="317" t="n"/>
      <c r="Z20" s="317" t="n"/>
      <c r="AA20" s="317" t="n"/>
      <c r="AB20" s="317" t="n"/>
      <c r="AC20" s="317" t="n"/>
      <c r="AD20" s="317" t="n"/>
      <c r="AE20" s="317" t="n"/>
      <c r="AF20" s="317" t="n"/>
      <c r="AG20" s="317" t="n"/>
      <c r="AH20" s="317" t="n"/>
      <c r="AI20" s="317" t="n"/>
      <c r="AJ20" s="317" t="n"/>
      <c r="AK20" s="317" t="n"/>
      <c r="AL20" s="317" t="n"/>
    </row>
    <row r="21" ht="18" customHeight="1" s="141">
      <c r="A21" s="536" t="n">
        <v>6</v>
      </c>
      <c r="B21" s="569">
        <f>IFERROR(LOOKUP(2,1/(GarminSessions!$A$2:$A$200="S6"),GarminSessions!$B$2:$B$200),NA())</f>
        <v/>
      </c>
      <c r="C21" s="570">
        <f>IFERROR($G$10-B21,"")</f>
        <v/>
      </c>
      <c r="D21" s="547">
        <f>IF(OR('Garmin Xero Import'!E22="",'Garmin Xero Import'!E22=0),"",'Garmin Xero Import'!E22)</f>
        <v/>
      </c>
      <c r="E21" s="547">
        <f>IF(OR('Garmin Xero Import'!F22="",'Garmin Xero Import'!F22=0),"",'Garmin Xero Import'!F22)</f>
        <v/>
      </c>
      <c r="F21" s="547">
        <f>IF(OR('Garmin Xero Import'!G22="",'Garmin Xero Import'!G22=0),"",'Garmin Xero Import'!G22)</f>
        <v/>
      </c>
      <c r="G21" s="547">
        <f>IF(OR('Garmin Xero Import'!H22="",'Garmin Xero Import'!H22=0),"",'Garmin Xero Import'!H22)</f>
        <v/>
      </c>
      <c r="H21" s="547">
        <f>IF(OR('Garmin Xero Import'!I22="",'Garmin Xero Import'!I22=0),"",'Garmin Xero Import'!I22)</f>
        <v/>
      </c>
      <c r="I21" s="394">
        <f>IF(OR('Garmin Xero Import'!O22="",'Garmin Xero Import'!O22=0),"",'Garmin Xero Import'!O22)</f>
        <v/>
      </c>
      <c r="J21" s="571">
        <f>IF(OR('Garmin Xero Import'!Q22="",'Garmin Xero Import'!Q22=0),"",'Garmin Xero Import'!Q22)</f>
        <v/>
      </c>
      <c r="K21" s="394">
        <f>IF(OR('Garmin Xero Import'!P22="",'Garmin Xero Import'!P22=0),"",'Garmin Xero Import'!P22)</f>
        <v/>
      </c>
      <c r="L21" s="395">
        <f>IF(OR('BallisticX Import'!D22="",'BallisticX Import'!D22=0),"",'BallisticX Import'!D22)</f>
        <v/>
      </c>
      <c r="M21" s="395">
        <f>IF(OR('BallisticX Import'!F22="",'BallisticX Import'!F22=0),"",'BallisticX Import'!F22)</f>
        <v/>
      </c>
      <c r="N21" s="535">
        <f>IF(OR('BallisticX Import'!J22="",'BallisticX Import'!J22=0),"",'BallisticX Import'!J22)</f>
        <v/>
      </c>
      <c r="O21" s="536">
        <f>IF(OR('BallisticX Import'!G22="",'BallisticX Import'!G22=0),"",'BallisticX Import'!G22)</f>
        <v/>
      </c>
      <c r="P21" s="548">
        <f>IF(AND(B21&lt;&gt;"",B21=$D$2),"⭐ WINNER","")</f>
        <v/>
      </c>
      <c r="Q21" s="317" t="n"/>
      <c r="R21" s="317" t="n"/>
      <c r="S21" s="317" t="n"/>
      <c r="T21" s="317" t="n"/>
      <c r="U21" s="317" t="n"/>
      <c r="V21" s="317" t="n"/>
      <c r="W21" s="317" t="n"/>
      <c r="X21" s="317" t="n"/>
      <c r="Y21" s="317" t="n"/>
      <c r="Z21" s="317" t="n"/>
      <c r="AA21" s="317" t="n"/>
      <c r="AB21" s="317" t="n"/>
      <c r="AC21" s="317" t="n"/>
      <c r="AD21" s="317" t="n"/>
      <c r="AE21" s="317" t="n"/>
      <c r="AF21" s="317" t="n"/>
      <c r="AG21" s="317" t="n"/>
      <c r="AH21" s="317" t="n"/>
      <c r="AI21" s="317" t="n"/>
      <c r="AJ21" s="317" t="n"/>
      <c r="AK21" s="317" t="n"/>
      <c r="AL21" s="317" t="n"/>
    </row>
    <row r="22" ht="18" customHeight="1" s="141">
      <c r="A22" s="534" t="n">
        <v>7</v>
      </c>
      <c r="B22" s="566">
        <f>IFERROR(LOOKUP(2,1/(GarminSessions!$A$2:$A$200="S7"),GarminSessions!$B$2:$B$200),NA())</f>
        <v/>
      </c>
      <c r="C22" s="567">
        <f>IFERROR($G$10-B22,"")</f>
        <v/>
      </c>
      <c r="D22" s="544">
        <f>IF(OR('Garmin Xero Import'!E23="",'Garmin Xero Import'!E23=0),"",'Garmin Xero Import'!E23)</f>
        <v/>
      </c>
      <c r="E22" s="544">
        <f>IF(OR('Garmin Xero Import'!F23="",'Garmin Xero Import'!F23=0),"",'Garmin Xero Import'!F23)</f>
        <v/>
      </c>
      <c r="F22" s="544">
        <f>IF(OR('Garmin Xero Import'!G23="",'Garmin Xero Import'!G23=0),"",'Garmin Xero Import'!G23)</f>
        <v/>
      </c>
      <c r="G22" s="544">
        <f>IF(OR('Garmin Xero Import'!H23="",'Garmin Xero Import'!H23=0),"",'Garmin Xero Import'!H23)</f>
        <v/>
      </c>
      <c r="H22" s="544">
        <f>IF(OR('Garmin Xero Import'!I23="",'Garmin Xero Import'!I23=0),"",'Garmin Xero Import'!I23)</f>
        <v/>
      </c>
      <c r="I22" s="392">
        <f>IF(OR('Garmin Xero Import'!O23="",'Garmin Xero Import'!O23=0),"",'Garmin Xero Import'!O23)</f>
        <v/>
      </c>
      <c r="J22" s="568">
        <f>IF(OR('Garmin Xero Import'!Q23="",'Garmin Xero Import'!Q23=0),"",'Garmin Xero Import'!Q23)</f>
        <v/>
      </c>
      <c r="K22" s="392">
        <f>IF(OR('Garmin Xero Import'!P23="",'Garmin Xero Import'!P23=0),"",'Garmin Xero Import'!P23)</f>
        <v/>
      </c>
      <c r="L22" s="393">
        <f>IF(OR('BallisticX Import'!D23="",'BallisticX Import'!D23=0),"",'BallisticX Import'!D23)</f>
        <v/>
      </c>
      <c r="M22" s="393">
        <f>IF(OR('BallisticX Import'!F23="",'BallisticX Import'!F23=0),"",'BallisticX Import'!F23)</f>
        <v/>
      </c>
      <c r="N22" s="533">
        <f>IF(OR('BallisticX Import'!J23="",'BallisticX Import'!J23=0),"",'BallisticX Import'!J23)</f>
        <v/>
      </c>
      <c r="O22" s="534">
        <f>IF(OR('BallisticX Import'!G23="",'BallisticX Import'!G23=0),"",'BallisticX Import'!G23)</f>
        <v/>
      </c>
      <c r="P22" s="545">
        <f>IF(AND(B22&lt;&gt;"",B22=$D$2),"⭐ WINNER","")</f>
        <v/>
      </c>
      <c r="Q22" s="317" t="n"/>
      <c r="R22" s="317" t="n"/>
      <c r="S22" s="317" t="n"/>
      <c r="T22" s="317" t="n"/>
      <c r="U22" s="317" t="n"/>
      <c r="V22" s="317" t="n"/>
      <c r="W22" s="317" t="n"/>
      <c r="X22" s="317" t="n"/>
      <c r="Y22" s="317" t="n"/>
      <c r="Z22" s="317" t="n"/>
      <c r="AA22" s="317" t="n"/>
      <c r="AB22" s="317" t="n"/>
      <c r="AC22" s="317" t="n"/>
      <c r="AD22" s="317" t="n"/>
      <c r="AE22" s="317" t="n"/>
      <c r="AF22" s="317" t="n"/>
      <c r="AG22" s="317" t="n"/>
      <c r="AH22" s="317" t="n"/>
      <c r="AI22" s="317" t="n"/>
      <c r="AJ22" s="317" t="n"/>
      <c r="AK22" s="317" t="n"/>
      <c r="AL22" s="317" t="n"/>
    </row>
    <row r="23" ht="18" customHeight="1" s="141">
      <c r="A23" s="536" t="n">
        <v>8</v>
      </c>
      <c r="B23" s="569">
        <f>IFERROR(LOOKUP(2,1/(GarminSessions!$A$2:$A$200="S8"),GarminSessions!$B$2:$B$200),NA())</f>
        <v/>
      </c>
      <c r="C23" s="570">
        <f>IFERROR($G$10-B23,"")</f>
        <v/>
      </c>
      <c r="D23" s="547">
        <f>IF(OR('Garmin Xero Import'!E24="",'Garmin Xero Import'!E24=0),"",'Garmin Xero Import'!E24)</f>
        <v/>
      </c>
      <c r="E23" s="547">
        <f>IF(OR('Garmin Xero Import'!F24="",'Garmin Xero Import'!F24=0),"",'Garmin Xero Import'!F24)</f>
        <v/>
      </c>
      <c r="F23" s="547">
        <f>IF(OR('Garmin Xero Import'!G24="",'Garmin Xero Import'!G24=0),"",'Garmin Xero Import'!G24)</f>
        <v/>
      </c>
      <c r="G23" s="547">
        <f>IF(OR('Garmin Xero Import'!H24="",'Garmin Xero Import'!H24=0),"",'Garmin Xero Import'!H24)</f>
        <v/>
      </c>
      <c r="H23" s="547">
        <f>IF(OR('Garmin Xero Import'!I24="",'Garmin Xero Import'!I24=0),"",'Garmin Xero Import'!I24)</f>
        <v/>
      </c>
      <c r="I23" s="394">
        <f>IF(OR('Garmin Xero Import'!O24="",'Garmin Xero Import'!O24=0),"",'Garmin Xero Import'!O24)</f>
        <v/>
      </c>
      <c r="J23" s="571">
        <f>IF(OR('Garmin Xero Import'!Q24="",'Garmin Xero Import'!Q24=0),"",'Garmin Xero Import'!Q24)</f>
        <v/>
      </c>
      <c r="K23" s="394">
        <f>IF(OR('Garmin Xero Import'!P24="",'Garmin Xero Import'!P24=0),"",'Garmin Xero Import'!P24)</f>
        <v/>
      </c>
      <c r="L23" s="395">
        <f>IF(OR('BallisticX Import'!D24="",'BallisticX Import'!D24=0),"",'BallisticX Import'!D24)</f>
        <v/>
      </c>
      <c r="M23" s="395">
        <f>IF(OR('BallisticX Import'!F24="",'BallisticX Import'!F24=0),"",'BallisticX Import'!F24)</f>
        <v/>
      </c>
      <c r="N23" s="535">
        <f>IF(OR('BallisticX Import'!J24="",'BallisticX Import'!J24=0),"",'BallisticX Import'!J24)</f>
        <v/>
      </c>
      <c r="O23" s="536">
        <f>IF(OR('BallisticX Import'!G24="",'BallisticX Import'!G24=0),"",'BallisticX Import'!G24)</f>
        <v/>
      </c>
      <c r="P23" s="548">
        <f>IF(AND(B23&lt;&gt;"",B23=$D$2),"⭐ WINNER","")</f>
        <v/>
      </c>
      <c r="Q23" s="317" t="n"/>
      <c r="R23" s="317" t="n"/>
      <c r="S23" s="317" t="n"/>
      <c r="T23" s="317" t="n"/>
      <c r="U23" s="317" t="n"/>
      <c r="V23" s="317" t="n"/>
      <c r="W23" s="317" t="n"/>
      <c r="X23" s="317" t="n"/>
      <c r="Y23" s="317" t="n"/>
      <c r="Z23" s="317" t="n"/>
      <c r="AA23" s="317" t="n"/>
      <c r="AB23" s="317" t="n"/>
      <c r="AC23" s="317" t="n"/>
      <c r="AD23" s="317" t="n"/>
      <c r="AE23" s="317" t="n"/>
      <c r="AF23" s="317" t="n"/>
      <c r="AG23" s="317" t="n"/>
      <c r="AH23" s="317" t="n"/>
      <c r="AI23" s="317" t="n"/>
      <c r="AJ23" s="317" t="n"/>
      <c r="AK23" s="317" t="n"/>
      <c r="AL23" s="317" t="n"/>
    </row>
    <row r="24" ht="18" customHeight="1" s="141">
      <c r="A24" s="534" t="n">
        <v>9</v>
      </c>
      <c r="B24" s="566">
        <f>IFERROR(LOOKUP(2,1/(GarminSessions!$A$2:$A$200="S9"),GarminSessions!$B$2:$B$200),NA())</f>
        <v/>
      </c>
      <c r="C24" s="567">
        <f>IFERROR($G$10-B24,"")</f>
        <v/>
      </c>
      <c r="D24" s="544">
        <f>IF(OR('Garmin Xero Import'!E25="",'Garmin Xero Import'!E25=0),"",'Garmin Xero Import'!E25)</f>
        <v/>
      </c>
      <c r="E24" s="544">
        <f>IF(OR('Garmin Xero Import'!F25="",'Garmin Xero Import'!F25=0),"",'Garmin Xero Import'!F25)</f>
        <v/>
      </c>
      <c r="F24" s="544">
        <f>IF(OR('Garmin Xero Import'!G25="",'Garmin Xero Import'!G25=0),"",'Garmin Xero Import'!G25)</f>
        <v/>
      </c>
      <c r="G24" s="544">
        <f>IF(OR('Garmin Xero Import'!H25="",'Garmin Xero Import'!H25=0),"",'Garmin Xero Import'!H25)</f>
        <v/>
      </c>
      <c r="H24" s="544">
        <f>IF(OR('Garmin Xero Import'!I25="",'Garmin Xero Import'!I25=0),"",'Garmin Xero Import'!I25)</f>
        <v/>
      </c>
      <c r="I24" s="392">
        <f>IF(OR('Garmin Xero Import'!O25="",'Garmin Xero Import'!O25=0),"",'Garmin Xero Import'!O25)</f>
        <v/>
      </c>
      <c r="J24" s="568">
        <f>IF(OR('Garmin Xero Import'!Q25="",'Garmin Xero Import'!Q25=0),"",'Garmin Xero Import'!Q25)</f>
        <v/>
      </c>
      <c r="K24" s="392">
        <f>IF(OR('Garmin Xero Import'!P25="",'Garmin Xero Import'!P25=0),"",'Garmin Xero Import'!P25)</f>
        <v/>
      </c>
      <c r="L24" s="393">
        <f>IF(OR('BallisticX Import'!D25="",'BallisticX Import'!D25=0),"",'BallisticX Import'!D25)</f>
        <v/>
      </c>
      <c r="M24" s="393">
        <f>IF(OR('BallisticX Import'!F25="",'BallisticX Import'!F25=0),"",'BallisticX Import'!F25)</f>
        <v/>
      </c>
      <c r="N24" s="533">
        <f>IF(OR('BallisticX Import'!J25="",'BallisticX Import'!J25=0),"",'BallisticX Import'!J25)</f>
        <v/>
      </c>
      <c r="O24" s="534">
        <f>IF(OR('BallisticX Import'!G25="",'BallisticX Import'!G25=0),"",'BallisticX Import'!G25)</f>
        <v/>
      </c>
      <c r="P24" s="545">
        <f>IF(AND(B24&lt;&gt;"",B24=$D$2),"⭐ WINNER","")</f>
        <v/>
      </c>
      <c r="Q24" s="317" t="n"/>
      <c r="R24" s="317" t="n"/>
      <c r="S24" s="317" t="n"/>
      <c r="T24" s="317" t="n"/>
      <c r="U24" s="317" t="n"/>
      <c r="V24" s="317" t="n"/>
      <c r="W24" s="317" t="n"/>
      <c r="X24" s="317" t="n"/>
      <c r="Y24" s="317" t="n"/>
      <c r="Z24" s="317" t="n"/>
      <c r="AA24" s="317" t="n"/>
      <c r="AB24" s="317" t="n"/>
      <c r="AC24" s="317" t="n"/>
      <c r="AD24" s="317" t="n"/>
      <c r="AE24" s="317" t="n"/>
      <c r="AF24" s="317" t="n"/>
      <c r="AG24" s="317" t="n"/>
      <c r="AH24" s="317" t="n"/>
      <c r="AI24" s="317" t="n"/>
      <c r="AJ24" s="317" t="n"/>
      <c r="AK24" s="317" t="n"/>
      <c r="AL24" s="317" t="n"/>
    </row>
    <row r="25" ht="18" customHeight="1" s="141">
      <c r="A25" s="536" t="n">
        <v>10</v>
      </c>
      <c r="B25" s="569">
        <f>IFERROR(LOOKUP(2,1/(GarminSessions!$A$2:$A$200="S10"),GarminSessions!$B$2:$B$200),NA())</f>
        <v/>
      </c>
      <c r="C25" s="570">
        <f>IFERROR($G$10-B25,"")</f>
        <v/>
      </c>
      <c r="D25" s="547">
        <f>IF(OR('Garmin Xero Import'!E26="",'Garmin Xero Import'!E26=0),"",'Garmin Xero Import'!E26)</f>
        <v/>
      </c>
      <c r="E25" s="547">
        <f>IF(OR('Garmin Xero Import'!F26="",'Garmin Xero Import'!F26=0),"",'Garmin Xero Import'!F26)</f>
        <v/>
      </c>
      <c r="F25" s="547">
        <f>IF(OR('Garmin Xero Import'!G26="",'Garmin Xero Import'!G26=0),"",'Garmin Xero Import'!G26)</f>
        <v/>
      </c>
      <c r="G25" s="547">
        <f>IF(OR('Garmin Xero Import'!H26="",'Garmin Xero Import'!H26=0),"",'Garmin Xero Import'!H26)</f>
        <v/>
      </c>
      <c r="H25" s="547">
        <f>IF(OR('Garmin Xero Import'!I26="",'Garmin Xero Import'!I26=0),"",'Garmin Xero Import'!I26)</f>
        <v/>
      </c>
      <c r="I25" s="394">
        <f>IF(OR('Garmin Xero Import'!O26="",'Garmin Xero Import'!O26=0),"",'Garmin Xero Import'!O26)</f>
        <v/>
      </c>
      <c r="J25" s="571">
        <f>IF(OR('Garmin Xero Import'!Q26="",'Garmin Xero Import'!Q26=0),"",'Garmin Xero Import'!Q26)</f>
        <v/>
      </c>
      <c r="K25" s="394">
        <f>IF(OR('Garmin Xero Import'!P26="",'Garmin Xero Import'!P26=0),"",'Garmin Xero Import'!P26)</f>
        <v/>
      </c>
      <c r="L25" s="395">
        <f>IF(OR('BallisticX Import'!D26="",'BallisticX Import'!D26=0),"",'BallisticX Import'!D26)</f>
        <v/>
      </c>
      <c r="M25" s="395">
        <f>IF(OR('BallisticX Import'!F26="",'BallisticX Import'!F26=0),"",'BallisticX Import'!F26)</f>
        <v/>
      </c>
      <c r="N25" s="535">
        <f>IF(OR('BallisticX Import'!J26="",'BallisticX Import'!J26=0),"",'BallisticX Import'!J26)</f>
        <v/>
      </c>
      <c r="O25" s="536">
        <f>IF(OR('BallisticX Import'!G26="",'BallisticX Import'!G26=0),"",'BallisticX Import'!G26)</f>
        <v/>
      </c>
      <c r="P25" s="548">
        <f>IF(AND(B25&lt;&gt;"",B25=$D$2),"⭐ WINNER","")</f>
        <v/>
      </c>
      <c r="Q25" s="317" t="n"/>
      <c r="R25" s="317" t="n"/>
      <c r="S25" s="317" t="n"/>
      <c r="T25" s="317" t="n"/>
      <c r="U25" s="317" t="n"/>
      <c r="V25" s="317" t="n"/>
      <c r="W25" s="317" t="n"/>
      <c r="X25" s="317" t="n"/>
      <c r="Y25" s="317" t="n"/>
      <c r="Z25" s="317" t="n"/>
      <c r="AA25" s="317" t="n"/>
      <c r="AB25" s="317" t="n"/>
      <c r="AC25" s="317" t="n"/>
      <c r="AD25" s="317" t="n"/>
      <c r="AE25" s="317" t="n"/>
      <c r="AF25" s="317" t="n"/>
      <c r="AG25" s="317" t="n"/>
      <c r="AH25" s="317" t="n"/>
      <c r="AI25" s="317" t="n"/>
      <c r="AJ25" s="317" t="n"/>
      <c r="AK25" s="317" t="n"/>
      <c r="AL25" s="317" t="n"/>
    </row>
    <row r="26" ht="7.5" customHeight="1" s="141">
      <c r="A26" s="201" t="inlineStr">
        <is>
          <t xml:space="preserve">→  Save Suggested Load to Library  ←</t>
        </is>
      </c>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c r="AH26" s="317" t="n"/>
      <c r="AI26" s="317" t="n"/>
      <c r="AJ26" s="317" t="n"/>
      <c r="AK26" s="317" t="n"/>
      <c r="AL26" s="317" t="n"/>
    </row>
    <row r="27" ht="24" customHeight="1" s="141">
      <c r="A27" s="338" t="inlineStr">
        <is>
          <t>ANALYSIS — Suggested Best Jump (Composite Score)</t>
        </is>
      </c>
      <c r="B27" s="309" t="n"/>
      <c r="C27" s="309" t="n"/>
      <c r="D27" s="309" t="n"/>
      <c r="E27" s="309" t="n"/>
      <c r="F27" s="309" t="n"/>
      <c r="G27" s="309" t="n"/>
      <c r="H27" s="309" t="n"/>
      <c r="I27" s="309" t="n"/>
      <c r="J27" s="309" t="n"/>
      <c r="K27" s="309" t="n"/>
      <c r="L27" s="309" t="n"/>
      <c r="M27" s="309" t="n"/>
      <c r="N27" s="309" t="n"/>
      <c r="O27" s="309" t="n"/>
      <c r="P27" s="309" t="n"/>
      <c r="Q27" s="317" t="n"/>
      <c r="R27" s="317" t="n"/>
      <c r="S27" s="317" t="n"/>
      <c r="T27" s="317" t="n"/>
      <c r="U27" s="317" t="n"/>
      <c r="V27" s="317" t="n"/>
      <c r="W27" s="317" t="n"/>
      <c r="X27" s="317" t="n"/>
      <c r="Y27" s="317" t="n"/>
      <c r="Z27" s="317" t="n"/>
      <c r="AA27" s="317" t="n"/>
      <c r="AB27" s="317" t="n"/>
      <c r="AC27" s="317" t="n"/>
      <c r="AD27" s="317" t="n"/>
      <c r="AE27" s="317" t="n"/>
      <c r="AF27" s="317" t="n"/>
      <c r="AG27" s="317" t="n"/>
      <c r="AH27" s="317" t="n"/>
      <c r="AI27" s="317" t="n"/>
      <c r="AJ27" s="317" t="n"/>
      <c r="AK27" s="317" t="n"/>
      <c r="AL27" s="317" t="n"/>
    </row>
    <row r="28" ht="21.75" customHeight="1" s="141">
      <c r="A28" s="201" t="inlineStr">
        <is>
          <t xml:space="preserve">→  Reset weights (hover for rationale)  ←</t>
        </is>
      </c>
      <c r="B28" s="447" t="inlineStr">
        <is>
          <t>Velocity</t>
        </is>
      </c>
      <c r="C28" s="448" t="n">
        <v>0.15</v>
      </c>
      <c r="D28" s="449" t="n"/>
      <c r="E28" s="447" t="inlineStr">
        <is>
          <t>SD</t>
        </is>
      </c>
      <c r="F28" s="448" t="n">
        <v>0.25</v>
      </c>
      <c r="G28" s="449" t="n"/>
      <c r="H28" s="447" t="inlineStr">
        <is>
          <t>MR</t>
        </is>
      </c>
      <c r="I28" s="448" t="n">
        <v>0.25</v>
      </c>
      <c r="J28" s="449" t="n"/>
      <c r="K28" s="447" t="inlineStr">
        <is>
          <t>Vertical SD</t>
        </is>
      </c>
      <c r="L28" s="448" t="n">
        <v>0.35</v>
      </c>
      <c r="M28" s="449" t="n"/>
      <c r="N28" s="447" t="inlineStr">
        <is>
          <t>Sum:</t>
        </is>
      </c>
      <c r="O28" s="231">
        <f>SUM(C28,F28,I28,L28)</f>
        <v/>
      </c>
      <c r="P28" s="449" t="n"/>
      <c r="Q28" s="317" t="n"/>
      <c r="R28" s="317" t="n"/>
      <c r="S28" s="317" t="n"/>
      <c r="T28" s="317" t="n"/>
      <c r="U28" s="317" t="n"/>
      <c r="V28" s="317" t="n"/>
      <c r="W28" s="317" t="n"/>
      <c r="X28" s="317" t="n"/>
      <c r="Y28" s="317" t="n"/>
      <c r="Z28" s="317" t="n"/>
      <c r="AA28" s="317" t="n"/>
      <c r="AB28" s="317" t="n"/>
      <c r="AC28" s="317" t="n"/>
      <c r="AD28" s="317" t="n"/>
      <c r="AE28" s="317" t="n"/>
      <c r="AF28" s="317" t="n"/>
      <c r="AG28" s="317" t="n"/>
      <c r="AH28" s="317" t="n"/>
      <c r="AI28" s="317" t="n"/>
      <c r="AJ28" s="317" t="n"/>
      <c r="AK28" s="317" t="n"/>
      <c r="AL28" s="317" t="n"/>
    </row>
    <row r="29" ht="42" customHeight="1" s="141">
      <c r="A29" s="450">
        <f>IF($B$100="window","Middle Jump","Jump")</f>
        <v/>
      </c>
      <c r="B29" s="450" t="inlineStr">
        <is>
          <t>Low</t>
        </is>
      </c>
      <c r="C29" s="450" t="inlineStr">
        <is>
          <t>High</t>
        </is>
      </c>
      <c r="D29" s="450">
        <f>IF($B$100="window","Vel Spread (fps)","Avg Vel (fps)")</f>
        <v/>
      </c>
      <c r="E29" s="450" t="inlineStr">
        <is>
          <t>SD (fps)</t>
        </is>
      </c>
      <c r="F29" s="450" t="inlineStr">
        <is>
          <t>Mean Radius (MOA)</t>
        </is>
      </c>
      <c r="G29" s="450" t="inlineStr">
        <is>
          <t>Vertical SD (MOA)</t>
        </is>
      </c>
      <c r="H29" s="450" t="inlineStr">
        <is>
          <t>Norm Spread</t>
        </is>
      </c>
      <c r="I29" s="450" t="inlineStr">
        <is>
          <t>Norm SD</t>
        </is>
      </c>
      <c r="J29" s="450" t="inlineStr">
        <is>
          <t>Norm MR</t>
        </is>
      </c>
      <c r="K29" s="450" t="inlineStr">
        <is>
          <t>Norm Vertical SD</t>
        </is>
      </c>
      <c r="L29" s="450" t="inlineStr">
        <is>
          <t>Composite Score</t>
        </is>
      </c>
      <c r="M29" s="450" t="inlineStr">
        <is>
          <t>Rank</t>
        </is>
      </c>
      <c r="N29" s="450" t="inlineStr">
        <is>
          <t>Best in</t>
        </is>
      </c>
      <c r="O29" s="333" t="n"/>
      <c r="P29" s="574" t="n"/>
      <c r="Q29" s="317" t="n"/>
      <c r="R29" s="317" t="n"/>
      <c r="S29" s="317" t="n"/>
      <c r="T29" s="317" t="n"/>
      <c r="U29" s="317" t="n"/>
      <c r="V29" s="317" t="n"/>
      <c r="W29" s="317" t="n"/>
      <c r="X29" s="317" t="n"/>
      <c r="Y29" s="317" t="n"/>
      <c r="Z29" s="317" t="n"/>
      <c r="AA29" s="317" t="n"/>
      <c r="AB29" s="317" t="n"/>
      <c r="AC29" s="317" t="n"/>
      <c r="AD29" s="317" t="n"/>
      <c r="AE29" s="317" t="n"/>
      <c r="AF29" s="317" t="n"/>
      <c r="AG29" s="317" t="n"/>
      <c r="AH29" s="317" t="n"/>
      <c r="AI29" s="317" t="n"/>
      <c r="AJ29" s="317" t="n"/>
      <c r="AK29" s="317" t="n"/>
      <c r="AL29" s="317" t="n"/>
    </row>
    <row r="30" ht="18.75" customHeight="1" s="141">
      <c r="A30" s="451">
        <f>IFERROR(IF($B$100="window",B17,IF(B16="","",B16)),"")</f>
        <v/>
      </c>
      <c r="B30" s="451">
        <f>IFERROR(IF($B$100="window",B16,""),"")</f>
        <v/>
      </c>
      <c r="C30" s="451">
        <f>IFERROR(IF($B$100="window",B18,""),"")</f>
        <v/>
      </c>
      <c r="D30" s="444">
        <f>IF($B$100="window",IF(OR(A30="",B30="",C30=""),"",MAX(I16:I18)-MIN(I16:I18)),IF(I16="","",I16))</f>
        <v/>
      </c>
      <c r="E30" s="443">
        <f>IF($B$100="window",IF(OR(A30="",B30="",C30=""),"",K17),IF(K16="","",K16))</f>
        <v/>
      </c>
      <c r="F30" s="445">
        <f>IF($B$100="window",IF(OR(A30="",B30="",C30=""),"",IFERROR(IF(N17="",L17,N17)/($L$10/100)/1.047,"")),IFERROR(IF(N16="",L16,N16)/($L$10/100)/1.047,""))</f>
        <v/>
      </c>
      <c r="G30" s="445">
        <f>IF($B$100="window",IF(OR(A30="",B30="",C30=""),"",IF(N17="",IF(M17="",F30,M17/($L$10/100)/1.047),N17/($L$10/100)/1.047)),IF(N16="",IF(M16="",F30,M16/($L$10/100)/1.047),N16/($L$10/100)/1.047))</f>
        <v/>
      </c>
      <c r="H30" s="451">
        <f>IF(D30="","",IFERROR((D30-MIN($D$30:$D$37))/(MAX($D$30:$D$37)-MIN($D$30:$D$37)),0))</f>
        <v/>
      </c>
      <c r="I30" s="451">
        <f>IF(D30="","",IFERROR((E30-MIN($E$30:$E$37))/(MAX($E$30:$E$37)-MIN($E$30:$E$37)),0))</f>
        <v/>
      </c>
      <c r="J30" s="451">
        <f>IF(D30="","",IFERROR((F30-MIN($F$30:$F$37))/(MAX($F$30:$F$37)-MIN($F$30:$F$37)),0))</f>
        <v/>
      </c>
      <c r="K30" s="451">
        <f>IF(D30="","",IFERROR((G30-MIN($G$30:$G$37))/(MAX($G$30:$G$37)-MIN($G$30:$G$37)),0))</f>
        <v/>
      </c>
      <c r="L30" s="451">
        <f>IF(D30="","",H30*$C$28+I30*$F$28+J30*$I$28+K30*$L$28)</f>
        <v/>
      </c>
      <c r="M30" s="444">
        <f>IF(D30="","",IFERROR(RANK(L30,$L$30:$L$37,1),""))</f>
        <v/>
      </c>
      <c r="N30" s="452">
        <f>IFERROR(IF(D30="","",TRIM(IF(D30=MIN($D$30:$D$37),"Vel ✓ ","")&amp;IF(E30=MIN($E$30:$E$37),"SD ✓ ","")&amp;IF(F30=MIN($F$30:$F$37),"MR ✓ ","")&amp;IF(G30=MIN($G$30:$G$37),"Vert ✓ ",""))),"")</f>
        <v/>
      </c>
      <c r="O30" s="233" t="n"/>
      <c r="P30" s="449" t="n"/>
      <c r="Q30" s="317" t="n"/>
      <c r="R30" s="317" t="n"/>
      <c r="S30" s="317" t="n"/>
      <c r="T30" s="317" t="n"/>
      <c r="U30" s="317" t="n"/>
      <c r="V30" s="317" t="n"/>
      <c r="W30" s="317" t="n"/>
      <c r="X30" s="317" t="n"/>
      <c r="Y30" s="317" t="n"/>
      <c r="Z30" s="317" t="n"/>
      <c r="AA30" s="317" t="n"/>
      <c r="AB30" s="317" t="n"/>
      <c r="AC30" s="317" t="n"/>
      <c r="AD30" s="317" t="n"/>
      <c r="AE30" s="317" t="n"/>
      <c r="AF30" s="317" t="n"/>
      <c r="AG30" s="317" t="n"/>
      <c r="AH30" s="317" t="n"/>
      <c r="AI30" s="317" t="n"/>
      <c r="AJ30" s="317" t="n"/>
      <c r="AK30" s="317" t="n"/>
      <c r="AL30" s="317" t="n"/>
    </row>
    <row r="31" ht="18.75" customHeight="1" s="141">
      <c r="A31" s="453">
        <f>IFERROR(IF($B$100="window",B18,IF(B17="","",B17)),"")</f>
        <v/>
      </c>
      <c r="B31" s="453">
        <f>IFERROR(IF($B$100="window",B17,""),"")</f>
        <v/>
      </c>
      <c r="C31" s="453">
        <f>IFERROR(IF($B$100="window",B19,""),"")</f>
        <v/>
      </c>
      <c r="D31" s="454">
        <f>IF($B$100="window",IF(OR(A31="",B31="",C31=""),"",MAX(I17:I19)-MIN(I17:I19)),IF(I17="","",I17))</f>
        <v/>
      </c>
      <c r="E31" s="455">
        <f>IF($B$100="window",IF(OR(A31="",B31="",C31=""),"",K18),IF(K17="","",K17))</f>
        <v/>
      </c>
      <c r="F31" s="456">
        <f>IF($B$100="window",IF(OR(A31="",B31="",C31=""),"",IFERROR(IF(N18="",L18,N18)/($L$10/100)/1.047,"")),IFERROR(IF(N17="",L17,N17)/($L$10/100)/1.047,""))</f>
        <v/>
      </c>
      <c r="G31" s="456">
        <f>IF($B$100="window",IF(OR(A31="",B31="",C31=""),"",IF(N18="",IF(M18="",F31,M18/($L$10/100)/1.047),N18/($L$10/100)/1.047)),IF(N17="",IF(M17="",F31,M17/($L$10/100)/1.047),N17/($L$10/100)/1.047))</f>
        <v/>
      </c>
      <c r="H31" s="453">
        <f>IF(D31="","",IFERROR((D31-MIN($D$30:$D$37))/(MAX($D$30:$D$37)-MIN($D$30:$D$37)),0))</f>
        <v/>
      </c>
      <c r="I31" s="453">
        <f>IF(D31="","",IFERROR((E31-MIN($E$30:$E$37))/(MAX($E$30:$E$37)-MIN($E$30:$E$37)),0))</f>
        <v/>
      </c>
      <c r="J31" s="453">
        <f>IF(D31="","",IFERROR((F31-MIN($F$30:$F$37))/(MAX($F$30:$F$37)-MIN($F$30:$F$37)),0))</f>
        <v/>
      </c>
      <c r="K31" s="453">
        <f>IF(D31="","",IFERROR((G31-MIN($G$30:$G$37))/(MAX($G$30:$G$37)-MIN($G$30:$G$37)),0))</f>
        <v/>
      </c>
      <c r="L31" s="453">
        <f>IF(D31="","",H31*$C$28+I31*$F$28+J31*$I$28+K31*$L$28)</f>
        <v/>
      </c>
      <c r="M31" s="454">
        <f>IF(D31="","",IFERROR(RANK(L31,$L$30:$L$37,1),""))</f>
        <v/>
      </c>
      <c r="N31" s="457">
        <f>IFERROR(IF(D31="","",TRIM(IF(D31=MIN($D$30:$D$37),"Vel ✓ ","")&amp;IF(E31=MIN($E$30:$E$37),"SD ✓ ","")&amp;IF(F31=MIN($F$30:$F$37),"MR ✓ ","")&amp;IF(G31=MIN($G$30:$G$37),"Vert ✓ ",""))),"")</f>
        <v/>
      </c>
      <c r="O31" s="236" t="n"/>
      <c r="P31" s="575" t="n"/>
      <c r="Q31" s="317" t="n"/>
      <c r="R31" s="317" t="n"/>
      <c r="S31" s="317" t="n"/>
      <c r="T31" s="317" t="n"/>
      <c r="U31" s="317" t="n"/>
      <c r="V31" s="317" t="n"/>
      <c r="W31" s="317" t="n"/>
      <c r="X31" s="317" t="n"/>
      <c r="Y31" s="317" t="n"/>
      <c r="Z31" s="317" t="n"/>
      <c r="AA31" s="317" t="n"/>
      <c r="AB31" s="317" t="n"/>
      <c r="AC31" s="317" t="n"/>
      <c r="AD31" s="317" t="n"/>
      <c r="AE31" s="317" t="n"/>
      <c r="AF31" s="317" t="n"/>
      <c r="AG31" s="317" t="n"/>
      <c r="AH31" s="317" t="n"/>
      <c r="AI31" s="317" t="n"/>
      <c r="AJ31" s="317" t="n"/>
      <c r="AK31" s="317" t="n"/>
      <c r="AL31" s="317" t="n"/>
    </row>
    <row r="32" ht="18.75" customHeight="1" s="141">
      <c r="A32" s="451">
        <f>IFERROR(IF($B$100="window",B19,IF(B18="","",B18)),"")</f>
        <v/>
      </c>
      <c r="B32" s="451">
        <f>IFERROR(IF($B$100="window",B18,""),"")</f>
        <v/>
      </c>
      <c r="C32" s="451">
        <f>IFERROR(IF($B$100="window",B20,""),"")</f>
        <v/>
      </c>
      <c r="D32" s="444">
        <f>IF($B$100="window",IF(OR(A32="",B32="",C32=""),"",MAX(I18:I20)-MIN(I18:I20)),IF(I18="","",I18))</f>
        <v/>
      </c>
      <c r="E32" s="443">
        <f>IF($B$100="window",IF(OR(A32="",B32="",C32=""),"",K19),IF(K18="","",K18))</f>
        <v/>
      </c>
      <c r="F32" s="445">
        <f>IF($B$100="window",IF(OR(A32="",B32="",C32=""),"",IFERROR(IF(N19="",L19,N19)/($L$10/100)/1.047,"")),IFERROR(IF(N18="",L18,N18)/($L$10/100)/1.047,""))</f>
        <v/>
      </c>
      <c r="G32" s="445">
        <f>IF($B$100="window",IF(OR(A32="",B32="",C32=""),"",IF(N19="",IF(M19="",F32,M19/($L$10/100)/1.047),N19/($L$10/100)/1.047)),IF(N18="",IF(M18="",F32,M18/($L$10/100)/1.047),N18/($L$10/100)/1.047))</f>
        <v/>
      </c>
      <c r="H32" s="451">
        <f>IF(D32="","",IFERROR((D32-MIN($D$30:$D$37))/(MAX($D$30:$D$37)-MIN($D$30:$D$37)),0))</f>
        <v/>
      </c>
      <c r="I32" s="451">
        <f>IF(D32="","",IFERROR((E32-MIN($E$30:$E$37))/(MAX($E$30:$E$37)-MIN($E$30:$E$37)),0))</f>
        <v/>
      </c>
      <c r="J32" s="451">
        <f>IF(D32="","",IFERROR((F32-MIN($F$30:$F$37))/(MAX($F$30:$F$37)-MIN($F$30:$F$37)),0))</f>
        <v/>
      </c>
      <c r="K32" s="451">
        <f>IF(D32="","",IFERROR((G32-MIN($G$30:$G$37))/(MAX($G$30:$G$37)-MIN($G$30:$G$37)),0))</f>
        <v/>
      </c>
      <c r="L32" s="451">
        <f>IF(D32="","",H32*$C$28+I32*$F$28+J32*$I$28+K32*$L$28)</f>
        <v/>
      </c>
      <c r="M32" s="444">
        <f>IF(D32="","",IFERROR(RANK(L32,$L$30:$L$37,1),""))</f>
        <v/>
      </c>
      <c r="N32" s="452">
        <f>IFERROR(IF(D32="","",TRIM(IF(D32=MIN($D$30:$D$37),"Vel ✓ ","")&amp;IF(E32=MIN($E$30:$E$37),"SD ✓ ","")&amp;IF(F32=MIN($F$30:$F$37),"MR ✓ ","")&amp;IF(G32=MIN($G$30:$G$37),"Vert ✓ ",""))),"")</f>
        <v/>
      </c>
      <c r="O32" s="233" t="n"/>
      <c r="P32" s="449" t="n"/>
      <c r="Q32" s="317" t="n"/>
      <c r="R32" s="317" t="n"/>
      <c r="S32" s="317" t="n"/>
      <c r="T32" s="317" t="n"/>
      <c r="U32" s="317" t="n"/>
      <c r="V32" s="317" t="n"/>
      <c r="W32" s="317" t="n"/>
      <c r="X32" s="317" t="n"/>
      <c r="Y32" s="317" t="n"/>
      <c r="Z32" s="317" t="n"/>
      <c r="AA32" s="317" t="n"/>
      <c r="AB32" s="317" t="n"/>
      <c r="AC32" s="317" t="n"/>
      <c r="AD32" s="317" t="n"/>
      <c r="AE32" s="317" t="n"/>
      <c r="AF32" s="317" t="n"/>
      <c r="AG32" s="317" t="n"/>
      <c r="AH32" s="317" t="n"/>
      <c r="AI32" s="317" t="n"/>
      <c r="AJ32" s="317" t="n"/>
      <c r="AK32" s="317" t="n"/>
      <c r="AL32" s="317" t="n"/>
    </row>
    <row r="33" ht="18.75" customHeight="1" s="141">
      <c r="A33" s="453">
        <f>IFERROR(IF($B$100="window",B20,IF(B19="","",B19)),"")</f>
        <v/>
      </c>
      <c r="B33" s="453">
        <f>IFERROR(IF($B$100="window",B19,""),"")</f>
        <v/>
      </c>
      <c r="C33" s="453">
        <f>IFERROR(IF($B$100="window",B21,""),"")</f>
        <v/>
      </c>
      <c r="D33" s="454">
        <f>IF($B$100="window",IF(OR(A33="",B33="",C33=""),"",MAX(I19:I21)-MIN(I19:I21)),IF(I19="","",I19))</f>
        <v/>
      </c>
      <c r="E33" s="455">
        <f>IF($B$100="window",IF(OR(A33="",B33="",C33=""),"",K20),IF(K19="","",K19))</f>
        <v/>
      </c>
      <c r="F33" s="456">
        <f>IF($B$100="window",IF(OR(A33="",B33="",C33=""),"",IFERROR(IF(N20="",L20,N20)/($L$10/100)/1.047,"")),IFERROR(IF(N19="",L19,N19)/($L$10/100)/1.047,""))</f>
        <v/>
      </c>
      <c r="G33" s="456">
        <f>IF($B$100="window",IF(OR(A33="",B33="",C33=""),"",IF(N20="",IF(M20="",F33,M20/($L$10/100)/1.047),N20/($L$10/100)/1.047)),IF(N19="",IF(M19="",F33,M19/($L$10/100)/1.047),N19/($L$10/100)/1.047))</f>
        <v/>
      </c>
      <c r="H33" s="453">
        <f>IF(D33="","",IFERROR((D33-MIN($D$30:$D$37))/(MAX($D$30:$D$37)-MIN($D$30:$D$37)),0))</f>
        <v/>
      </c>
      <c r="I33" s="453">
        <f>IF(D33="","",IFERROR((E33-MIN($E$30:$E$37))/(MAX($E$30:$E$37)-MIN($E$30:$E$37)),0))</f>
        <v/>
      </c>
      <c r="J33" s="453">
        <f>IF(D33="","",IFERROR((F33-MIN($F$30:$F$37))/(MAX($F$30:$F$37)-MIN($F$30:$F$37)),0))</f>
        <v/>
      </c>
      <c r="K33" s="453">
        <f>IF(D33="","",IFERROR((G33-MIN($G$30:$G$37))/(MAX($G$30:$G$37)-MIN($G$30:$G$37)),0))</f>
        <v/>
      </c>
      <c r="L33" s="453">
        <f>IF(D33="","",H33*$C$28+I33*$F$28+J33*$I$28+K33*$L$28)</f>
        <v/>
      </c>
      <c r="M33" s="454">
        <f>IF(D33="","",IFERROR(RANK(L33,$L$30:$L$37,1),""))</f>
        <v/>
      </c>
      <c r="N33" s="457">
        <f>IFERROR(IF(D33="","",TRIM(IF(D33=MIN($D$30:$D$37),"Vel ✓ ","")&amp;IF(E33=MIN($E$30:$E$37),"SD ✓ ","")&amp;IF(F33=MIN($F$30:$F$37),"MR ✓ ","")&amp;IF(G33=MIN($G$30:$G$37),"Vert ✓ ",""))),"")</f>
        <v/>
      </c>
      <c r="O33" s="236" t="n"/>
      <c r="P33" s="575" t="n"/>
      <c r="Q33" s="317" t="n"/>
      <c r="R33" s="317" t="n"/>
      <c r="S33" s="317" t="n"/>
      <c r="T33" s="317" t="n"/>
      <c r="U33" s="317" t="n"/>
      <c r="V33" s="317" t="n"/>
      <c r="W33" s="317" t="n"/>
      <c r="X33" s="317" t="n"/>
      <c r="Y33" s="317" t="n"/>
      <c r="Z33" s="317" t="n"/>
      <c r="AA33" s="317" t="n"/>
      <c r="AB33" s="317" t="n"/>
      <c r="AC33" s="317" t="n"/>
      <c r="AD33" s="317" t="n"/>
      <c r="AE33" s="317" t="n"/>
      <c r="AF33" s="317" t="n"/>
      <c r="AG33" s="317" t="n"/>
      <c r="AH33" s="317" t="n"/>
      <c r="AI33" s="317" t="n"/>
      <c r="AJ33" s="317" t="n"/>
      <c r="AK33" s="317" t="n"/>
      <c r="AL33" s="317" t="n"/>
    </row>
    <row r="34" ht="18.75" customHeight="1" s="141">
      <c r="A34" s="451">
        <f>IFERROR(IF($B$100="window",B21,IF(B20="","",B20)),"")</f>
        <v/>
      </c>
      <c r="B34" s="451">
        <f>IFERROR(IF($B$100="window",B20,""),"")</f>
        <v/>
      </c>
      <c r="C34" s="451">
        <f>IFERROR(IF($B$100="window",B22,""),"")</f>
        <v/>
      </c>
      <c r="D34" s="444">
        <f>IF($B$100="window",IF(OR(A34="",B34="",C34=""),"",MAX(I20:I22)-MIN(I20:I22)),IF(I20="","",I20))</f>
        <v/>
      </c>
      <c r="E34" s="443">
        <f>IF($B$100="window",IF(OR(A34="",B34="",C34=""),"",K21),IF(K20="","",K20))</f>
        <v/>
      </c>
      <c r="F34" s="445">
        <f>IF($B$100="window",IF(OR(A34="",B34="",C34=""),"",IFERROR(IF(N21="",L21,N21)/($L$10/100)/1.047,"")),IFERROR(IF(N20="",L20,N20)/($L$10/100)/1.047,""))</f>
        <v/>
      </c>
      <c r="G34" s="445">
        <f>IF($B$100="window",IF(OR(A34="",B34="",C34=""),"",IF(N21="",IF(M21="",F34,M21/($L$10/100)/1.047),N21/($L$10/100)/1.047)),IF(N20="",IF(M20="",F34,M20/($L$10/100)/1.047),N20/($L$10/100)/1.047))</f>
        <v/>
      </c>
      <c r="H34" s="451">
        <f>IF(D34="","",IFERROR((D34-MIN($D$30:$D$37))/(MAX($D$30:$D$37)-MIN($D$30:$D$37)),0))</f>
        <v/>
      </c>
      <c r="I34" s="451">
        <f>IF(D34="","",IFERROR((E34-MIN($E$30:$E$37))/(MAX($E$30:$E$37)-MIN($E$30:$E$37)),0))</f>
        <v/>
      </c>
      <c r="J34" s="451">
        <f>IF(D34="","",IFERROR((F34-MIN($F$30:$F$37))/(MAX($F$30:$F$37)-MIN($F$30:$F$37)),0))</f>
        <v/>
      </c>
      <c r="K34" s="451">
        <f>IF(D34="","",IFERROR((G34-MIN($G$30:$G$37))/(MAX($G$30:$G$37)-MIN($G$30:$G$37)),0))</f>
        <v/>
      </c>
      <c r="L34" s="451">
        <f>IF(D34="","",H34*$C$28+I34*$F$28+J34*$I$28+K34*$L$28)</f>
        <v/>
      </c>
      <c r="M34" s="444">
        <f>IF(D34="","",IFERROR(RANK(L34,$L$30:$L$37,1),""))</f>
        <v/>
      </c>
      <c r="N34" s="452">
        <f>IFERROR(IF(D34="","",TRIM(IF(D34=MIN($D$30:$D$37),"Vel ✓ ","")&amp;IF(E34=MIN($E$30:$E$37),"SD ✓ ","")&amp;IF(F34=MIN($F$30:$F$37),"MR ✓ ","")&amp;IF(G34=MIN($G$30:$G$37),"Vert ✓ ",""))),"")</f>
        <v/>
      </c>
      <c r="O34" s="233" t="n"/>
      <c r="P34" s="449" t="n"/>
      <c r="Q34" s="317" t="n"/>
      <c r="R34" s="317" t="n"/>
      <c r="S34" s="317" t="n"/>
      <c r="T34" s="317" t="n"/>
      <c r="U34" s="317" t="n"/>
      <c r="V34" s="317" t="n"/>
      <c r="W34" s="317" t="n"/>
      <c r="X34" s="317" t="n"/>
      <c r="Y34" s="317" t="n"/>
      <c r="Z34" s="317" t="n"/>
      <c r="AA34" s="317" t="n"/>
      <c r="AB34" s="317" t="n"/>
      <c r="AC34" s="317" t="n"/>
      <c r="AD34" s="317" t="n"/>
      <c r="AE34" s="317" t="n"/>
      <c r="AF34" s="317" t="n"/>
      <c r="AG34" s="317" t="n"/>
      <c r="AH34" s="317" t="n"/>
      <c r="AI34" s="317" t="n"/>
      <c r="AJ34" s="317" t="n"/>
      <c r="AK34" s="317" t="n"/>
      <c r="AL34" s="317" t="n"/>
    </row>
    <row r="35" ht="18.75" customHeight="1" s="141">
      <c r="A35" s="453">
        <f>IFERROR(IF($B$100="window",B22,IF(B21="","",B21)),"")</f>
        <v/>
      </c>
      <c r="B35" s="453">
        <f>IFERROR(IF($B$100="window",B21,""),"")</f>
        <v/>
      </c>
      <c r="C35" s="453">
        <f>IFERROR(IF($B$100="window",B23,""),"")</f>
        <v/>
      </c>
      <c r="D35" s="454">
        <f>IF($B$100="window",IF(OR(A35="",B35="",C35=""),"",MAX(I21:I23)-MIN(I21:I23)),IF(I21="","",I21))</f>
        <v/>
      </c>
      <c r="E35" s="455">
        <f>IF($B$100="window",IF(OR(A35="",B35="",C35=""),"",K22),IF(K21="","",K21))</f>
        <v/>
      </c>
      <c r="F35" s="456">
        <f>IF($B$100="window",IF(OR(A35="",B35="",C35=""),"",IFERROR(IF(N22="",L22,N22)/($L$10/100)/1.047,"")),IFERROR(IF(N21="",L21,N21)/($L$10/100)/1.047,""))</f>
        <v/>
      </c>
      <c r="G35" s="456">
        <f>IF($B$100="window",IF(OR(A35="",B35="",C35=""),"",IF(N22="",IF(M22="",F35,M22/($L$10/100)/1.047),N22/($L$10/100)/1.047)),IF(N21="",IF(M21="",F35,M21/($L$10/100)/1.047),N21/($L$10/100)/1.047))</f>
        <v/>
      </c>
      <c r="H35" s="453">
        <f>IF(D35="","",IFERROR((D35-MIN($D$30:$D$37))/(MAX($D$30:$D$37)-MIN($D$30:$D$37)),0))</f>
        <v/>
      </c>
      <c r="I35" s="453">
        <f>IF(D35="","",IFERROR((E35-MIN($E$30:$E$37))/(MAX($E$30:$E$37)-MIN($E$30:$E$37)),0))</f>
        <v/>
      </c>
      <c r="J35" s="453">
        <f>IF(D35="","",IFERROR((F35-MIN($F$30:$F$37))/(MAX($F$30:$F$37)-MIN($F$30:$F$37)),0))</f>
        <v/>
      </c>
      <c r="K35" s="453">
        <f>IF(D35="","",IFERROR((G35-MIN($G$30:$G$37))/(MAX($G$30:$G$37)-MIN($G$30:$G$37)),0))</f>
        <v/>
      </c>
      <c r="L35" s="453">
        <f>IF(D35="","",H35*$C$28+I35*$F$28+J35*$I$28+K35*$L$28)</f>
        <v/>
      </c>
      <c r="M35" s="454">
        <f>IF(D35="","",IFERROR(RANK(L35,$L$30:$L$37,1),""))</f>
        <v/>
      </c>
      <c r="N35" s="457">
        <f>IFERROR(IF(D35="","",TRIM(IF(D35=MIN($D$30:$D$37),"Vel ✓ ","")&amp;IF(E35=MIN($E$30:$E$37),"SD ✓ ","")&amp;IF(F35=MIN($F$30:$F$37),"MR ✓ ","")&amp;IF(G35=MIN($G$30:$G$37),"Vert ✓ ",""))),"")</f>
        <v/>
      </c>
      <c r="O35" s="236" t="n"/>
      <c r="P35" s="575" t="n"/>
      <c r="Q35" s="317" t="n"/>
      <c r="R35" s="317" t="n"/>
      <c r="S35" s="317" t="n"/>
      <c r="T35" s="317" t="n"/>
      <c r="U35" s="317" t="n"/>
      <c r="V35" s="317" t="n"/>
      <c r="W35" s="317" t="n"/>
      <c r="X35" s="317" t="n"/>
      <c r="Y35" s="317" t="n"/>
      <c r="Z35" s="317" t="n"/>
      <c r="AA35" s="317" t="n"/>
      <c r="AB35" s="317" t="n"/>
      <c r="AC35" s="317" t="n"/>
      <c r="AD35" s="317" t="n"/>
      <c r="AE35" s="317" t="n"/>
      <c r="AF35" s="317" t="n"/>
      <c r="AG35" s="317" t="n"/>
      <c r="AH35" s="317" t="n"/>
      <c r="AI35" s="317" t="n"/>
      <c r="AJ35" s="317" t="n"/>
      <c r="AK35" s="317" t="n"/>
      <c r="AL35" s="317" t="n"/>
    </row>
    <row r="36" ht="18.75" customHeight="1" s="141">
      <c r="A36" s="451">
        <f>IFERROR(IF($B$100="window",B23,IF(B22="","",B22)),"")</f>
        <v/>
      </c>
      <c r="B36" s="451">
        <f>IFERROR(IF($B$100="window",B22,""),"")</f>
        <v/>
      </c>
      <c r="C36" s="451">
        <f>IFERROR(IF($B$100="window",B24,""),"")</f>
        <v/>
      </c>
      <c r="D36" s="444">
        <f>IF($B$100="window",IF(OR(A36="",B36="",C36=""),"",MAX(I22:I24)-MIN(I22:I24)),IF(I22="","",I22))</f>
        <v/>
      </c>
      <c r="E36" s="443">
        <f>IF($B$100="window",IF(OR(A36="",B36="",C36=""),"",K23),IF(K22="","",K22))</f>
        <v/>
      </c>
      <c r="F36" s="445">
        <f>IF($B$100="window",IF(OR(A36="",B36="",C36=""),"",IFERROR(IF(N23="",L23,N23)/($L$10/100)/1.047,"")),IFERROR(IF(N22="",L22,N22)/($L$10/100)/1.047,""))</f>
        <v/>
      </c>
      <c r="G36" s="445">
        <f>IF($B$100="window",IF(OR(A36="",B36="",C36=""),"",IF(N23="",IF(M23="",F36,M23/($L$10/100)/1.047),N23/($L$10/100)/1.047)),IF(N22="",IF(M22="",F36,M22/($L$10/100)/1.047),N22/($L$10/100)/1.047))</f>
        <v/>
      </c>
      <c r="H36" s="451">
        <f>IF(D36="","",IFERROR((D36-MIN($D$30:$D$37))/(MAX($D$30:$D$37)-MIN($D$30:$D$37)),0))</f>
        <v/>
      </c>
      <c r="I36" s="451">
        <f>IF(D36="","",IFERROR((E36-MIN($E$30:$E$37))/(MAX($E$30:$E$37)-MIN($E$30:$E$37)),0))</f>
        <v/>
      </c>
      <c r="J36" s="451">
        <f>IF(D36="","",IFERROR((F36-MIN($F$30:$F$37))/(MAX($F$30:$F$37)-MIN($F$30:$F$37)),0))</f>
        <v/>
      </c>
      <c r="K36" s="451">
        <f>IF(D36="","",IFERROR((G36-MIN($G$30:$G$37))/(MAX($G$30:$G$37)-MIN($G$30:$G$37)),0))</f>
        <v/>
      </c>
      <c r="L36" s="451">
        <f>IF(D36="","",H36*$C$28+I36*$F$28+J36*$I$28+K36*$L$28)</f>
        <v/>
      </c>
      <c r="M36" s="444">
        <f>IF(D36="","",IFERROR(RANK(L36,$L$30:$L$37,1),""))</f>
        <v/>
      </c>
      <c r="N36" s="452">
        <f>IFERROR(IF(D36="","",TRIM(IF(D36=MIN($D$30:$D$37),"Vel ✓ ","")&amp;IF(E36=MIN($E$30:$E$37),"SD ✓ ","")&amp;IF(F36=MIN($F$30:$F$37),"MR ✓ ","")&amp;IF(G36=MIN($G$30:$G$37),"Vert ✓ ",""))),"")</f>
        <v/>
      </c>
      <c r="O36" s="233" t="n"/>
      <c r="P36" s="449" t="n"/>
      <c r="Q36" s="317" t="n"/>
      <c r="R36" s="317" t="n"/>
      <c r="S36" s="317" t="n"/>
      <c r="T36" s="317" t="n"/>
      <c r="U36" s="317" t="n"/>
      <c r="V36" s="317" t="n"/>
      <c r="W36" s="317" t="n"/>
      <c r="X36" s="317" t="n"/>
      <c r="Y36" s="317" t="n"/>
      <c r="Z36" s="317" t="n"/>
      <c r="AA36" s="317" t="n"/>
      <c r="AB36" s="317" t="n"/>
      <c r="AC36" s="317" t="n"/>
      <c r="AD36" s="317" t="n"/>
      <c r="AE36" s="317" t="n"/>
      <c r="AF36" s="317" t="n"/>
      <c r="AG36" s="317" t="n"/>
      <c r="AH36" s="317" t="n"/>
      <c r="AI36" s="317" t="n"/>
      <c r="AJ36" s="317" t="n"/>
      <c r="AK36" s="317" t="n"/>
      <c r="AL36" s="317" t="n"/>
    </row>
    <row r="37" ht="18.75" customHeight="1" s="141">
      <c r="A37" s="453">
        <f>IFERROR(IF($B$100="window",B24,IF(B23="","",B23)),"")</f>
        <v/>
      </c>
      <c r="B37" s="453">
        <f>IFERROR(IF($B$100="window",B23,""),"")</f>
        <v/>
      </c>
      <c r="C37" s="453">
        <f>IFERROR(IF($B$100="window",B25,""),"")</f>
        <v/>
      </c>
      <c r="D37" s="454">
        <f>IF($B$100="window",IF(OR(A37="",B37="",C37=""),"",MAX(I23:I25)-MIN(I23:I25)),IF(I23="","",I23))</f>
        <v/>
      </c>
      <c r="E37" s="455">
        <f>IF($B$100="window",IF(OR(A37="",B37="",C37=""),"",K24),IF(K23="","",K23))</f>
        <v/>
      </c>
      <c r="F37" s="456">
        <f>IF($B$100="window",IF(OR(A37="",B37="",C37=""),"",IFERROR(IF(N24="",L24,N24)/($L$10/100)/1.047,"")),IFERROR(IF(N23="",L23,N23)/($L$10/100)/1.047,""))</f>
        <v/>
      </c>
      <c r="G37" s="456">
        <f>IF($B$100="window",IF(OR(A37="",B37="",C37=""),"",IF(N24="",IF(M24="",F37,M24/($L$10/100)/1.047),N24/($L$10/100)/1.047)),IF(N23="",IF(M23="",F37,M23/($L$10/100)/1.047),N23/($L$10/100)/1.047))</f>
        <v/>
      </c>
      <c r="H37" s="453">
        <f>IF(D37="","",IFERROR((D37-MIN($D$30:$D$37))/(MAX($D$30:$D$37)-MIN($D$30:$D$37)),0))</f>
        <v/>
      </c>
      <c r="I37" s="453">
        <f>IF(D37="","",IFERROR((E37-MIN($E$30:$E$37))/(MAX($E$30:$E$37)-MIN($E$30:$E$37)),0))</f>
        <v/>
      </c>
      <c r="J37" s="453">
        <f>IF(D37="","",IFERROR((F37-MIN($F$30:$F$37))/(MAX($F$30:$F$37)-MIN($F$30:$F$37)),0))</f>
        <v/>
      </c>
      <c r="K37" s="453">
        <f>IF(D37="","",IFERROR((G37-MIN($G$30:$G$37))/(MAX($G$30:$G$37)-MIN($G$30:$G$37)),0))</f>
        <v/>
      </c>
      <c r="L37" s="453">
        <f>IF(D37="","",H37*$C$28+I37*$F$28+J37*$I$28+K37*$L$28)</f>
        <v/>
      </c>
      <c r="M37" s="454">
        <f>IF(D37="","",IFERROR(RANK(L37,$L$30:$L$37,1),""))</f>
        <v/>
      </c>
      <c r="N37" s="457">
        <f>IFERROR(IF(D37="","",TRIM(IF(D37=MIN($D$30:$D$37),"Vel ✓ ","")&amp;IF(E37=MIN($E$30:$E$37),"SD ✓ ","")&amp;IF(F37=MIN($F$30:$F$37),"MR ✓ ","")&amp;IF(G37=MIN($G$30:$G$37),"Vert ✓ ",""))),"")</f>
        <v/>
      </c>
      <c r="O37" s="236" t="n"/>
      <c r="P37" s="575" t="n"/>
      <c r="Q37" s="317" t="n"/>
      <c r="R37" s="317" t="n"/>
      <c r="S37" s="317" t="n"/>
      <c r="T37" s="317" t="n"/>
      <c r="U37" s="317" t="n"/>
      <c r="V37" s="317" t="n"/>
      <c r="W37" s="317" t="n"/>
      <c r="X37" s="317" t="n"/>
      <c r="Y37" s="317" t="n"/>
      <c r="Z37" s="317" t="n"/>
      <c r="AA37" s="317" t="n"/>
      <c r="AB37" s="317" t="n"/>
      <c r="AC37" s="317" t="n"/>
      <c r="AD37" s="317" t="n"/>
      <c r="AE37" s="317" t="n"/>
      <c r="AF37" s="317" t="n"/>
      <c r="AG37" s="317" t="n"/>
      <c r="AH37" s="317" t="n"/>
      <c r="AI37" s="317" t="n"/>
      <c r="AJ37" s="317" t="n"/>
      <c r="AK37" s="317" t="n"/>
      <c r="AL37" s="317" t="n"/>
    </row>
    <row r="38" ht="30" customHeight="1" s="141">
      <c r="A38" s="317" t="n"/>
      <c r="B38" s="317" t="n"/>
      <c r="C38" s="317" t="n"/>
      <c r="D38" s="317" t="n"/>
      <c r="E38" s="317" t="n"/>
      <c r="F38" s="317" t="n"/>
      <c r="G38" s="317" t="n"/>
      <c r="H38" s="317" t="n"/>
      <c r="I38" s="317" t="n"/>
      <c r="J38" s="317" t="n"/>
      <c r="K38" s="317" t="n"/>
      <c r="L38" s="317" t="n"/>
      <c r="M38" s="317" t="n"/>
      <c r="N38" s="317" t="n"/>
      <c r="O38" s="317" t="n"/>
      <c r="P38" s="317" t="n"/>
      <c r="Q38" s="317" t="n"/>
      <c r="R38" s="317" t="n"/>
      <c r="S38" s="317" t="n"/>
      <c r="T38" s="317" t="n"/>
      <c r="U38" s="317" t="n"/>
      <c r="V38" s="317" t="n"/>
      <c r="W38" s="317" t="n"/>
      <c r="X38" s="317" t="n"/>
      <c r="Y38" s="317" t="n"/>
      <c r="Z38" s="317" t="n"/>
      <c r="AA38" s="317" t="n"/>
      <c r="AB38" s="317" t="n"/>
      <c r="AC38" s="317" t="n"/>
      <c r="AD38" s="317" t="n"/>
      <c r="AE38" s="317" t="n"/>
      <c r="AF38" s="317" t="n"/>
      <c r="AG38" s="317" t="n"/>
      <c r="AH38" s="317" t="n"/>
      <c r="AI38" s="317" t="n"/>
      <c r="AJ38" s="317" t="n"/>
      <c r="AK38" s="317" t="n"/>
      <c r="AL38" s="317" t="n"/>
    </row>
    <row r="39" ht="15" customHeight="1" s="141">
      <c r="A39" s="317" t="n"/>
      <c r="B39" s="317" t="n"/>
      <c r="C39" s="317" t="n"/>
      <c r="D39" s="317" t="n"/>
      <c r="E39" s="317" t="n"/>
      <c r="F39" s="317" t="n"/>
      <c r="G39" s="317" t="n"/>
      <c r="H39" s="317" t="n"/>
      <c r="I39" s="317" t="n"/>
      <c r="J39" s="317" t="n"/>
      <c r="K39" s="317" t="n"/>
      <c r="L39" s="317" t="n"/>
      <c r="M39" s="317" t="n"/>
      <c r="N39" s="317" t="n"/>
      <c r="O39" s="317" t="n"/>
      <c r="P39" s="317" t="n"/>
      <c r="Q39" s="317" t="n"/>
      <c r="R39" s="317" t="n"/>
      <c r="S39" s="317" t="n"/>
      <c r="T39" s="317" t="n"/>
      <c r="U39" s="317" t="n"/>
      <c r="V39" s="317" t="n"/>
      <c r="W39" s="317" t="n"/>
      <c r="X39" s="317" t="n"/>
      <c r="Y39" s="317" t="n"/>
      <c r="Z39" s="317" t="n"/>
      <c r="AA39" s="317" t="n"/>
      <c r="AB39" s="317" t="n"/>
      <c r="AC39" s="317" t="n"/>
      <c r="AD39" s="317" t="n"/>
      <c r="AE39" s="317" t="n"/>
      <c r="AF39" s="317" t="n"/>
      <c r="AG39" s="317" t="n"/>
      <c r="AH39" s="317" t="n"/>
      <c r="AI39" s="317" t="n"/>
      <c r="AJ39" s="317" t="n"/>
      <c r="AK39" s="317" t="n"/>
      <c r="AL39" s="317" t="n"/>
    </row>
    <row r="40" ht="15" customHeight="1" s="141">
      <c r="A40" s="317" t="n"/>
      <c r="B40" s="317" t="n"/>
      <c r="C40" s="317" t="n"/>
      <c r="D40" s="317" t="n"/>
      <c r="E40" s="317" t="n"/>
      <c r="F40" s="317" t="n"/>
      <c r="G40" s="317" t="n"/>
      <c r="H40" s="317" t="n"/>
      <c r="I40" s="317" t="n"/>
      <c r="J40" s="317" t="n"/>
      <c r="K40" s="317" t="n"/>
      <c r="L40" s="317" t="n"/>
      <c r="M40" s="317" t="n"/>
      <c r="N40" s="317" t="n"/>
      <c r="O40" s="317" t="n"/>
      <c r="P40" s="317" t="n"/>
      <c r="Q40" s="317" t="n"/>
      <c r="R40" s="317" t="n"/>
      <c r="S40" s="317" t="n"/>
      <c r="T40" s="317" t="n"/>
      <c r="U40" s="317" t="n"/>
      <c r="V40" s="317" t="n"/>
      <c r="W40" s="317" t="n"/>
      <c r="X40" s="317" t="n"/>
      <c r="Y40" s="317" t="n"/>
      <c r="Z40" s="317" t="n"/>
      <c r="AA40" s="317" t="n"/>
      <c r="AB40" s="317" t="n"/>
      <c r="AC40" s="317" t="n"/>
      <c r="AD40" s="317" t="n"/>
      <c r="AE40" s="317" t="n"/>
      <c r="AF40" s="317" t="n"/>
      <c r="AG40" s="317" t="n"/>
      <c r="AH40" s="317" t="n"/>
      <c r="AI40" s="317" t="n"/>
      <c r="AJ40" s="317" t="n"/>
      <c r="AK40" s="317" t="n"/>
      <c r="AL40" s="317" t="n"/>
    </row>
    <row r="41" ht="15" customHeight="1" s="141">
      <c r="A41" s="317" t="n"/>
      <c r="B41" s="317" t="n"/>
      <c r="C41" s="317" t="n"/>
      <c r="D41" s="317" t="n"/>
      <c r="E41" s="317" t="n"/>
      <c r="F41" s="317" t="n"/>
      <c r="G41" s="317" t="n"/>
      <c r="H41" s="317" t="n"/>
      <c r="I41" s="317" t="n"/>
      <c r="J41" s="317" t="n"/>
      <c r="K41" s="317" t="n"/>
      <c r="L41" s="317" t="n"/>
      <c r="M41" s="317" t="n"/>
      <c r="N41" s="317" t="n"/>
      <c r="O41" s="317" t="n"/>
      <c r="P41" s="317" t="n"/>
      <c r="Q41" s="317" t="n"/>
      <c r="R41" s="317" t="n"/>
      <c r="S41" s="317" t="n"/>
      <c r="T41" s="317" t="n"/>
      <c r="U41" s="317" t="n"/>
      <c r="V41" s="317" t="n"/>
      <c r="W41" s="317" t="n"/>
      <c r="X41" s="317" t="n"/>
      <c r="Y41" s="317" t="n"/>
      <c r="Z41" s="317" t="n"/>
      <c r="AA41" s="317" t="n"/>
      <c r="AB41" s="317" t="n"/>
      <c r="AC41" s="317" t="n"/>
      <c r="AD41" s="317" t="n"/>
      <c r="AE41" s="317" t="n"/>
      <c r="AF41" s="317" t="n"/>
      <c r="AG41" s="317" t="n"/>
      <c r="AH41" s="317" t="n"/>
      <c r="AI41" s="317" t="n"/>
      <c r="AJ41" s="317" t="n"/>
      <c r="AK41" s="317" t="n"/>
      <c r="AL41" s="317" t="n"/>
    </row>
    <row r="42" ht="15" customHeight="1" s="141">
      <c r="A42" s="317" t="n"/>
      <c r="B42" s="317" t="n"/>
      <c r="C42" s="317" t="n"/>
      <c r="D42" s="317" t="n"/>
      <c r="E42" s="317" t="n"/>
      <c r="F42" s="317" t="n"/>
      <c r="G42" s="317" t="n"/>
      <c r="H42" s="317" t="n"/>
      <c r="I42" s="317" t="n"/>
      <c r="J42" s="317" t="n"/>
      <c r="K42" s="317" t="n"/>
      <c r="L42" s="317" t="n"/>
      <c r="M42" s="317" t="n"/>
      <c r="N42" s="317" t="n"/>
      <c r="O42" s="317" t="n"/>
      <c r="P42" s="317" t="n"/>
      <c r="Q42" s="317" t="n"/>
      <c r="R42" s="317" t="n"/>
      <c r="S42" s="317" t="n"/>
      <c r="T42" s="317" t="n"/>
      <c r="U42" s="317" t="n"/>
      <c r="V42" s="317" t="n"/>
      <c r="W42" s="317" t="n"/>
      <c r="X42" s="317" t="n"/>
      <c r="Y42" s="317" t="n"/>
      <c r="Z42" s="317" t="n"/>
      <c r="AA42" s="317" t="n"/>
      <c r="AB42" s="317" t="n"/>
      <c r="AC42" s="317" t="n"/>
      <c r="AD42" s="317" t="n"/>
      <c r="AE42" s="317" t="n"/>
      <c r="AF42" s="317" t="n"/>
      <c r="AG42" s="317" t="n"/>
      <c r="AH42" s="317" t="n"/>
      <c r="AI42" s="317" t="n"/>
      <c r="AJ42" s="317" t="n"/>
      <c r="AK42" s="317" t="n"/>
      <c r="AL42" s="317" t="n"/>
    </row>
    <row r="43" ht="15" customHeight="1" s="141">
      <c r="A43" s="317" t="n"/>
      <c r="B43" s="317" t="n"/>
      <c r="C43" s="317" t="n"/>
      <c r="D43" s="317" t="n"/>
      <c r="E43" s="317" t="n"/>
      <c r="F43" s="317" t="n"/>
      <c r="G43" s="317" t="n"/>
      <c r="H43" s="317" t="n"/>
      <c r="I43" s="317" t="n"/>
      <c r="J43" s="317" t="n"/>
      <c r="K43" s="317" t="n"/>
      <c r="L43" s="317" t="n"/>
      <c r="M43" s="317" t="n"/>
      <c r="N43" s="317" t="n"/>
      <c r="O43" s="317" t="n"/>
      <c r="P43" s="317" t="n"/>
      <c r="Q43" s="317" t="n"/>
      <c r="R43" s="317" t="n"/>
      <c r="S43" s="317" t="n"/>
      <c r="T43" s="317" t="n"/>
      <c r="U43" s="317" t="n"/>
      <c r="V43" s="317" t="n"/>
      <c r="W43" s="317" t="n"/>
      <c r="X43" s="317" t="n"/>
      <c r="Y43" s="317" t="n"/>
      <c r="Z43" s="317" t="n"/>
      <c r="AA43" s="317" t="n"/>
      <c r="AB43" s="317" t="n"/>
      <c r="AC43" s="317" t="n"/>
      <c r="AD43" s="317" t="n"/>
      <c r="AE43" s="317" t="n"/>
      <c r="AF43" s="317" t="n"/>
      <c r="AG43" s="317" t="n"/>
      <c r="AH43" s="317" t="n"/>
      <c r="AI43" s="317" t="n"/>
      <c r="AJ43" s="317" t="n"/>
      <c r="AK43" s="317" t="n"/>
      <c r="AL43" s="317" t="n"/>
    </row>
    <row r="44" ht="21.75" customHeight="1" s="141">
      <c r="A44" s="317" t="n"/>
      <c r="B44" s="317" t="n"/>
      <c r="C44" s="317" t="n"/>
      <c r="D44" s="317" t="n"/>
      <c r="E44" s="317" t="n"/>
      <c r="F44" s="317" t="n"/>
      <c r="G44" s="317" t="n"/>
      <c r="H44" s="317" t="n"/>
      <c r="I44" s="317" t="n"/>
      <c r="J44" s="317" t="n"/>
      <c r="K44" s="317" t="n"/>
      <c r="L44" s="317" t="n"/>
      <c r="M44" s="317" t="n"/>
      <c r="N44" s="317" t="n"/>
      <c r="O44" s="317" t="n"/>
      <c r="P44" s="317" t="n"/>
      <c r="Q44" s="317" t="n"/>
      <c r="R44" s="317" t="n"/>
      <c r="S44" s="317" t="n"/>
      <c r="T44" s="317" t="n"/>
      <c r="U44" s="317" t="n"/>
      <c r="V44" s="317" t="n"/>
      <c r="W44" s="317" t="n"/>
      <c r="X44" s="317" t="n"/>
      <c r="Y44" s="317" t="n"/>
      <c r="Z44" s="317" t="n"/>
      <c r="AA44" s="317" t="n"/>
      <c r="AB44" s="317" t="n"/>
      <c r="AC44" s="317" t="n"/>
      <c r="AD44" s="317" t="n"/>
      <c r="AE44" s="317" t="n"/>
      <c r="AF44" s="317" t="n"/>
      <c r="AG44" s="317" t="n"/>
      <c r="AH44" s="317" t="n"/>
      <c r="AI44" s="317" t="n"/>
      <c r="AJ44" s="317" t="n"/>
      <c r="AK44" s="317" t="n"/>
      <c r="AL44" s="317" t="n"/>
    </row>
    <row r="45" ht="15" customHeight="1" s="141">
      <c r="A45" s="317" t="n"/>
      <c r="B45" s="317" t="n"/>
      <c r="C45" s="317" t="n"/>
      <c r="D45" s="317" t="n"/>
      <c r="E45" s="317" t="n"/>
      <c r="F45" s="317" t="n"/>
      <c r="G45" s="317" t="n"/>
      <c r="H45" s="317" t="n"/>
      <c r="I45" s="317" t="n"/>
      <c r="J45" s="317" t="n"/>
      <c r="K45" s="317" t="n"/>
      <c r="L45" s="317" t="n"/>
      <c r="M45" s="317" t="n"/>
      <c r="N45" s="317" t="n"/>
      <c r="O45" s="317" t="n"/>
      <c r="P45" s="317" t="n"/>
      <c r="Q45" s="317" t="n"/>
      <c r="R45" s="317" t="n"/>
      <c r="S45" s="317" t="n"/>
      <c r="T45" s="317" t="n"/>
      <c r="U45" s="317" t="n"/>
      <c r="V45" s="317" t="n"/>
      <c r="W45" s="317" t="n"/>
      <c r="X45" s="317" t="n"/>
      <c r="Y45" s="317" t="n"/>
      <c r="Z45" s="317" t="n"/>
      <c r="AA45" s="317" t="n"/>
      <c r="AB45" s="317" t="n"/>
      <c r="AC45" s="317" t="n"/>
      <c r="AD45" s="317" t="n"/>
      <c r="AE45" s="317" t="n"/>
      <c r="AF45" s="317" t="n"/>
      <c r="AG45" s="317" t="n"/>
      <c r="AH45" s="317" t="n"/>
      <c r="AI45" s="317" t="n"/>
      <c r="AJ45" s="317" t="n"/>
      <c r="AK45" s="317" t="n"/>
      <c r="AL45" s="317" t="n"/>
    </row>
    <row r="46" ht="15" customHeight="1" s="141">
      <c r="A46" s="317" t="n"/>
      <c r="B46" s="317" t="n"/>
      <c r="C46" s="317" t="n"/>
      <c r="D46" s="317" t="n"/>
      <c r="E46" s="317" t="n"/>
      <c r="F46" s="317" t="n"/>
      <c r="G46" s="317" t="n"/>
      <c r="H46" s="317" t="n"/>
      <c r="I46" s="317" t="n"/>
      <c r="J46" s="317" t="n"/>
      <c r="K46" s="317" t="n"/>
      <c r="L46" s="317" t="n"/>
      <c r="M46" s="317" t="n"/>
      <c r="N46" s="317" t="n"/>
      <c r="O46" s="317" t="n"/>
      <c r="P46" s="317" t="n"/>
      <c r="Q46" s="317" t="n"/>
      <c r="R46" s="317" t="n"/>
      <c r="S46" s="317" t="n"/>
      <c r="T46" s="317" t="n"/>
      <c r="U46" s="317" t="n"/>
      <c r="V46" s="317" t="n"/>
      <c r="W46" s="317" t="n"/>
      <c r="X46" s="317" t="n"/>
      <c r="Y46" s="317" t="n"/>
      <c r="Z46" s="317" t="n"/>
      <c r="AA46" s="317" t="n"/>
      <c r="AB46" s="317" t="n"/>
      <c r="AC46" s="317" t="n"/>
      <c r="AD46" s="317" t="n"/>
      <c r="AE46" s="317" t="n"/>
      <c r="AF46" s="317" t="n"/>
      <c r="AG46" s="317" t="n"/>
      <c r="AH46" s="317" t="n"/>
      <c r="AI46" s="317" t="n"/>
      <c r="AJ46" s="317" t="n"/>
      <c r="AK46" s="317" t="n"/>
      <c r="AL46" s="317" t="n"/>
    </row>
    <row r="47" ht="15" customHeight="1" s="141">
      <c r="A47" s="317" t="n"/>
      <c r="B47" s="317" t="n"/>
      <c r="C47" s="317" t="n"/>
      <c r="D47" s="317" t="n"/>
      <c r="E47" s="317" t="n"/>
      <c r="F47" s="317" t="n"/>
      <c r="G47" s="317" t="n"/>
      <c r="H47" s="317" t="n"/>
      <c r="I47" s="317" t="n"/>
      <c r="J47" s="317" t="n"/>
      <c r="K47" s="317" t="n"/>
      <c r="L47" s="317" t="n"/>
      <c r="M47" s="317" t="n"/>
      <c r="N47" s="317" t="n"/>
      <c r="O47" s="317" t="n"/>
      <c r="P47" s="317" t="n"/>
      <c r="Q47" s="317" t="n"/>
      <c r="R47" s="317" t="n"/>
      <c r="S47" s="317" t="n"/>
      <c r="T47" s="317" t="n"/>
      <c r="U47" s="317" t="n"/>
      <c r="V47" s="317" t="n"/>
      <c r="W47" s="317" t="n"/>
      <c r="X47" s="317" t="n"/>
      <c r="Y47" s="317" t="n"/>
      <c r="Z47" s="317" t="n"/>
      <c r="AA47" s="317" t="n"/>
      <c r="AB47" s="317" t="n"/>
      <c r="AC47" s="317" t="n"/>
      <c r="AD47" s="317" t="n"/>
      <c r="AE47" s="317" t="n"/>
      <c r="AF47" s="317" t="n"/>
      <c r="AG47" s="317" t="n"/>
      <c r="AH47" s="317" t="n"/>
      <c r="AI47" s="317" t="n"/>
      <c r="AJ47" s="317" t="n"/>
      <c r="AK47" s="317" t="n"/>
      <c r="AL47" s="317" t="n"/>
    </row>
    <row r="48" ht="15" customHeight="1" s="141">
      <c r="A48" s="317" t="n"/>
      <c r="B48" s="317" t="n"/>
      <c r="C48" s="317" t="n"/>
      <c r="D48" s="317" t="n"/>
      <c r="E48" s="317" t="n"/>
      <c r="F48" s="317" t="n"/>
      <c r="G48" s="317" t="n"/>
      <c r="H48" s="317" t="n"/>
      <c r="I48" s="317" t="n"/>
      <c r="J48" s="317" t="n"/>
      <c r="K48" s="317" t="n"/>
      <c r="L48" s="317" t="n"/>
      <c r="M48" s="317" t="n"/>
      <c r="N48" s="317" t="n"/>
      <c r="O48" s="317" t="n"/>
      <c r="P48" s="317" t="n"/>
      <c r="Q48" s="317" t="n"/>
      <c r="R48" s="317" t="n"/>
      <c r="S48" s="317" t="n"/>
      <c r="T48" s="317" t="n"/>
      <c r="U48" s="317" t="n"/>
      <c r="V48" s="317" t="n"/>
      <c r="W48" s="317" t="n"/>
      <c r="X48" s="317" t="n"/>
      <c r="Y48" s="317" t="n"/>
      <c r="Z48" s="317" t="n"/>
      <c r="AA48" s="317" t="n"/>
      <c r="AB48" s="317" t="n"/>
      <c r="AC48" s="317" t="n"/>
      <c r="AD48" s="317" t="n"/>
      <c r="AE48" s="317" t="n"/>
      <c r="AF48" s="317" t="n"/>
      <c r="AG48" s="317" t="n"/>
      <c r="AH48" s="317" t="n"/>
      <c r="AI48" s="317" t="n"/>
      <c r="AJ48" s="317" t="n"/>
      <c r="AK48" s="317" t="n"/>
      <c r="AL48" s="317" t="n"/>
    </row>
    <row r="49" ht="15" customHeight="1" s="141">
      <c r="A49" s="317" t="n"/>
      <c r="B49" s="317" t="n"/>
      <c r="C49" s="317" t="n"/>
      <c r="D49" s="317" t="n"/>
      <c r="E49" s="317" t="n"/>
      <c r="F49" s="317" t="n"/>
      <c r="G49" s="317" t="n"/>
      <c r="H49" s="317" t="n"/>
      <c r="I49" s="317" t="n"/>
      <c r="J49" s="317" t="n"/>
      <c r="K49" s="317" t="n"/>
      <c r="L49" s="317" t="n"/>
      <c r="M49" s="317" t="n"/>
      <c r="N49" s="317" t="n"/>
      <c r="O49" s="317" t="n"/>
      <c r="P49" s="317" t="n"/>
      <c r="Q49" s="317" t="n"/>
      <c r="R49" s="317" t="n"/>
      <c r="S49" s="317" t="n"/>
      <c r="T49" s="317" t="n"/>
      <c r="U49" s="317" t="n"/>
      <c r="V49" s="317" t="n"/>
      <c r="W49" s="317" t="n"/>
      <c r="X49" s="317" t="n"/>
      <c r="Y49" s="317" t="n"/>
      <c r="Z49" s="317" t="n"/>
      <c r="AA49" s="317" t="n"/>
      <c r="AB49" s="317" t="n"/>
      <c r="AC49" s="317" t="n"/>
      <c r="AD49" s="317" t="n"/>
      <c r="AE49" s="317" t="n"/>
      <c r="AF49" s="317" t="n"/>
      <c r="AG49" s="317" t="n"/>
      <c r="AH49" s="317" t="n"/>
      <c r="AI49" s="317" t="n"/>
      <c r="AJ49" s="317" t="n"/>
      <c r="AK49" s="317" t="n"/>
      <c r="AL49" s="317" t="n"/>
    </row>
    <row r="50" ht="21.75" customHeight="1" s="141">
      <c r="A50" s="317" t="n"/>
      <c r="B50" s="317" t="n"/>
      <c r="C50" s="317" t="n"/>
      <c r="D50" s="317" t="n"/>
      <c r="E50" s="317" t="n"/>
      <c r="F50" s="317" t="n"/>
      <c r="G50" s="317" t="n"/>
      <c r="H50" s="317" t="n"/>
      <c r="I50" s="317" t="n"/>
      <c r="J50" s="317" t="n"/>
      <c r="K50" s="317" t="n"/>
      <c r="L50" s="317" t="n"/>
      <c r="M50" s="317" t="n"/>
      <c r="N50" s="317" t="n"/>
      <c r="O50" s="317" t="n"/>
      <c r="P50" s="317" t="n"/>
      <c r="Q50" s="317" t="n"/>
      <c r="R50" s="317" t="n"/>
      <c r="S50" s="317" t="n"/>
      <c r="T50" s="317" t="n"/>
      <c r="U50" s="317" t="n"/>
      <c r="V50" s="317" t="n"/>
      <c r="W50" s="317" t="n"/>
      <c r="X50" s="317" t="n"/>
      <c r="Y50" s="317" t="n"/>
      <c r="Z50" s="317" t="n"/>
      <c r="AA50" s="317" t="n"/>
      <c r="AB50" s="317" t="n"/>
      <c r="AC50" s="317" t="n"/>
      <c r="AD50" s="317" t="n"/>
      <c r="AE50" s="317" t="n"/>
      <c r="AF50" s="317" t="n"/>
      <c r="AG50" s="317" t="n"/>
      <c r="AH50" s="317" t="n"/>
      <c r="AI50" s="317" t="n"/>
      <c r="AJ50" s="317" t="n"/>
      <c r="AK50" s="317" t="n"/>
      <c r="AL50" s="317" t="n"/>
    </row>
    <row r="51" ht="15.75" customHeight="1" s="141">
      <c r="A51" s="317" t="n"/>
      <c r="B51" s="317" t="n"/>
      <c r="C51" s="317" t="n"/>
      <c r="D51" s="317" t="n"/>
      <c r="E51" s="317" t="n"/>
      <c r="F51" s="317" t="n"/>
      <c r="G51" s="317" t="n"/>
      <c r="H51" s="317" t="n"/>
      <c r="I51" s="317" t="n"/>
      <c r="J51" s="317" t="n"/>
      <c r="K51" s="317" t="n"/>
      <c r="L51" s="317" t="n"/>
      <c r="M51" s="317" t="n"/>
      <c r="N51" s="317" t="n"/>
      <c r="O51" s="317" t="n"/>
      <c r="P51" s="317" t="n"/>
      <c r="Q51" s="317" t="n"/>
      <c r="R51" s="317" t="n"/>
      <c r="S51" s="317" t="n"/>
      <c r="T51" s="317" t="n"/>
      <c r="U51" s="317" t="n"/>
      <c r="V51" s="317" t="n"/>
      <c r="W51" s="317" t="n"/>
      <c r="X51" s="317" t="n"/>
      <c r="Y51" s="317" t="n"/>
      <c r="Z51" s="317" t="n"/>
      <c r="AA51" s="317" t="n"/>
      <c r="AB51" s="317" t="n"/>
      <c r="AC51" s="317" t="n"/>
      <c r="AD51" s="317" t="n"/>
      <c r="AE51" s="317" t="n"/>
      <c r="AF51" s="317" t="n"/>
      <c r="AG51" s="317" t="n"/>
      <c r="AH51" s="317" t="n"/>
      <c r="AI51" s="317" t="n"/>
      <c r="AJ51" s="317" t="n"/>
      <c r="AK51" s="317" t="n"/>
      <c r="AL51" s="317" t="n"/>
    </row>
    <row r="52" ht="15.75" customHeight="1" s="141">
      <c r="A52" s="317" t="n"/>
      <c r="B52" s="317" t="n"/>
      <c r="C52" s="317" t="n"/>
      <c r="D52" s="317" t="n"/>
      <c r="E52" s="317" t="n"/>
      <c r="F52" s="317" t="n"/>
      <c r="G52" s="317" t="n"/>
      <c r="H52" s="317" t="n"/>
      <c r="I52" s="317" t="n"/>
      <c r="J52" s="317" t="n"/>
      <c r="K52" s="317" t="n"/>
      <c r="L52" s="317" t="n"/>
      <c r="M52" s="317" t="n"/>
      <c r="N52" s="317" t="n"/>
      <c r="O52" s="317" t="n"/>
      <c r="P52" s="317" t="n"/>
      <c r="Q52" s="317" t="n"/>
      <c r="R52" s="317" t="n"/>
      <c r="S52" s="317" t="n"/>
      <c r="T52" s="317" t="n"/>
      <c r="U52" s="317" t="n"/>
      <c r="V52" s="317" t="n"/>
      <c r="W52" s="317" t="n"/>
      <c r="X52" s="317" t="n"/>
      <c r="Y52" s="317" t="n"/>
      <c r="Z52" s="317" t="n"/>
      <c r="AA52" s="317" t="n"/>
      <c r="AB52" s="317" t="n"/>
      <c r="AC52" s="317" t="n"/>
      <c r="AD52" s="317" t="n"/>
      <c r="AE52" s="317" t="n"/>
      <c r="AF52" s="317" t="n"/>
      <c r="AG52" s="317" t="n"/>
      <c r="AH52" s="317" t="n"/>
      <c r="AI52" s="317" t="n"/>
      <c r="AJ52" s="317" t="n"/>
      <c r="AK52" s="317" t="n"/>
      <c r="AL52" s="317" t="n"/>
    </row>
    <row r="53" ht="15.75" customHeight="1" s="141">
      <c r="A53" s="317" t="n"/>
      <c r="B53" s="317" t="n"/>
      <c r="C53" s="317" t="n"/>
      <c r="D53" s="317" t="n"/>
      <c r="E53" s="317" t="n"/>
      <c r="F53" s="317" t="n"/>
      <c r="G53" s="317" t="n"/>
      <c r="H53" s="317" t="n"/>
      <c r="I53" s="317" t="n"/>
      <c r="J53" s="317" t="n"/>
      <c r="K53" s="317" t="n"/>
      <c r="L53" s="317" t="n"/>
      <c r="M53" s="317" t="n"/>
      <c r="N53" s="317" t="n"/>
      <c r="O53" s="317" t="n"/>
      <c r="P53" s="317" t="n"/>
      <c r="Q53" s="317" t="n"/>
      <c r="R53" s="317" t="n"/>
      <c r="S53" s="317" t="n"/>
      <c r="T53" s="317" t="n"/>
      <c r="U53" s="317" t="n"/>
      <c r="V53" s="317" t="n"/>
      <c r="W53" s="317" t="n"/>
      <c r="X53" s="317" t="n"/>
      <c r="Y53" s="317" t="n"/>
      <c r="Z53" s="317" t="n"/>
      <c r="AA53" s="317" t="n"/>
      <c r="AB53" s="317" t="n"/>
      <c r="AC53" s="317" t="n"/>
      <c r="AD53" s="317" t="n"/>
      <c r="AE53" s="317" t="n"/>
      <c r="AF53" s="317" t="n"/>
      <c r="AG53" s="317" t="n"/>
      <c r="AH53" s="317" t="n"/>
      <c r="AI53" s="317" t="n"/>
      <c r="AJ53" s="317" t="n"/>
      <c r="AK53" s="317" t="n"/>
      <c r="AL53" s="317" t="n"/>
    </row>
    <row r="54" ht="15.75" customHeight="1" s="141">
      <c r="A54" s="317" t="n"/>
      <c r="B54" s="317" t="n"/>
      <c r="C54" s="317" t="n"/>
      <c r="D54" s="317" t="n"/>
      <c r="E54" s="317" t="n"/>
      <c r="F54" s="317" t="n"/>
      <c r="G54" s="317" t="n"/>
      <c r="H54" s="317" t="n"/>
      <c r="I54" s="317" t="n"/>
      <c r="J54" s="317" t="n"/>
      <c r="K54" s="317" t="n"/>
      <c r="L54" s="317" t="n"/>
      <c r="M54" s="317" t="n"/>
      <c r="N54" s="317" t="n"/>
      <c r="O54" s="317" t="n"/>
      <c r="P54" s="317" t="n"/>
      <c r="Q54" s="317" t="n"/>
      <c r="R54" s="317" t="n"/>
      <c r="S54" s="317" t="n"/>
      <c r="T54" s="317" t="n"/>
      <c r="U54" s="317" t="n"/>
      <c r="V54" s="317" t="n"/>
      <c r="W54" s="317" t="n"/>
      <c r="X54" s="317" t="n"/>
      <c r="Y54" s="317" t="n"/>
      <c r="Z54" s="317" t="n"/>
      <c r="AA54" s="317" t="n"/>
      <c r="AB54" s="317" t="n"/>
      <c r="AC54" s="317" t="n"/>
      <c r="AD54" s="317" t="n"/>
      <c r="AE54" s="317" t="n"/>
      <c r="AF54" s="317" t="n"/>
      <c r="AG54" s="317" t="n"/>
      <c r="AH54" s="317" t="n"/>
      <c r="AI54" s="317" t="n"/>
      <c r="AJ54" s="317" t="n"/>
      <c r="AK54" s="317" t="n"/>
      <c r="AL54" s="317" t="n"/>
    </row>
    <row r="55" ht="15.75" customHeight="1" s="141">
      <c r="A55" s="317" t="n"/>
      <c r="B55" s="317" t="n"/>
      <c r="C55" s="317" t="n"/>
      <c r="D55" s="317" t="n"/>
      <c r="E55" s="317" t="n"/>
      <c r="F55" s="317" t="n"/>
      <c r="G55" s="317" t="n"/>
      <c r="H55" s="317" t="n"/>
      <c r="I55" s="317" t="n"/>
      <c r="J55" s="317" t="n"/>
      <c r="K55" s="317" t="n"/>
      <c r="L55" s="317" t="n"/>
      <c r="M55" s="317" t="n"/>
      <c r="N55" s="317" t="n"/>
      <c r="O55" s="317" t="n"/>
      <c r="P55" s="317" t="n"/>
      <c r="Q55" s="317" t="n"/>
      <c r="R55" s="317" t="n"/>
      <c r="S55" s="317" t="n"/>
      <c r="T55" s="317" t="n"/>
      <c r="U55" s="317" t="n"/>
      <c r="V55" s="317" t="n"/>
      <c r="W55" s="317" t="n"/>
      <c r="X55" s="317" t="n"/>
      <c r="Y55" s="317" t="n"/>
      <c r="Z55" s="317" t="n"/>
      <c r="AA55" s="317" t="n"/>
      <c r="AB55" s="317" t="n"/>
      <c r="AC55" s="317" t="n"/>
      <c r="AD55" s="317" t="n"/>
      <c r="AE55" s="317" t="n"/>
      <c r="AF55" s="317" t="n"/>
      <c r="AG55" s="317" t="n"/>
      <c r="AH55" s="317" t="n"/>
      <c r="AI55" s="317" t="n"/>
      <c r="AJ55" s="317" t="n"/>
      <c r="AK55" s="317" t="n"/>
      <c r="AL55" s="317" t="n"/>
    </row>
    <row r="56" ht="15.75" customHeight="1" s="141">
      <c r="A56" s="317" t="n"/>
      <c r="B56" s="317" t="n"/>
      <c r="C56" s="317" t="n"/>
      <c r="D56" s="317" t="n"/>
      <c r="E56" s="317" t="n"/>
      <c r="F56" s="317" t="n"/>
      <c r="G56" s="317" t="n"/>
      <c r="H56" s="317" t="n"/>
      <c r="I56" s="317" t="n"/>
      <c r="J56" s="317" t="n"/>
      <c r="K56" s="317" t="n"/>
      <c r="L56" s="317" t="n"/>
      <c r="M56" s="317" t="n"/>
      <c r="N56" s="317" t="n"/>
      <c r="O56" s="317" t="n"/>
      <c r="P56" s="317" t="n"/>
      <c r="Q56" s="317" t="n"/>
      <c r="R56" s="317" t="n"/>
      <c r="S56" s="317" t="n"/>
      <c r="T56" s="317" t="n"/>
      <c r="U56" s="317" t="n"/>
      <c r="V56" s="317" t="n"/>
      <c r="W56" s="317" t="n"/>
      <c r="X56" s="317" t="n"/>
      <c r="Y56" s="317" t="n"/>
      <c r="Z56" s="317" t="n"/>
      <c r="AA56" s="317" t="n"/>
      <c r="AB56" s="317" t="n"/>
      <c r="AC56" s="317" t="n"/>
      <c r="AD56" s="317" t="n"/>
      <c r="AE56" s="317" t="n"/>
      <c r="AF56" s="317" t="n"/>
      <c r="AG56" s="317" t="n"/>
      <c r="AH56" s="317" t="n"/>
      <c r="AI56" s="317" t="n"/>
      <c r="AJ56" s="317" t="n"/>
      <c r="AK56" s="317" t="n"/>
      <c r="AL56" s="317" t="n"/>
    </row>
    <row r="57" ht="15.75" customHeight="1" s="141">
      <c r="A57" s="317" t="n"/>
      <c r="B57" s="317" t="n"/>
      <c r="C57" s="317" t="n"/>
      <c r="D57" s="317" t="n"/>
      <c r="E57" s="317" t="n"/>
      <c r="F57" s="317" t="n"/>
      <c r="G57" s="317" t="n"/>
      <c r="H57" s="317" t="n"/>
      <c r="I57" s="317" t="n"/>
      <c r="J57" s="317" t="n"/>
      <c r="K57" s="317" t="n"/>
      <c r="L57" s="317" t="n"/>
      <c r="M57" s="317" t="n"/>
      <c r="N57" s="317" t="n"/>
      <c r="O57" s="317" t="n"/>
      <c r="P57" s="317" t="n"/>
      <c r="Q57" s="317" t="n"/>
      <c r="R57" s="317" t="n"/>
      <c r="S57" s="317" t="n"/>
      <c r="T57" s="317" t="n"/>
      <c r="U57" s="317" t="n"/>
      <c r="V57" s="317" t="n"/>
      <c r="W57" s="317" t="n"/>
      <c r="X57" s="317" t="n"/>
      <c r="Y57" s="317" t="n"/>
      <c r="Z57" s="317" t="n"/>
      <c r="AA57" s="317" t="n"/>
      <c r="AB57" s="317" t="n"/>
      <c r="AC57" s="317" t="n"/>
      <c r="AD57" s="317" t="n"/>
      <c r="AE57" s="317" t="n"/>
      <c r="AF57" s="317" t="n"/>
      <c r="AG57" s="317" t="n"/>
      <c r="AH57" s="317" t="n"/>
      <c r="AI57" s="317" t="n"/>
      <c r="AJ57" s="317" t="n"/>
      <c r="AK57" s="317" t="n"/>
      <c r="AL57" s="317" t="n"/>
    </row>
    <row r="58" ht="15.75" customHeight="1" s="141">
      <c r="A58" s="317" t="n"/>
      <c r="B58" s="317" t="n"/>
      <c r="C58" s="317" t="n"/>
      <c r="D58" s="317" t="n"/>
      <c r="E58" s="317" t="n"/>
      <c r="F58" s="317" t="n"/>
      <c r="G58" s="317" t="n"/>
      <c r="H58" s="317" t="n"/>
      <c r="I58" s="317" t="n"/>
      <c r="J58" s="317" t="n"/>
      <c r="K58" s="317" t="n"/>
      <c r="L58" s="317" t="n"/>
      <c r="M58" s="317" t="n"/>
      <c r="N58" s="317" t="n"/>
      <c r="O58" s="317" t="n"/>
      <c r="P58" s="317" t="n"/>
      <c r="Q58" s="317" t="n"/>
      <c r="R58" s="317" t="n"/>
      <c r="S58" s="317" t="n"/>
      <c r="T58" s="317" t="n"/>
      <c r="U58" s="317" t="n"/>
      <c r="V58" s="317" t="n"/>
      <c r="W58" s="317" t="n"/>
      <c r="X58" s="317" t="n"/>
      <c r="Y58" s="317" t="n"/>
      <c r="Z58" s="317" t="n"/>
      <c r="AA58" s="317" t="n"/>
      <c r="AB58" s="317" t="n"/>
      <c r="AC58" s="317" t="n"/>
      <c r="AD58" s="317" t="n"/>
      <c r="AE58" s="317" t="n"/>
      <c r="AF58" s="317" t="n"/>
      <c r="AG58" s="317" t="n"/>
      <c r="AH58" s="317" t="n"/>
      <c r="AI58" s="317" t="n"/>
      <c r="AJ58" s="317" t="n"/>
      <c r="AK58" s="317" t="n"/>
      <c r="AL58" s="317" t="n"/>
    </row>
    <row r="59" ht="15.75" customHeight="1" s="141">
      <c r="A59" s="317" t="n"/>
      <c r="B59" s="317" t="n"/>
      <c r="C59" s="317" t="n"/>
      <c r="D59" s="317" t="n"/>
      <c r="E59" s="317" t="n"/>
      <c r="F59" s="317" t="n"/>
      <c r="G59" s="317" t="n"/>
      <c r="H59" s="317" t="n"/>
      <c r="I59" s="317" t="n"/>
      <c r="J59" s="317" t="n"/>
      <c r="K59" s="317" t="n"/>
      <c r="L59" s="317" t="n"/>
      <c r="M59" s="317" t="n"/>
      <c r="N59" s="317" t="n"/>
      <c r="O59" s="317" t="n"/>
      <c r="P59" s="317" t="n"/>
      <c r="Q59" s="317" t="n"/>
      <c r="R59" s="317" t="n"/>
      <c r="S59" s="317" t="n"/>
      <c r="T59" s="317" t="n"/>
      <c r="U59" s="317" t="n"/>
      <c r="V59" s="317" t="n"/>
      <c r="W59" s="317" t="n"/>
      <c r="X59" s="317" t="n"/>
      <c r="Y59" s="317" t="n"/>
      <c r="Z59" s="317" t="n"/>
      <c r="AA59" s="317" t="n"/>
      <c r="AB59" s="317" t="n"/>
      <c r="AC59" s="317" t="n"/>
      <c r="AD59" s="317" t="n"/>
      <c r="AE59" s="317" t="n"/>
      <c r="AF59" s="317" t="n"/>
      <c r="AG59" s="317" t="n"/>
      <c r="AH59" s="317" t="n"/>
      <c r="AI59" s="317" t="n"/>
      <c r="AJ59" s="317" t="n"/>
      <c r="AK59" s="317" t="n"/>
      <c r="AL59" s="317" t="n"/>
    </row>
    <row r="60" ht="15.75" customHeight="1" s="141">
      <c r="A60" s="317" t="n"/>
      <c r="B60" s="317" t="n"/>
      <c r="C60" s="317" t="n"/>
      <c r="D60" s="317" t="n"/>
      <c r="E60" s="317" t="n"/>
      <c r="F60" s="317" t="n"/>
      <c r="G60" s="317" t="n"/>
      <c r="H60" s="317" t="n"/>
      <c r="I60" s="317" t="n"/>
      <c r="J60" s="317" t="n"/>
      <c r="K60" s="317" t="n"/>
      <c r="L60" s="317" t="n"/>
      <c r="M60" s="317" t="n"/>
      <c r="N60" s="317" t="n"/>
      <c r="O60" s="317" t="n"/>
      <c r="P60" s="317" t="n"/>
      <c r="Q60" s="317" t="n"/>
      <c r="R60" s="317" t="n"/>
      <c r="S60" s="317" t="n"/>
      <c r="T60" s="317" t="n"/>
      <c r="U60" s="317" t="n"/>
      <c r="V60" s="317" t="n"/>
      <c r="W60" s="317" t="n"/>
      <c r="X60" s="317" t="n"/>
      <c r="Y60" s="317" t="n"/>
      <c r="Z60" s="317" t="n"/>
      <c r="AA60" s="317" t="n"/>
      <c r="AB60" s="317" t="n"/>
      <c r="AC60" s="317" t="n"/>
      <c r="AD60" s="317" t="n"/>
      <c r="AE60" s="317" t="n"/>
      <c r="AF60" s="317" t="n"/>
      <c r="AG60" s="317" t="n"/>
      <c r="AH60" s="317" t="n"/>
      <c r="AI60" s="317" t="n"/>
      <c r="AJ60" s="317" t="n"/>
      <c r="AK60" s="317" t="n"/>
      <c r="AL60" s="317" t="n"/>
    </row>
    <row r="61" ht="15.75" customHeight="1" s="141">
      <c r="A61" s="317" t="n"/>
      <c r="B61" s="317" t="n"/>
      <c r="C61" s="317" t="n"/>
      <c r="D61" s="317" t="n"/>
      <c r="E61" s="317" t="n"/>
      <c r="F61" s="317" t="n"/>
      <c r="G61" s="317" t="n"/>
      <c r="H61" s="317" t="n"/>
      <c r="I61" s="317" t="n"/>
      <c r="J61" s="317" t="n"/>
      <c r="K61" s="317" t="n"/>
      <c r="L61" s="317" t="n"/>
      <c r="M61" s="317" t="n"/>
      <c r="N61" s="317" t="n"/>
      <c r="O61" s="317" t="n"/>
      <c r="P61" s="317" t="n"/>
      <c r="Q61" s="317" t="n"/>
      <c r="R61" s="317" t="n"/>
      <c r="S61" s="317" t="n"/>
      <c r="T61" s="317" t="n"/>
      <c r="U61" s="317" t="n"/>
      <c r="V61" s="317" t="n"/>
      <c r="W61" s="317" t="n"/>
      <c r="X61" s="317" t="n"/>
      <c r="Y61" s="317" t="n"/>
      <c r="Z61" s="317" t="n"/>
      <c r="AA61" s="317" t="n"/>
      <c r="AB61" s="317" t="n"/>
      <c r="AC61" s="317" t="n"/>
      <c r="AD61" s="317" t="n"/>
      <c r="AE61" s="317" t="n"/>
      <c r="AF61" s="317" t="n"/>
      <c r="AG61" s="317" t="n"/>
      <c r="AH61" s="317" t="n"/>
      <c r="AI61" s="317" t="n"/>
      <c r="AJ61" s="317" t="n"/>
      <c r="AK61" s="317" t="n"/>
      <c r="AL61" s="317" t="n"/>
    </row>
    <row r="62" ht="15.75" customHeight="1" s="141">
      <c r="A62" s="317" t="n"/>
      <c r="B62" s="317" t="n"/>
      <c r="C62" s="317" t="n"/>
      <c r="D62" s="317" t="n"/>
      <c r="E62" s="317" t="n"/>
      <c r="F62" s="317" t="n"/>
      <c r="G62" s="317" t="n"/>
      <c r="H62" s="317" t="n"/>
      <c r="I62" s="317" t="n"/>
      <c r="J62" s="317" t="n"/>
      <c r="K62" s="317" t="n"/>
      <c r="L62" s="317" t="n"/>
      <c r="M62" s="317" t="n"/>
      <c r="N62" s="317" t="n"/>
      <c r="O62" s="317" t="n"/>
      <c r="P62" s="317" t="n"/>
      <c r="Q62" s="317" t="n"/>
      <c r="R62" s="317" t="n"/>
      <c r="S62" s="317" t="n"/>
      <c r="T62" s="317" t="n"/>
      <c r="U62" s="317" t="n"/>
      <c r="V62" s="317" t="n"/>
      <c r="W62" s="317" t="n"/>
      <c r="X62" s="317" t="n"/>
      <c r="Y62" s="317" t="n"/>
      <c r="Z62" s="317" t="n"/>
      <c r="AA62" s="317" t="n"/>
      <c r="AB62" s="317" t="n"/>
      <c r="AC62" s="317" t="n"/>
      <c r="AD62" s="317" t="n"/>
      <c r="AE62" s="317" t="n"/>
      <c r="AF62" s="317" t="n"/>
      <c r="AG62" s="317" t="n"/>
      <c r="AH62" s="317" t="n"/>
      <c r="AI62" s="317" t="n"/>
      <c r="AJ62" s="317" t="n"/>
      <c r="AK62" s="317" t="n"/>
      <c r="AL62" s="317" t="n"/>
    </row>
    <row r="63" ht="15.75" customHeight="1" s="141">
      <c r="A63" s="317" t="n"/>
      <c r="B63" s="317" t="n"/>
      <c r="C63" s="317" t="n"/>
      <c r="D63" s="317" t="n"/>
      <c r="E63" s="317" t="n"/>
      <c r="F63" s="317" t="n"/>
      <c r="G63" s="317" t="n"/>
      <c r="H63" s="317" t="n"/>
      <c r="I63" s="317" t="n"/>
      <c r="J63" s="317" t="n"/>
      <c r="K63" s="317" t="n"/>
      <c r="L63" s="317" t="n"/>
      <c r="M63" s="317" t="n"/>
      <c r="N63" s="317" t="n"/>
      <c r="O63" s="317" t="n"/>
      <c r="P63" s="317" t="n"/>
      <c r="Q63" s="317" t="n"/>
      <c r="R63" s="317" t="n"/>
      <c r="S63" s="317" t="n"/>
      <c r="T63" s="317" t="n"/>
      <c r="U63" s="317" t="n"/>
      <c r="V63" s="317" t="n"/>
      <c r="W63" s="317" t="n"/>
      <c r="X63" s="317" t="n"/>
      <c r="Y63" s="317" t="n"/>
      <c r="Z63" s="317" t="n"/>
      <c r="AA63" s="317" t="n"/>
      <c r="AB63" s="317" t="n"/>
      <c r="AC63" s="317" t="n"/>
      <c r="AD63" s="317" t="n"/>
      <c r="AE63" s="317" t="n"/>
      <c r="AF63" s="317" t="n"/>
      <c r="AG63" s="317" t="n"/>
      <c r="AH63" s="317" t="n"/>
      <c r="AI63" s="317" t="n"/>
      <c r="AJ63" s="317" t="n"/>
      <c r="AK63" s="317" t="n"/>
      <c r="AL63" s="317" t="n"/>
    </row>
    <row r="64" ht="15.75" customHeight="1" s="141">
      <c r="A64" s="317" t="n"/>
      <c r="B64" s="317" t="n"/>
      <c r="C64" s="317" t="n"/>
      <c r="D64" s="317" t="n"/>
      <c r="E64" s="317" t="n"/>
      <c r="F64" s="317" t="n"/>
      <c r="G64" s="317" t="n"/>
      <c r="H64" s="317" t="n"/>
      <c r="I64" s="317" t="n"/>
      <c r="J64" s="317" t="n"/>
      <c r="K64" s="317" t="n"/>
      <c r="L64" s="317" t="n"/>
      <c r="M64" s="317" t="n"/>
      <c r="N64" s="317" t="n"/>
      <c r="O64" s="317" t="n"/>
      <c r="P64" s="317" t="n"/>
      <c r="Q64" s="317" t="n"/>
      <c r="R64" s="317" t="n"/>
      <c r="S64" s="317" t="n"/>
      <c r="T64" s="317" t="n"/>
      <c r="U64" s="317" t="n"/>
      <c r="V64" s="317" t="n"/>
      <c r="W64" s="317" t="n"/>
      <c r="X64" s="317" t="n"/>
      <c r="Y64" s="317" t="n"/>
      <c r="Z64" s="317" t="n"/>
      <c r="AA64" s="317" t="n"/>
      <c r="AB64" s="317" t="n"/>
      <c r="AC64" s="317" t="n"/>
      <c r="AD64" s="317" t="n"/>
      <c r="AE64" s="317" t="n"/>
      <c r="AF64" s="317" t="n"/>
      <c r="AG64" s="317" t="n"/>
      <c r="AH64" s="317" t="n"/>
      <c r="AI64" s="317" t="n"/>
      <c r="AJ64" s="317" t="n"/>
      <c r="AK64" s="317" t="n"/>
      <c r="AL64" s="317" t="n"/>
    </row>
    <row r="65" ht="15.75" customHeight="1" s="141">
      <c r="A65" s="317" t="n"/>
      <c r="B65" s="317" t="n"/>
      <c r="C65" s="317" t="n"/>
      <c r="D65" s="317" t="n"/>
      <c r="E65" s="317" t="n"/>
      <c r="F65" s="317" t="n"/>
      <c r="G65" s="317" t="n"/>
      <c r="H65" s="317" t="n"/>
      <c r="I65" s="317" t="n"/>
      <c r="J65" s="317" t="n"/>
      <c r="K65" s="317" t="n"/>
      <c r="L65" s="317" t="n"/>
      <c r="M65" s="317" t="n"/>
      <c r="N65" s="317" t="n"/>
      <c r="O65" s="317" t="n"/>
      <c r="P65" s="317" t="n"/>
      <c r="Q65" s="317" t="n"/>
      <c r="R65" s="317" t="n"/>
      <c r="S65" s="317" t="n"/>
      <c r="T65" s="317" t="n"/>
      <c r="U65" s="317" t="n"/>
      <c r="V65" s="317" t="n"/>
      <c r="W65" s="317" t="n"/>
      <c r="X65" s="317" t="n"/>
      <c r="Y65" s="317" t="n"/>
      <c r="Z65" s="317" t="n"/>
      <c r="AA65" s="317" t="n"/>
      <c r="AB65" s="317" t="n"/>
      <c r="AC65" s="317" t="n"/>
      <c r="AD65" s="317" t="n"/>
      <c r="AE65" s="317" t="n"/>
      <c r="AF65" s="317" t="n"/>
      <c r="AG65" s="317" t="n"/>
      <c r="AH65" s="317" t="n"/>
      <c r="AI65" s="317" t="n"/>
      <c r="AJ65" s="317" t="n"/>
      <c r="AK65" s="317" t="n"/>
      <c r="AL65" s="317" t="n"/>
    </row>
    <row r="66" ht="15.75" customHeight="1" s="141">
      <c r="A66" s="317" t="n"/>
      <c r="B66" s="317" t="n"/>
      <c r="C66" s="317" t="n"/>
      <c r="D66" s="317" t="n"/>
      <c r="E66" s="317" t="n"/>
      <c r="F66" s="317" t="n"/>
      <c r="G66" s="317" t="n"/>
      <c r="H66" s="317" t="n"/>
      <c r="I66" s="317" t="n"/>
      <c r="J66" s="317" t="n"/>
      <c r="K66" s="317" t="n"/>
      <c r="L66" s="317" t="n"/>
      <c r="M66" s="317" t="n"/>
      <c r="N66" s="317" t="n"/>
      <c r="O66" s="317" t="n"/>
      <c r="P66" s="317" t="n"/>
      <c r="Q66" s="317" t="n"/>
      <c r="R66" s="317" t="n"/>
      <c r="S66" s="317" t="n"/>
      <c r="T66" s="317" t="n"/>
      <c r="U66" s="317" t="n"/>
      <c r="V66" s="317" t="n"/>
      <c r="W66" s="317" t="n"/>
      <c r="X66" s="317" t="n"/>
      <c r="Y66" s="317" t="n"/>
      <c r="Z66" s="317" t="n"/>
      <c r="AA66" s="317" t="n"/>
      <c r="AB66" s="317" t="n"/>
      <c r="AC66" s="317" t="n"/>
      <c r="AD66" s="317" t="n"/>
      <c r="AE66" s="317" t="n"/>
      <c r="AF66" s="317" t="n"/>
      <c r="AG66" s="317" t="n"/>
      <c r="AH66" s="317" t="n"/>
      <c r="AI66" s="317" t="n"/>
      <c r="AJ66" s="317" t="n"/>
      <c r="AK66" s="317" t="n"/>
      <c r="AL66" s="317" t="n"/>
    </row>
    <row r="67" ht="15.75" customHeight="1" s="141">
      <c r="A67" s="317" t="n"/>
      <c r="B67" s="317" t="n"/>
      <c r="C67" s="317" t="n"/>
      <c r="D67" s="317" t="n"/>
      <c r="E67" s="317" t="n"/>
      <c r="F67" s="317" t="n"/>
      <c r="G67" s="317" t="n"/>
      <c r="H67" s="317" t="n"/>
      <c r="I67" s="317" t="n"/>
      <c r="J67" s="317" t="n"/>
      <c r="K67" s="317" t="n"/>
      <c r="L67" s="317" t="n"/>
      <c r="M67" s="317" t="n"/>
      <c r="N67" s="317" t="n"/>
      <c r="O67" s="317" t="n"/>
      <c r="P67" s="317" t="n"/>
      <c r="Q67" s="317" t="n"/>
      <c r="R67" s="317" t="n"/>
      <c r="S67" s="317" t="n"/>
      <c r="T67" s="317" t="n"/>
      <c r="U67" s="317" t="n"/>
      <c r="V67" s="317" t="n"/>
      <c r="W67" s="317" t="n"/>
      <c r="X67" s="317" t="n"/>
      <c r="Y67" s="317" t="n"/>
      <c r="Z67" s="317" t="n"/>
      <c r="AA67" s="317" t="n"/>
      <c r="AB67" s="317" t="n"/>
      <c r="AC67" s="317" t="n"/>
      <c r="AD67" s="317" t="n"/>
      <c r="AE67" s="317" t="n"/>
      <c r="AF67" s="317" t="n"/>
      <c r="AG67" s="317" t="n"/>
      <c r="AH67" s="317" t="n"/>
      <c r="AI67" s="317" t="n"/>
      <c r="AJ67" s="317" t="n"/>
      <c r="AK67" s="317" t="n"/>
      <c r="AL67" s="317" t="n"/>
    </row>
    <row r="68" ht="15.75" customHeight="1" s="141">
      <c r="A68" s="317" t="n"/>
      <c r="B68" s="317" t="n"/>
      <c r="C68" s="317" t="n"/>
      <c r="D68" s="317" t="n"/>
      <c r="E68" s="317" t="n"/>
      <c r="F68" s="317" t="n"/>
      <c r="G68" s="317" t="n"/>
      <c r="H68" s="317" t="n"/>
      <c r="I68" s="317" t="n"/>
      <c r="J68" s="317" t="n"/>
      <c r="K68" s="317" t="n"/>
      <c r="L68" s="317" t="n"/>
      <c r="M68" s="317" t="n"/>
      <c r="N68" s="317" t="n"/>
      <c r="O68" s="317" t="n"/>
      <c r="P68" s="317" t="n"/>
      <c r="Q68" s="317" t="n"/>
      <c r="R68" s="317" t="n"/>
      <c r="S68" s="317" t="n"/>
      <c r="T68" s="317" t="n"/>
      <c r="U68" s="317" t="n"/>
      <c r="V68" s="317" t="n"/>
      <c r="W68" s="317" t="n"/>
      <c r="X68" s="317" t="n"/>
      <c r="Y68" s="317" t="n"/>
      <c r="Z68" s="317" t="n"/>
      <c r="AA68" s="317" t="n"/>
      <c r="AB68" s="317" t="n"/>
      <c r="AC68" s="317" t="n"/>
      <c r="AD68" s="317" t="n"/>
      <c r="AE68" s="317" t="n"/>
      <c r="AF68" s="317" t="n"/>
      <c r="AG68" s="317" t="n"/>
      <c r="AH68" s="317" t="n"/>
      <c r="AI68" s="317" t="n"/>
      <c r="AJ68" s="317" t="n"/>
      <c r="AK68" s="317" t="n"/>
      <c r="AL68" s="317" t="n"/>
    </row>
    <row r="69" ht="15.75" customHeight="1" s="141">
      <c r="A69" s="317" t="n"/>
      <c r="B69" s="317" t="n"/>
      <c r="C69" s="317" t="n"/>
      <c r="D69" s="317" t="n"/>
      <c r="E69" s="317" t="n"/>
      <c r="F69" s="317" t="n"/>
      <c r="G69" s="317" t="n"/>
      <c r="H69" s="317" t="n"/>
      <c r="I69" s="317" t="n"/>
      <c r="J69" s="317" t="n"/>
      <c r="K69" s="317" t="n"/>
      <c r="L69" s="317" t="n"/>
      <c r="M69" s="317" t="n"/>
      <c r="N69" s="317" t="n"/>
      <c r="O69" s="317" t="n"/>
      <c r="P69" s="317" t="n"/>
      <c r="Q69" s="317" t="n"/>
      <c r="R69" s="317" t="n"/>
      <c r="S69" s="317" t="n"/>
      <c r="T69" s="317" t="n"/>
      <c r="U69" s="317" t="n"/>
      <c r="V69" s="317" t="n"/>
      <c r="W69" s="317" t="n"/>
      <c r="X69" s="317" t="n"/>
      <c r="Y69" s="317" t="n"/>
      <c r="Z69" s="317" t="n"/>
      <c r="AA69" s="317" t="n"/>
      <c r="AB69" s="317" t="n"/>
      <c r="AC69" s="317" t="n"/>
      <c r="AD69" s="317" t="n"/>
      <c r="AE69" s="317" t="n"/>
      <c r="AF69" s="317" t="n"/>
      <c r="AG69" s="317" t="n"/>
      <c r="AH69" s="317" t="n"/>
      <c r="AI69" s="317" t="n"/>
      <c r="AJ69" s="317" t="n"/>
      <c r="AK69" s="317" t="n"/>
      <c r="AL69" s="317" t="n"/>
    </row>
    <row r="70" ht="15.75" customHeight="1" s="141">
      <c r="A70" s="317" t="n"/>
      <c r="B70" s="317" t="n"/>
      <c r="C70" s="317" t="n"/>
      <c r="D70" s="317" t="n"/>
      <c r="E70" s="317" t="n"/>
      <c r="F70" s="317" t="n"/>
      <c r="G70" s="317" t="n"/>
      <c r="H70" s="317" t="n"/>
      <c r="I70" s="317" t="n"/>
      <c r="J70" s="317" t="n"/>
      <c r="K70" s="317" t="n"/>
      <c r="L70" s="317" t="n"/>
      <c r="M70" s="317" t="n"/>
      <c r="N70" s="317" t="n"/>
      <c r="O70" s="317" t="n"/>
      <c r="P70" s="317" t="n"/>
      <c r="Q70" s="317" t="n"/>
      <c r="R70" s="317" t="n"/>
      <c r="S70" s="317" t="n"/>
      <c r="T70" s="317" t="n"/>
      <c r="U70" s="317" t="n"/>
      <c r="V70" s="317" t="n"/>
      <c r="W70" s="317" t="n"/>
      <c r="X70" s="317" t="n"/>
      <c r="Y70" s="317" t="n"/>
      <c r="Z70" s="317" t="n"/>
      <c r="AA70" s="317" t="n"/>
      <c r="AB70" s="317" t="n"/>
      <c r="AC70" s="317" t="n"/>
      <c r="AD70" s="317" t="n"/>
      <c r="AE70" s="317" t="n"/>
      <c r="AF70" s="317" t="n"/>
      <c r="AG70" s="317" t="n"/>
      <c r="AH70" s="317" t="n"/>
      <c r="AI70" s="317" t="n"/>
      <c r="AJ70" s="317" t="n"/>
      <c r="AK70" s="317" t="n"/>
      <c r="AL70" s="317" t="n"/>
    </row>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c r="A100" s="526" t="inlineStr">
        <is>
          <t>Mode:</t>
        </is>
      </c>
      <c r="B100" s="526">
        <f>IF(COUNT(B16:B25)&gt;=5,"window","test")</f>
        <v/>
      </c>
    </row>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6">
    <mergeCell ref="B9:E9"/>
    <mergeCell ref="G2:H2"/>
    <mergeCell ref="B6:E6"/>
    <mergeCell ref="A8:P8"/>
    <mergeCell ref="A4:P4"/>
    <mergeCell ref="B5:E5"/>
    <mergeCell ref="O9:P9"/>
    <mergeCell ref="L13:P13"/>
    <mergeCell ref="A2:C2"/>
    <mergeCell ref="G9:J9"/>
    <mergeCell ref="D2:E2"/>
    <mergeCell ref="L5:P5"/>
    <mergeCell ref="A1:P1"/>
    <mergeCell ref="L10:P10"/>
    <mergeCell ref="G10:J10"/>
    <mergeCell ref="L9:M9"/>
    <mergeCell ref="G6:J6"/>
    <mergeCell ref="G13:J13"/>
    <mergeCell ref="O2:P2"/>
    <mergeCell ref="B13:E13"/>
    <mergeCell ref="L6:P6"/>
    <mergeCell ref="A27:P27"/>
    <mergeCell ref="A12:P12"/>
    <mergeCell ref="A3:P3"/>
    <mergeCell ref="B10:E10"/>
    <mergeCell ref="G5:J5"/>
    <mergeCell ref="A26:P26"/>
  </mergeCells>
  <conditionalFormatting sqref="K16:K25">
    <cfRule type="colorScale" priority="2">
      <colorScale>
        <cfvo type="min" val="0"/>
        <cfvo type="percentile" val="50"/>
        <cfvo type="max" val="0"/>
        <color rgb="FF63BE7B"/>
        <color rgb="FFFFEB84"/>
        <color rgb="FFF8696B"/>
      </colorScale>
    </cfRule>
    <cfRule type="colorScale" priority="9">
      <colorScale>
        <cfvo type="min"/>
        <cfvo type="percentile" val="50"/>
        <cfvo type="max"/>
        <color rgb="0063BE7B"/>
        <color rgb="00FFEB84"/>
        <color rgb="00F8696B"/>
      </colorScale>
    </cfRule>
  </conditionalFormatting>
  <conditionalFormatting sqref="L16:L25">
    <cfRule type="colorScale" priority="3">
      <colorScale>
        <cfvo type="min" val="0"/>
        <cfvo type="percentile" val="50"/>
        <cfvo type="max" val="0"/>
        <color rgb="FF63BE7B"/>
        <color rgb="FFFFEB84"/>
        <color rgb="FFF8696B"/>
      </colorScale>
    </cfRule>
    <cfRule type="colorScale" priority="10">
      <colorScale>
        <cfvo type="min"/>
        <cfvo type="percentile" val="50"/>
        <cfvo type="max"/>
        <color rgb="0063BE7B"/>
        <color rgb="00FFEB84"/>
        <color rgb="00F8696B"/>
      </colorScale>
    </cfRule>
  </conditionalFormatting>
  <conditionalFormatting sqref="N16:N25">
    <cfRule type="colorScale" priority="4">
      <colorScale>
        <cfvo type="min" val="0"/>
        <cfvo type="percentile" val="50"/>
        <cfvo type="max" val="0"/>
        <color rgb="FF63BE7B"/>
        <color rgb="FFFFEB84"/>
        <color rgb="FFF8696B"/>
      </colorScale>
    </cfRule>
    <cfRule type="colorScale" priority="12">
      <colorScale>
        <cfvo type="min"/>
        <cfvo type="percentile" val="50"/>
        <cfvo type="max"/>
        <color rgb="0063BE7B"/>
        <color rgb="00FFEB84"/>
        <color rgb="00F8696B"/>
      </colorScale>
    </cfRule>
  </conditionalFormatting>
  <conditionalFormatting sqref="L30:L37">
    <cfRule type="colorScale" priority="5">
      <colorScale>
        <cfvo type="min" val="0"/>
        <cfvo type="percentile" val="50"/>
        <cfvo type="max" val="0"/>
        <color rgb="FF63BE7B"/>
        <color rgb="FFFFEB84"/>
        <color rgb="FFF8696B"/>
      </colorScale>
    </cfRule>
  </conditionalFormatting>
  <conditionalFormatting sqref="A2:P3">
    <cfRule type="expression" priority="5" dxfId="0">
      <formula>ISNA(INDIRECT(ADDRESS(ROW(),COLUMN())))</formula>
    </cfRule>
  </conditionalFormatting>
  <conditionalFormatting sqref="A15:P25">
    <cfRule type="expression" priority="6" dxfId="0">
      <formula>ISNA(INDIRECT(ADDRESS(ROW(),COLUMN())))</formula>
    </cfRule>
  </conditionalFormatting>
  <conditionalFormatting sqref="I16:I25">
    <cfRule type="colorScale" priority="7">
      <colorScale>
        <cfvo type="min"/>
        <cfvo type="percentile" val="50"/>
        <cfvo type="max"/>
        <color rgb="0063BE7B"/>
        <color rgb="00FFEB84"/>
        <color rgb="00F8696B"/>
      </colorScale>
    </cfRule>
  </conditionalFormatting>
  <conditionalFormatting sqref="J16:J25">
    <cfRule type="colorScale" priority="8">
      <colorScale>
        <cfvo type="min"/>
        <cfvo type="percentile" val="50"/>
        <cfvo type="max"/>
        <color rgb="0063BE7B"/>
        <color rgb="00FFEB84"/>
        <color rgb="00F8696B"/>
      </colorScale>
    </cfRule>
  </conditionalFormatting>
  <conditionalFormatting sqref="M16:M25">
    <cfRule type="colorScale" priority="11">
      <colorScale>
        <cfvo type="min"/>
        <cfvo type="percentile" val="50"/>
        <cfvo type="max"/>
        <color rgb="0063BE7B"/>
        <color rgb="00FFEB84"/>
        <color rgb="00F8696B"/>
      </colorScale>
    </cfRule>
  </conditionalFormatting>
  <conditionalFormatting sqref="O16:O25">
    <cfRule type="colorScale" priority="100">
      <colorScale>
        <cfvo type="min"/>
        <cfvo type="percentile" val="50"/>
        <cfvo type="max"/>
        <color rgb="FF63BE7B"/>
        <color rgb="FFFFEB84"/>
        <color rgb="FFF8696B"/>
      </colorScale>
    </cfRule>
  </conditionalFormatting>
  <conditionalFormatting sqref="D30:D37">
    <cfRule type="colorScale" priority="101">
      <colorScale>
        <cfvo type="min"/>
        <cfvo type="percentile" val="50"/>
        <cfvo type="max"/>
        <color rgb="FF63BE7B"/>
        <color rgb="FFFFEB84"/>
        <color rgb="FFF8696B"/>
      </colorScale>
    </cfRule>
  </conditionalFormatting>
  <conditionalFormatting sqref="E30:E37">
    <cfRule type="colorScale" priority="102">
      <colorScale>
        <cfvo type="min"/>
        <cfvo type="percentile" val="50"/>
        <cfvo type="max"/>
        <color rgb="FF63BE7B"/>
        <color rgb="FFFFEB84"/>
        <color rgb="FFF8696B"/>
      </colorScale>
    </cfRule>
  </conditionalFormatting>
  <conditionalFormatting sqref="F30:F37">
    <cfRule type="colorScale" priority="103">
      <colorScale>
        <cfvo type="min"/>
        <cfvo type="percentile" val="50"/>
        <cfvo type="max"/>
        <color rgb="FF63BE7B"/>
        <color rgb="FFFFEB84"/>
        <color rgb="FFF8696B"/>
      </colorScale>
    </cfRule>
  </conditionalFormatting>
  <conditionalFormatting sqref="G30:G37">
    <cfRule type="colorScale" priority="104">
      <colorScale>
        <cfvo type="min"/>
        <cfvo type="percentile" val="50"/>
        <cfvo type="max"/>
        <color rgb="FF63BE7B"/>
        <color rgb="FFFFEB84"/>
        <color rgb="FFF8696B"/>
      </colorScale>
    </cfRule>
  </conditionalFormatting>
  <hyperlinks>
    <hyperlink xmlns:r="http://schemas.openxmlformats.org/officeDocument/2006/relationships" ref="A3" r:id="rId1"/>
    <hyperlink xmlns:r="http://schemas.openxmlformats.org/officeDocument/2006/relationships" ref="A28" r:id="rId3" display="Click to reset to Loadscope defaults"/>
    <hyperlink xmlns:r="http://schemas.openxmlformats.org/officeDocument/2006/relationships" ref="A26" r:id="rId4" display="Save Suggested Load to Library"/>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2"/>
  <legacyDrawing xmlns:r="http://schemas.openxmlformats.org/officeDocument/2006/relationships" r:id="anysvml"/>
</worksheet>
</file>

<file path=xl/worksheets/sheet5.xml><?xml version="1.0" encoding="utf-8"?>
<worksheet xmlns="http://schemas.openxmlformats.org/spreadsheetml/2006/main">
  <sheetPr filterMode="0">
    <outlinePr summaryBelow="1" summaryRight="1"/>
    <pageSetUpPr fitToPage="1"/>
  </sheetPr>
  <dimension ref="A1:T58"/>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7" customWidth="1" style="147" min="1" max="1"/>
    <col width="12" customWidth="1" style="147" min="2" max="2"/>
    <col width="42" customWidth="1" style="147" min="3" max="3"/>
    <col width="7" customWidth="1" style="147" min="4" max="4"/>
    <col width="10" customWidth="1" style="147" min="5" max="14"/>
    <col width="9" customWidth="1" style="147" min="15" max="17"/>
    <col width="11" customWidth="1" style="147" min="18" max="18"/>
    <col width="12" customWidth="1" style="147" min="19" max="19"/>
    <col width="36" customWidth="1" style="147" min="20" max="20"/>
  </cols>
  <sheetData>
    <row r="1" ht="31.5" customHeight="1" s="141">
      <c r="A1" s="316" t="inlineStr">
        <is>
          <t>Garmin Xero Import — ShotView CSV sessions</t>
        </is>
      </c>
      <c r="B1" s="309" t="n"/>
      <c r="C1" s="309" t="n"/>
      <c r="D1" s="309" t="n"/>
      <c r="E1" s="309" t="n"/>
      <c r="F1" s="309" t="n"/>
      <c r="G1" s="309" t="n"/>
      <c r="H1" s="309" t="n"/>
      <c r="I1" s="309" t="n"/>
      <c r="J1" s="309" t="n"/>
      <c r="K1" s="309" t="n"/>
      <c r="L1" s="309" t="n"/>
      <c r="M1" s="309" t="n"/>
      <c r="N1" s="309" t="n"/>
      <c r="O1" s="309" t="n"/>
      <c r="P1" s="309" t="n"/>
      <c r="Q1" s="309" t="n"/>
      <c r="R1" s="309" t="n"/>
      <c r="S1" s="309" t="n"/>
      <c r="T1" s="309" t="n"/>
    </row>
    <row r="2" ht="36" customHeight="1" s="141">
      <c r="A2" s="356" t="inlineStr">
        <is>
          <r>
            <rPr>
              <i/>
              <color rgb="FF595959"/>
              <sz val="12"/>
              <rFont val="Calibri"/>
              <family val="2"/>
            </rPr>
            <t xml:space="preserve">This sheet feeds the Load Log and Seating Depth tabs. The shot cells over there are wired to pull from these specific rows. Just paste each Garmin session's shot velocities into the matching row's Shot 1–10 cells (E:N). Avg / SD / ES auto-compute.</t>
          </r>
        </is>
      </c>
      <c r="B2" s="309" t="n"/>
      <c r="C2" s="309" t="n"/>
      <c r="D2" s="309" t="n"/>
      <c r="E2" s="309" t="n"/>
      <c r="F2" s="309" t="n"/>
      <c r="G2" s="309" t="n"/>
      <c r="H2" s="309" t="n"/>
      <c r="I2" s="309" t="n"/>
      <c r="J2" s="309" t="n"/>
      <c r="K2" s="309" t="n"/>
      <c r="L2" s="309" t="n"/>
      <c r="M2" s="309" t="n"/>
      <c r="N2" s="309" t="n"/>
      <c r="O2" s="309" t="n"/>
      <c r="P2" s="309" t="n"/>
      <c r="Q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c r="N3" s="309" t="n"/>
      <c r="O3" s="309" t="n"/>
      <c r="P3" s="309" t="n"/>
      <c r="Q3" s="309" t="n"/>
      <c r="R3" s="309" t="n"/>
      <c r="S3" s="309" t="n"/>
      <c r="T3" s="309" t="n"/>
    </row>
    <row r="4" ht="6" customHeight="1" s="141">
      <c r="A4" s="309" t="n"/>
      <c r="B4" s="309" t="n"/>
      <c r="C4" s="309" t="n"/>
      <c r="D4" s="309" t="n"/>
      <c r="E4" s="309" t="n"/>
      <c r="F4" s="309" t="n"/>
      <c r="G4" s="309" t="n"/>
      <c r="H4" s="309" t="n"/>
      <c r="I4" s="309" t="n"/>
      <c r="J4" s="309" t="n"/>
      <c r="K4" s="309" t="n"/>
      <c r="L4" s="309" t="n"/>
      <c r="M4" s="309" t="n"/>
      <c r="N4" s="309" t="n"/>
      <c r="O4" s="309" t="n"/>
      <c r="P4" s="309" t="n"/>
      <c r="Q4" s="309" t="n"/>
    </row>
    <row r="5" ht="37.5" customHeight="1" s="141">
      <c r="A5" s="333" t="inlineStr">
        <is>
          <t>Tag</t>
        </is>
      </c>
      <c r="B5" s="333" t="inlineStr">
        <is>
          <t>Date</t>
        </is>
      </c>
      <c r="C5" s="333" t="inlineStr">
        <is>
          <t>Session Title</t>
        </is>
      </c>
      <c r="D5" s="333" t="inlineStr">
        <is>
          <t># Shots</t>
        </is>
      </c>
      <c r="E5" s="333" t="inlineStr">
        <is>
          <t>Shot 1 (fps)</t>
        </is>
      </c>
      <c r="F5" s="333" t="inlineStr">
        <is>
          <t>Shot 2 (fps)</t>
        </is>
      </c>
      <c r="G5" s="333" t="inlineStr">
        <is>
          <t>Shot 3 (fps)</t>
        </is>
      </c>
      <c r="H5" s="333" t="inlineStr">
        <is>
          <t>Shot 4 (fps)</t>
        </is>
      </c>
      <c r="I5" s="333" t="inlineStr">
        <is>
          <t>Shot 5 (fps)</t>
        </is>
      </c>
      <c r="J5" s="333" t="inlineStr">
        <is>
          <t>Shot 6 (fps)</t>
        </is>
      </c>
      <c r="K5" s="333" t="inlineStr">
        <is>
          <t>Shot 7 (fps)</t>
        </is>
      </c>
      <c r="L5" s="33" t="inlineStr">
        <is>
          <t>Shot 8 (fps)</t>
        </is>
      </c>
      <c r="M5" s="33" t="inlineStr">
        <is>
          <t>Shot 9 (fps)</t>
        </is>
      </c>
      <c r="N5" s="33" t="inlineStr">
        <is>
          <t>Shot 10 (fps)</t>
        </is>
      </c>
      <c r="O5" s="33" t="inlineStr">
        <is>
          <t>Avg Vel (fps)</t>
        </is>
      </c>
      <c r="P5" s="33" t="inlineStr">
        <is>
          <t>SD (fps)</t>
        </is>
      </c>
      <c r="Q5" s="33" t="inlineStr">
        <is>
          <t>ES (fps)</t>
        </is>
      </c>
      <c r="R5" s="33" t="inlineStr">
        <is>
          <t>Bullet Wt (gr)</t>
        </is>
      </c>
      <c r="S5" s="33" t="inlineStr">
        <is>
          <t>Avg KE (ft·lb)</t>
        </is>
      </c>
      <c r="T5" s="33" t="inlineStr">
        <is>
          <t>Notes</t>
        </is>
      </c>
    </row>
    <row r="6" ht="18.75" customHeight="1" s="141">
      <c r="A6" s="358" t="inlineStr">
        <is>
          <t>P1</t>
        </is>
      </c>
      <c r="B6" s="239">
        <f>IFERROR(LOOKUP(2,1/(GarminSessions!$A$2:$A$200=$A6),GarminSessions!$D$2:$D$200),"")</f>
        <v/>
      </c>
      <c r="C6" s="240">
        <f>IFERROR(IF(LOOKUP(2,1/(GarminSessions!$A$2:$A$200=$A6),GarminSessions!$T$2:$T$200)="","",LOOKUP(2,1/(GarminSessions!$A$2:$A$200=$A6),GarminSessions!$T$2:$T$200)),"")</f>
        <v/>
      </c>
      <c r="D6" s="241">
        <f>COUNT(E6:N6)</f>
        <v/>
      </c>
      <c r="E6" s="242">
        <f>IFERROR(IF(LOOKUP(2,1/(GarminSessions!$A$2:$A$200=$A6),GarminSessions!$E$2:$E$200)&gt;0,LOOKUP(2,1/(GarminSessions!$A$2:$A$200=$A6),GarminSessions!$E$2:$E$200),""),"")</f>
        <v/>
      </c>
      <c r="F6" s="242">
        <f>IFERROR(IF(LOOKUP(2,1/(GarminSessions!$A$2:$A$200=$A6),GarminSessions!$F$2:$F$200)&gt;0,LOOKUP(2,1/(GarminSessions!$A$2:$A$200=$A6),GarminSessions!$F$2:$F$200),""),"")</f>
        <v/>
      </c>
      <c r="G6" s="242">
        <f>IFERROR(IF(LOOKUP(2,1/(GarminSessions!$A$2:$A$200=$A6),GarminSessions!$G$2:$G$200)&gt;0,LOOKUP(2,1/(GarminSessions!$A$2:$A$200=$A6),GarminSessions!$G$2:$G$200),""),"")</f>
        <v/>
      </c>
      <c r="H6" s="242">
        <f>IFERROR(IF(LOOKUP(2,1/(GarminSessions!$A$2:$A$200=$A6),GarminSessions!$H$2:$H$200)&gt;0,LOOKUP(2,1/(GarminSessions!$A$2:$A$200=$A6),GarminSessions!$H$2:$H$200),""),"")</f>
        <v/>
      </c>
      <c r="I6" s="242">
        <f>IFERROR(IF(LOOKUP(2,1/(GarminSessions!$A$2:$A$200=$A6),GarminSessions!$I$2:$I$200)&gt;0,LOOKUP(2,1/(GarminSessions!$A$2:$A$200=$A6),GarminSessions!$I$2:$I$200),""),"")</f>
        <v/>
      </c>
      <c r="J6" s="242">
        <f>IFERROR(IF(LOOKUP(2,1/(GarminSessions!$A$2:$A$200=$A6),GarminSessions!$J$2:$J$200)&gt;0,LOOKUP(2,1/(GarminSessions!$A$2:$A$200=$A6),GarminSessions!$J$2:$J$200),""),"")</f>
        <v/>
      </c>
      <c r="K6" s="242">
        <f>IFERROR(IF(LOOKUP(2,1/(GarminSessions!$A$2:$A$200=$A6),GarminSessions!$K$2:$K$200)&gt;0,LOOKUP(2,1/(GarminSessions!$A$2:$A$200=$A6),GarminSessions!$K$2:$K$200),""),"")</f>
        <v/>
      </c>
      <c r="L6" s="80">
        <f>IFERROR(IF(LOOKUP(2,1/(GarminSessions!$A$2:$A$200=$A6),GarminSessions!$L$2:$L$200)&gt;0,LOOKUP(2,1/(GarminSessions!$A$2:$A$200=$A6),GarminSessions!$L$2:$L$200),""),"")</f>
        <v/>
      </c>
      <c r="M6" s="80">
        <f>IFERROR(IF(LOOKUP(2,1/(GarminSessions!$A$2:$A$200=$A6),GarminSessions!$M$2:$M$200)&gt;0,LOOKUP(2,1/(GarminSessions!$A$2:$A$200=$A6),GarminSessions!$M$2:$M$200),""),"")</f>
        <v/>
      </c>
      <c r="N6" s="80">
        <f>IFERROR(IF(LOOKUP(2,1/(GarminSessions!$A$2:$A$200=$A6),GarminSessions!$N$2:$N$200)&gt;0,LOOKUP(2,1/(GarminSessions!$A$2:$A$200=$A6),GarminSessions!$N$2:$N$200),""),"")</f>
        <v/>
      </c>
      <c r="O6" s="81">
        <f>IFERROR(LOOKUP(2,1/(GarminSessions!$A$2:$A$200=$A6),GarminSessions!$O$2:$O$200),"")</f>
        <v/>
      </c>
      <c r="P6" s="16">
        <f>IFERROR(LOOKUP(2,1/(GarminSessions!$A$2:$A$200=$A6),GarminSessions!$P$2:$P$200),"")</f>
        <v/>
      </c>
      <c r="Q6" s="81">
        <f>IFERROR(LOOKUP(2,1/(GarminSessions!$A$2:$A$200=$A6),GarminSessions!$Q$2:$Q$200),"")</f>
        <v/>
      </c>
      <c r="R6" s="17">
        <f>IFERROR(LOOKUP(2,1/(GarminSessions!$A$2:$A$200=$A6),GarminSessions!$R$2:$R$200),"")</f>
        <v/>
      </c>
      <c r="S6" s="17">
        <f>IFERROR(LOOKUP(2,1/(GarminSessions!$A$2:$A$200=$A6),GarminSessions!$S$2:$S$200),"")</f>
        <v/>
      </c>
      <c r="T6" s="14">
        <f>IFERROR(IF(LOOKUP(2,1/(GarminSessions!$A$2:$A$200=$A6),GarminSessions!$U$2:$U$200)="","",LOOKUP(2,1/(GarminSessions!$A$2:$A$200=$A6),GarminSessions!$U$2:$U$200)),"")</f>
        <v/>
      </c>
    </row>
    <row r="7" ht="18.75" customHeight="1" s="141">
      <c r="A7" s="336" t="inlineStr">
        <is>
          <t>P2</t>
        </is>
      </c>
      <c r="B7" s="184">
        <f>IFERROR(LOOKUP(2,1/(GarminSessions!$A$2:$A$200=$A7),GarminSessions!$D$2:$D$200),"")</f>
        <v/>
      </c>
      <c r="C7" s="246">
        <f>IFERROR(IF(LOOKUP(2,1/(GarminSessions!$A$2:$A$200=$A7),GarminSessions!$T$2:$T$200)="","",LOOKUP(2,1/(GarminSessions!$A$2:$A$200=$A7),GarminSessions!$T$2:$T$200)),"")</f>
        <v/>
      </c>
      <c r="D7" s="187">
        <f>COUNT(E7:N7)</f>
        <v/>
      </c>
      <c r="E7" s="185">
        <f>IFERROR(IF(LOOKUP(2,1/(GarminSessions!$A$2:$A$200=$A7),GarminSessions!$E$2:$E$200)&gt;0,LOOKUP(2,1/(GarminSessions!$A$2:$A$200=$A7),GarminSessions!$E$2:$E$200),""),"")</f>
        <v/>
      </c>
      <c r="F7" s="185">
        <f>IFERROR(IF(LOOKUP(2,1/(GarminSessions!$A$2:$A$200=$A7),GarminSessions!$F$2:$F$200)&gt;0,LOOKUP(2,1/(GarminSessions!$A$2:$A$200=$A7),GarminSessions!$F$2:$F$200),""),"")</f>
        <v/>
      </c>
      <c r="G7" s="185">
        <f>IFERROR(IF(LOOKUP(2,1/(GarminSessions!$A$2:$A$200=$A7),GarminSessions!$G$2:$G$200)&gt;0,LOOKUP(2,1/(GarminSessions!$A$2:$A$200=$A7),GarminSessions!$G$2:$G$200),""),"")</f>
        <v/>
      </c>
      <c r="H7" s="185">
        <f>IFERROR(IF(LOOKUP(2,1/(GarminSessions!$A$2:$A$200=$A7),GarminSessions!$H$2:$H$200)&gt;0,LOOKUP(2,1/(GarminSessions!$A$2:$A$200=$A7),GarminSessions!$H$2:$H$200),""),"")</f>
        <v/>
      </c>
      <c r="I7" s="185">
        <f>IFERROR(IF(LOOKUP(2,1/(GarminSessions!$A$2:$A$200=$A7),GarminSessions!$I$2:$I$200)&gt;0,LOOKUP(2,1/(GarminSessions!$A$2:$A$200=$A7),GarminSessions!$I$2:$I$200),""),"")</f>
        <v/>
      </c>
      <c r="J7" s="185">
        <f>IFERROR(IF(LOOKUP(2,1/(GarminSessions!$A$2:$A$200=$A7),GarminSessions!$J$2:$J$200)&gt;0,LOOKUP(2,1/(GarminSessions!$A$2:$A$200=$A7),GarminSessions!$J$2:$J$200),""),"")</f>
        <v/>
      </c>
      <c r="K7" s="185">
        <f>IFERROR(IF(LOOKUP(2,1/(GarminSessions!$A$2:$A$200=$A7),GarminSessions!$K$2:$K$200)&gt;0,LOOKUP(2,1/(GarminSessions!$A$2:$A$200=$A7),GarminSessions!$K$2:$K$200),""),"")</f>
        <v/>
      </c>
      <c r="L7" s="70">
        <f>IFERROR(IF(LOOKUP(2,1/(GarminSessions!$A$2:$A$200=$A7),GarminSessions!$L$2:$L$200)&gt;0,LOOKUP(2,1/(GarminSessions!$A$2:$A$200=$A7),GarminSessions!$L$2:$L$200),""),"")</f>
        <v/>
      </c>
      <c r="M7" s="70">
        <f>IFERROR(IF(LOOKUP(2,1/(GarminSessions!$A$2:$A$200=$A7),GarminSessions!$M$2:$M$200)&gt;0,LOOKUP(2,1/(GarminSessions!$A$2:$A$200=$A7),GarminSessions!$M$2:$M$200),""),"")</f>
        <v/>
      </c>
      <c r="N7" s="70">
        <f>IFERROR(IF(LOOKUP(2,1/(GarminSessions!$A$2:$A$200=$A7),GarminSessions!$N$2:$N$200)&gt;0,LOOKUP(2,1/(GarminSessions!$A$2:$A$200=$A7),GarminSessions!$N$2:$N$200),""),"")</f>
        <v/>
      </c>
      <c r="O7" s="79">
        <f>IFERROR(LOOKUP(2,1/(GarminSessions!$A$2:$A$200=$A7),GarminSessions!$O$2:$O$200),"")</f>
        <v/>
      </c>
      <c r="P7" s="11">
        <f>IFERROR(LOOKUP(2,1/(GarminSessions!$A$2:$A$200=$A7),GarminSessions!$P$2:$P$200),"")</f>
        <v/>
      </c>
      <c r="Q7" s="79">
        <f>IFERROR(LOOKUP(2,1/(GarminSessions!$A$2:$A$200=$A7),GarminSessions!$Q$2:$Q$200),"")</f>
        <v/>
      </c>
      <c r="R7" s="6">
        <f>IFERROR(LOOKUP(2,1/(GarminSessions!$A$2:$A$200=$A7),GarminSessions!$R$2:$R$200),"")</f>
        <v/>
      </c>
      <c r="S7" s="6">
        <f>IFERROR(LOOKUP(2,1/(GarminSessions!$A$2:$A$200=$A7),GarminSessions!$S$2:$S$200),"")</f>
        <v/>
      </c>
      <c r="T7" s="18">
        <f>IFERROR(IF(LOOKUP(2,1/(GarminSessions!$A$2:$A$200=$A7),GarminSessions!$U$2:$U$200)="","",LOOKUP(2,1/(GarminSessions!$A$2:$A$200=$A7),GarminSessions!$U$2:$U$200)),"")</f>
        <v/>
      </c>
    </row>
    <row r="8" ht="18.75" customHeight="1" s="141">
      <c r="A8" s="358" t="inlineStr">
        <is>
          <t>P3</t>
        </is>
      </c>
      <c r="B8" s="239">
        <f>IFERROR(LOOKUP(2,1/(GarminSessions!$A$2:$A$200=$A8),GarminSessions!$D$2:$D$200),"")</f>
        <v/>
      </c>
      <c r="C8" s="240">
        <f>IFERROR(IF(LOOKUP(2,1/(GarminSessions!$A$2:$A$200=$A8),GarminSessions!$T$2:$T$200)="","",LOOKUP(2,1/(GarminSessions!$A$2:$A$200=$A8),GarminSessions!$T$2:$T$200)),"")</f>
        <v/>
      </c>
      <c r="D8" s="241">
        <f>COUNT(E8:N8)</f>
        <v/>
      </c>
      <c r="E8" s="242">
        <f>IFERROR(IF(LOOKUP(2,1/(GarminSessions!$A$2:$A$200=$A8),GarminSessions!$E$2:$E$200)&gt;0,LOOKUP(2,1/(GarminSessions!$A$2:$A$200=$A8),GarminSessions!$E$2:$E$200),""),"")</f>
        <v/>
      </c>
      <c r="F8" s="242">
        <f>IFERROR(IF(LOOKUP(2,1/(GarminSessions!$A$2:$A$200=$A8),GarminSessions!$F$2:$F$200)&gt;0,LOOKUP(2,1/(GarminSessions!$A$2:$A$200=$A8),GarminSessions!$F$2:$F$200),""),"")</f>
        <v/>
      </c>
      <c r="G8" s="242">
        <f>IFERROR(IF(LOOKUP(2,1/(GarminSessions!$A$2:$A$200=$A8),GarminSessions!$G$2:$G$200)&gt;0,LOOKUP(2,1/(GarminSessions!$A$2:$A$200=$A8),GarminSessions!$G$2:$G$200),""),"")</f>
        <v/>
      </c>
      <c r="H8" s="242">
        <f>IFERROR(IF(LOOKUP(2,1/(GarminSessions!$A$2:$A$200=$A8),GarminSessions!$H$2:$H$200)&gt;0,LOOKUP(2,1/(GarminSessions!$A$2:$A$200=$A8),GarminSessions!$H$2:$H$200),""),"")</f>
        <v/>
      </c>
      <c r="I8" s="242">
        <f>IFERROR(IF(LOOKUP(2,1/(GarminSessions!$A$2:$A$200=$A8),GarminSessions!$I$2:$I$200)&gt;0,LOOKUP(2,1/(GarminSessions!$A$2:$A$200=$A8),GarminSessions!$I$2:$I$200),""),"")</f>
        <v/>
      </c>
      <c r="J8" s="242">
        <f>IFERROR(IF(LOOKUP(2,1/(GarminSessions!$A$2:$A$200=$A8),GarminSessions!$J$2:$J$200)&gt;0,LOOKUP(2,1/(GarminSessions!$A$2:$A$200=$A8),GarminSessions!$J$2:$J$200),""),"")</f>
        <v/>
      </c>
      <c r="K8" s="242">
        <f>IFERROR(IF(LOOKUP(2,1/(GarminSessions!$A$2:$A$200=$A8),GarminSessions!$K$2:$K$200)&gt;0,LOOKUP(2,1/(GarminSessions!$A$2:$A$200=$A8),GarminSessions!$K$2:$K$200),""),"")</f>
        <v/>
      </c>
      <c r="L8" s="80">
        <f>IFERROR(IF(LOOKUP(2,1/(GarminSessions!$A$2:$A$200=$A8),GarminSessions!$L$2:$L$200)&gt;0,LOOKUP(2,1/(GarminSessions!$A$2:$A$200=$A8),GarminSessions!$L$2:$L$200),""),"")</f>
        <v/>
      </c>
      <c r="M8" s="80">
        <f>IFERROR(IF(LOOKUP(2,1/(GarminSessions!$A$2:$A$200=$A8),GarminSessions!$M$2:$M$200)&gt;0,LOOKUP(2,1/(GarminSessions!$A$2:$A$200=$A8),GarminSessions!$M$2:$M$200),""),"")</f>
        <v/>
      </c>
      <c r="N8" s="80">
        <f>IFERROR(IF(LOOKUP(2,1/(GarminSessions!$A$2:$A$200=$A8),GarminSessions!$N$2:$N$200)&gt;0,LOOKUP(2,1/(GarminSessions!$A$2:$A$200=$A8),GarminSessions!$N$2:$N$200),""),"")</f>
        <v/>
      </c>
      <c r="O8" s="81">
        <f>IFERROR(LOOKUP(2,1/(GarminSessions!$A$2:$A$200=$A8),GarminSessions!$O$2:$O$200),"")</f>
        <v/>
      </c>
      <c r="P8" s="16">
        <f>IFERROR(LOOKUP(2,1/(GarminSessions!$A$2:$A$200=$A8),GarminSessions!$P$2:$P$200),"")</f>
        <v/>
      </c>
      <c r="Q8" s="81">
        <f>IFERROR(LOOKUP(2,1/(GarminSessions!$A$2:$A$200=$A8),GarminSessions!$Q$2:$Q$200),"")</f>
        <v/>
      </c>
      <c r="R8" s="17">
        <f>IFERROR(LOOKUP(2,1/(GarminSessions!$A$2:$A$200=$A8),GarminSessions!$R$2:$R$200),"")</f>
        <v/>
      </c>
      <c r="S8" s="17">
        <f>IFERROR(LOOKUP(2,1/(GarminSessions!$A$2:$A$200=$A8),GarminSessions!$S$2:$S$200),"")</f>
        <v/>
      </c>
      <c r="T8" s="14">
        <f>IFERROR(IF(LOOKUP(2,1/(GarminSessions!$A$2:$A$200=$A8),GarminSessions!$U$2:$U$200)="","",LOOKUP(2,1/(GarminSessions!$A$2:$A$200=$A8),GarminSessions!$U$2:$U$200)),"")</f>
        <v/>
      </c>
    </row>
    <row r="9" ht="18.75" customHeight="1" s="141">
      <c r="A9" s="336" t="inlineStr">
        <is>
          <t>P4</t>
        </is>
      </c>
      <c r="B9" s="184">
        <f>IFERROR(LOOKUP(2,1/(GarminSessions!$A$2:$A$200=$A9),GarminSessions!$D$2:$D$200),"")</f>
        <v/>
      </c>
      <c r="C9" s="246">
        <f>IFERROR(IF(LOOKUP(2,1/(GarminSessions!$A$2:$A$200=$A9),GarminSessions!$T$2:$T$200)="","",LOOKUP(2,1/(GarminSessions!$A$2:$A$200=$A9),GarminSessions!$T$2:$T$200)),"")</f>
        <v/>
      </c>
      <c r="D9" s="187">
        <f>COUNT(E9:N9)</f>
        <v/>
      </c>
      <c r="E9" s="185">
        <f>IFERROR(IF(LOOKUP(2,1/(GarminSessions!$A$2:$A$200=$A9),GarminSessions!$E$2:$E$200)&gt;0,LOOKUP(2,1/(GarminSessions!$A$2:$A$200=$A9),GarminSessions!$E$2:$E$200),""),"")</f>
        <v/>
      </c>
      <c r="F9" s="185">
        <f>IFERROR(IF(LOOKUP(2,1/(GarminSessions!$A$2:$A$200=$A9),GarminSessions!$F$2:$F$200)&gt;0,LOOKUP(2,1/(GarminSessions!$A$2:$A$200=$A9),GarminSessions!$F$2:$F$200),""),"")</f>
        <v/>
      </c>
      <c r="G9" s="185">
        <f>IFERROR(IF(LOOKUP(2,1/(GarminSessions!$A$2:$A$200=$A9),GarminSessions!$G$2:$G$200)&gt;0,LOOKUP(2,1/(GarminSessions!$A$2:$A$200=$A9),GarminSessions!$G$2:$G$200),""),"")</f>
        <v/>
      </c>
      <c r="H9" s="185">
        <f>IFERROR(IF(LOOKUP(2,1/(GarminSessions!$A$2:$A$200=$A9),GarminSessions!$H$2:$H$200)&gt;0,LOOKUP(2,1/(GarminSessions!$A$2:$A$200=$A9),GarminSessions!$H$2:$H$200),""),"")</f>
        <v/>
      </c>
      <c r="I9" s="185">
        <f>IFERROR(IF(LOOKUP(2,1/(GarminSessions!$A$2:$A$200=$A9),GarminSessions!$I$2:$I$200)&gt;0,LOOKUP(2,1/(GarminSessions!$A$2:$A$200=$A9),GarminSessions!$I$2:$I$200),""),"")</f>
        <v/>
      </c>
      <c r="J9" s="185">
        <f>IFERROR(IF(LOOKUP(2,1/(GarminSessions!$A$2:$A$200=$A9),GarminSessions!$J$2:$J$200)&gt;0,LOOKUP(2,1/(GarminSessions!$A$2:$A$200=$A9),GarminSessions!$J$2:$J$200),""),"")</f>
        <v/>
      </c>
      <c r="K9" s="185">
        <f>IFERROR(IF(LOOKUP(2,1/(GarminSessions!$A$2:$A$200=$A9),GarminSessions!$K$2:$K$200)&gt;0,LOOKUP(2,1/(GarminSessions!$A$2:$A$200=$A9),GarminSessions!$K$2:$K$200),""),"")</f>
        <v/>
      </c>
      <c r="L9" s="70">
        <f>IFERROR(IF(LOOKUP(2,1/(GarminSessions!$A$2:$A$200=$A9),GarminSessions!$L$2:$L$200)&gt;0,LOOKUP(2,1/(GarminSessions!$A$2:$A$200=$A9),GarminSessions!$L$2:$L$200),""),"")</f>
        <v/>
      </c>
      <c r="M9" s="70">
        <f>IFERROR(IF(LOOKUP(2,1/(GarminSessions!$A$2:$A$200=$A9),GarminSessions!$M$2:$M$200)&gt;0,LOOKUP(2,1/(GarminSessions!$A$2:$A$200=$A9),GarminSessions!$M$2:$M$200),""),"")</f>
        <v/>
      </c>
      <c r="N9" s="70">
        <f>IFERROR(IF(LOOKUP(2,1/(GarminSessions!$A$2:$A$200=$A9),GarminSessions!$N$2:$N$200)&gt;0,LOOKUP(2,1/(GarminSessions!$A$2:$A$200=$A9),GarminSessions!$N$2:$N$200),""),"")</f>
        <v/>
      </c>
      <c r="O9" s="79">
        <f>IFERROR(LOOKUP(2,1/(GarminSessions!$A$2:$A$200=$A9),GarminSessions!$O$2:$O$200),"")</f>
        <v/>
      </c>
      <c r="P9" s="11">
        <f>IFERROR(LOOKUP(2,1/(GarminSessions!$A$2:$A$200=$A9),GarminSessions!$P$2:$P$200),"")</f>
        <v/>
      </c>
      <c r="Q9" s="79">
        <f>IFERROR(LOOKUP(2,1/(GarminSessions!$A$2:$A$200=$A9),GarminSessions!$Q$2:$Q$200),"")</f>
        <v/>
      </c>
      <c r="R9" s="6">
        <f>IFERROR(LOOKUP(2,1/(GarminSessions!$A$2:$A$200=$A9),GarminSessions!$R$2:$R$200),"")</f>
        <v/>
      </c>
      <c r="S9" s="6">
        <f>IFERROR(LOOKUP(2,1/(GarminSessions!$A$2:$A$200=$A9),GarminSessions!$S$2:$S$200),"")</f>
        <v/>
      </c>
      <c r="T9" s="18">
        <f>IFERROR(IF(LOOKUP(2,1/(GarminSessions!$A$2:$A$200=$A9),GarminSessions!$U$2:$U$200)="","",LOOKUP(2,1/(GarminSessions!$A$2:$A$200=$A9),GarminSessions!$U$2:$U$200)),"")</f>
        <v/>
      </c>
    </row>
    <row r="10" ht="18.75" customHeight="1" s="141">
      <c r="A10" s="358" t="inlineStr">
        <is>
          <t>P5</t>
        </is>
      </c>
      <c r="B10" s="239">
        <f>IFERROR(LOOKUP(2,1/(GarminSessions!$A$2:$A$200=$A10),GarminSessions!$D$2:$D$200),"")</f>
        <v/>
      </c>
      <c r="C10" s="240">
        <f>IFERROR(IF(LOOKUP(2,1/(GarminSessions!$A$2:$A$200=$A10),GarminSessions!$T$2:$T$200)="","",LOOKUP(2,1/(GarminSessions!$A$2:$A$200=$A10),GarminSessions!$T$2:$T$200)),"")</f>
        <v/>
      </c>
      <c r="D10" s="241">
        <f>COUNT(E10:N10)</f>
        <v/>
      </c>
      <c r="E10" s="242">
        <f>IFERROR(IF(LOOKUP(2,1/(GarminSessions!$A$2:$A$200=$A10),GarminSessions!$E$2:$E$200)&gt;0,LOOKUP(2,1/(GarminSessions!$A$2:$A$200=$A10),GarminSessions!$E$2:$E$200),""),"")</f>
        <v/>
      </c>
      <c r="F10" s="242">
        <f>IFERROR(IF(LOOKUP(2,1/(GarminSessions!$A$2:$A$200=$A10),GarminSessions!$F$2:$F$200)&gt;0,LOOKUP(2,1/(GarminSessions!$A$2:$A$200=$A10),GarminSessions!$F$2:$F$200),""),"")</f>
        <v/>
      </c>
      <c r="G10" s="242">
        <f>IFERROR(IF(LOOKUP(2,1/(GarminSessions!$A$2:$A$200=$A10),GarminSessions!$G$2:$G$200)&gt;0,LOOKUP(2,1/(GarminSessions!$A$2:$A$200=$A10),GarminSessions!$G$2:$G$200),""),"")</f>
        <v/>
      </c>
      <c r="H10" s="242">
        <f>IFERROR(IF(LOOKUP(2,1/(GarminSessions!$A$2:$A$200=$A10),GarminSessions!$H$2:$H$200)&gt;0,LOOKUP(2,1/(GarminSessions!$A$2:$A$200=$A10),GarminSessions!$H$2:$H$200),""),"")</f>
        <v/>
      </c>
      <c r="I10" s="242">
        <f>IFERROR(IF(LOOKUP(2,1/(GarminSessions!$A$2:$A$200=$A10),GarminSessions!$I$2:$I$200)&gt;0,LOOKUP(2,1/(GarminSessions!$A$2:$A$200=$A10),GarminSessions!$I$2:$I$200),""),"")</f>
        <v/>
      </c>
      <c r="J10" s="242">
        <f>IFERROR(IF(LOOKUP(2,1/(GarminSessions!$A$2:$A$200=$A10),GarminSessions!$J$2:$J$200)&gt;0,LOOKUP(2,1/(GarminSessions!$A$2:$A$200=$A10),GarminSessions!$J$2:$J$200),""),"")</f>
        <v/>
      </c>
      <c r="K10" s="242">
        <f>IFERROR(IF(LOOKUP(2,1/(GarminSessions!$A$2:$A$200=$A10),GarminSessions!$K$2:$K$200)&gt;0,LOOKUP(2,1/(GarminSessions!$A$2:$A$200=$A10),GarminSessions!$K$2:$K$200),""),"")</f>
        <v/>
      </c>
      <c r="L10" s="80">
        <f>IFERROR(IF(LOOKUP(2,1/(GarminSessions!$A$2:$A$200=$A10),GarminSessions!$L$2:$L$200)&gt;0,LOOKUP(2,1/(GarminSessions!$A$2:$A$200=$A10),GarminSessions!$L$2:$L$200),""),"")</f>
        <v/>
      </c>
      <c r="M10" s="80">
        <f>IFERROR(IF(LOOKUP(2,1/(GarminSessions!$A$2:$A$200=$A10),GarminSessions!$M$2:$M$200)&gt;0,LOOKUP(2,1/(GarminSessions!$A$2:$A$200=$A10),GarminSessions!$M$2:$M$200),""),"")</f>
        <v/>
      </c>
      <c r="N10" s="80">
        <f>IFERROR(IF(LOOKUP(2,1/(GarminSessions!$A$2:$A$200=$A10),GarminSessions!$N$2:$N$200)&gt;0,LOOKUP(2,1/(GarminSessions!$A$2:$A$200=$A10),GarminSessions!$N$2:$N$200),""),"")</f>
        <v/>
      </c>
      <c r="O10" s="81">
        <f>IFERROR(LOOKUP(2,1/(GarminSessions!$A$2:$A$200=$A10),GarminSessions!$O$2:$O$200),"")</f>
        <v/>
      </c>
      <c r="P10" s="16">
        <f>IFERROR(LOOKUP(2,1/(GarminSessions!$A$2:$A$200=$A10),GarminSessions!$P$2:$P$200),"")</f>
        <v/>
      </c>
      <c r="Q10" s="81">
        <f>IFERROR(LOOKUP(2,1/(GarminSessions!$A$2:$A$200=$A10),GarminSessions!$Q$2:$Q$200),"")</f>
        <v/>
      </c>
      <c r="R10" s="17">
        <f>IFERROR(LOOKUP(2,1/(GarminSessions!$A$2:$A$200=$A10),GarminSessions!$R$2:$R$200),"")</f>
        <v/>
      </c>
      <c r="S10" s="17">
        <f>IFERROR(LOOKUP(2,1/(GarminSessions!$A$2:$A$200=$A10),GarminSessions!$S$2:$S$200),"")</f>
        <v/>
      </c>
      <c r="T10" s="14">
        <f>IFERROR(IF(LOOKUP(2,1/(GarminSessions!$A$2:$A$200=$A10),GarminSessions!$U$2:$U$200)="","",LOOKUP(2,1/(GarminSessions!$A$2:$A$200=$A10),GarminSessions!$U$2:$U$200)),"")</f>
        <v/>
      </c>
    </row>
    <row r="11" ht="18.75" customHeight="1" s="141">
      <c r="A11" s="336" t="inlineStr">
        <is>
          <t>P6</t>
        </is>
      </c>
      <c r="B11" s="184">
        <f>IFERROR(LOOKUP(2,1/(GarminSessions!$A$2:$A$200=$A11),GarminSessions!$D$2:$D$200),"")</f>
        <v/>
      </c>
      <c r="C11" s="246">
        <f>IFERROR(IF(LOOKUP(2,1/(GarminSessions!$A$2:$A$200=$A11),GarminSessions!$T$2:$T$200)="","",LOOKUP(2,1/(GarminSessions!$A$2:$A$200=$A11),GarminSessions!$T$2:$T$200)),"")</f>
        <v/>
      </c>
      <c r="D11" s="187">
        <f>COUNT(E11:N11)</f>
        <v/>
      </c>
      <c r="E11" s="185">
        <f>IFERROR(IF(LOOKUP(2,1/(GarminSessions!$A$2:$A$200=$A11),GarminSessions!$E$2:$E$200)&gt;0,LOOKUP(2,1/(GarminSessions!$A$2:$A$200=$A11),GarminSessions!$E$2:$E$200),""),"")</f>
        <v/>
      </c>
      <c r="F11" s="185">
        <f>IFERROR(IF(LOOKUP(2,1/(GarminSessions!$A$2:$A$200=$A11),GarminSessions!$F$2:$F$200)&gt;0,LOOKUP(2,1/(GarminSessions!$A$2:$A$200=$A11),GarminSessions!$F$2:$F$200),""),"")</f>
        <v/>
      </c>
      <c r="G11" s="185">
        <f>IFERROR(IF(LOOKUP(2,1/(GarminSessions!$A$2:$A$200=$A11),GarminSessions!$G$2:$G$200)&gt;0,LOOKUP(2,1/(GarminSessions!$A$2:$A$200=$A11),GarminSessions!$G$2:$G$200),""),"")</f>
        <v/>
      </c>
      <c r="H11" s="185">
        <f>IFERROR(IF(LOOKUP(2,1/(GarminSessions!$A$2:$A$200=$A11),GarminSessions!$H$2:$H$200)&gt;0,LOOKUP(2,1/(GarminSessions!$A$2:$A$200=$A11),GarminSessions!$H$2:$H$200),""),"")</f>
        <v/>
      </c>
      <c r="I11" s="185">
        <f>IFERROR(IF(LOOKUP(2,1/(GarminSessions!$A$2:$A$200=$A11),GarminSessions!$I$2:$I$200)&gt;0,LOOKUP(2,1/(GarminSessions!$A$2:$A$200=$A11),GarminSessions!$I$2:$I$200),""),"")</f>
        <v/>
      </c>
      <c r="J11" s="185">
        <f>IFERROR(IF(LOOKUP(2,1/(GarminSessions!$A$2:$A$200=$A11),GarminSessions!$J$2:$J$200)&gt;0,LOOKUP(2,1/(GarminSessions!$A$2:$A$200=$A11),GarminSessions!$J$2:$J$200),""),"")</f>
        <v/>
      </c>
      <c r="K11" s="185">
        <f>IFERROR(IF(LOOKUP(2,1/(GarminSessions!$A$2:$A$200=$A11),GarminSessions!$K$2:$K$200)&gt;0,LOOKUP(2,1/(GarminSessions!$A$2:$A$200=$A11),GarminSessions!$K$2:$K$200),""),"")</f>
        <v/>
      </c>
      <c r="L11" s="70">
        <f>IFERROR(IF(LOOKUP(2,1/(GarminSessions!$A$2:$A$200=$A11),GarminSessions!$L$2:$L$200)&gt;0,LOOKUP(2,1/(GarminSessions!$A$2:$A$200=$A11),GarminSessions!$L$2:$L$200),""),"")</f>
        <v/>
      </c>
      <c r="M11" s="70">
        <f>IFERROR(IF(LOOKUP(2,1/(GarminSessions!$A$2:$A$200=$A11),GarminSessions!$M$2:$M$200)&gt;0,LOOKUP(2,1/(GarminSessions!$A$2:$A$200=$A11),GarminSessions!$M$2:$M$200),""),"")</f>
        <v/>
      </c>
      <c r="N11" s="70">
        <f>IFERROR(IF(LOOKUP(2,1/(GarminSessions!$A$2:$A$200=$A11),GarminSessions!$N$2:$N$200)&gt;0,LOOKUP(2,1/(GarminSessions!$A$2:$A$200=$A11),GarminSessions!$N$2:$N$200),""),"")</f>
        <v/>
      </c>
      <c r="O11" s="79">
        <f>IFERROR(LOOKUP(2,1/(GarminSessions!$A$2:$A$200=$A11),GarminSessions!$O$2:$O$200),"")</f>
        <v/>
      </c>
      <c r="P11" s="11">
        <f>IFERROR(LOOKUP(2,1/(GarminSessions!$A$2:$A$200=$A11),GarminSessions!$P$2:$P$200),"")</f>
        <v/>
      </c>
      <c r="Q11" s="79">
        <f>IFERROR(LOOKUP(2,1/(GarminSessions!$A$2:$A$200=$A11),GarminSessions!$Q$2:$Q$200),"")</f>
        <v/>
      </c>
      <c r="R11" s="6">
        <f>IFERROR(LOOKUP(2,1/(GarminSessions!$A$2:$A$200=$A11),GarminSessions!$R$2:$R$200),"")</f>
        <v/>
      </c>
      <c r="S11" s="6">
        <f>IFERROR(LOOKUP(2,1/(GarminSessions!$A$2:$A$200=$A11),GarminSessions!$S$2:$S$200),"")</f>
        <v/>
      </c>
      <c r="T11" s="18">
        <f>IFERROR(IF(LOOKUP(2,1/(GarminSessions!$A$2:$A$200=$A11),GarminSessions!$U$2:$U$200)="","",LOOKUP(2,1/(GarminSessions!$A$2:$A$200=$A11),GarminSessions!$U$2:$U$200)),"")</f>
        <v/>
      </c>
    </row>
    <row r="12" ht="18.75" customHeight="1" s="141">
      <c r="A12" s="358" t="inlineStr">
        <is>
          <t>P7</t>
        </is>
      </c>
      <c r="B12" s="239">
        <f>IFERROR(LOOKUP(2,1/(GarminSessions!$A$2:$A$200=$A12),GarminSessions!$D$2:$D$200),"")</f>
        <v/>
      </c>
      <c r="C12" s="240">
        <f>IFERROR(IF(LOOKUP(2,1/(GarminSessions!$A$2:$A$200=$A12),GarminSessions!$T$2:$T$200)="","",LOOKUP(2,1/(GarminSessions!$A$2:$A$200=$A12),GarminSessions!$T$2:$T$200)),"")</f>
        <v/>
      </c>
      <c r="D12" s="241">
        <f>COUNT(E12:N12)</f>
        <v/>
      </c>
      <c r="E12" s="242">
        <f>IFERROR(IF(LOOKUP(2,1/(GarminSessions!$A$2:$A$200=$A12),GarminSessions!$E$2:$E$200)&gt;0,LOOKUP(2,1/(GarminSessions!$A$2:$A$200=$A12),GarminSessions!$E$2:$E$200),""),"")</f>
        <v/>
      </c>
      <c r="F12" s="242">
        <f>IFERROR(IF(LOOKUP(2,1/(GarminSessions!$A$2:$A$200=$A12),GarminSessions!$F$2:$F$200)&gt;0,LOOKUP(2,1/(GarminSessions!$A$2:$A$200=$A12),GarminSessions!$F$2:$F$200),""),"")</f>
        <v/>
      </c>
      <c r="G12" s="242">
        <f>IFERROR(IF(LOOKUP(2,1/(GarminSessions!$A$2:$A$200=$A12),GarminSessions!$G$2:$G$200)&gt;0,LOOKUP(2,1/(GarminSessions!$A$2:$A$200=$A12),GarminSessions!$G$2:$G$200),""),"")</f>
        <v/>
      </c>
      <c r="H12" s="242">
        <f>IFERROR(IF(LOOKUP(2,1/(GarminSessions!$A$2:$A$200=$A12),GarminSessions!$H$2:$H$200)&gt;0,LOOKUP(2,1/(GarminSessions!$A$2:$A$200=$A12),GarminSessions!$H$2:$H$200),""),"")</f>
        <v/>
      </c>
      <c r="I12" s="242">
        <f>IFERROR(IF(LOOKUP(2,1/(GarminSessions!$A$2:$A$200=$A12),GarminSessions!$I$2:$I$200)&gt;0,LOOKUP(2,1/(GarminSessions!$A$2:$A$200=$A12),GarminSessions!$I$2:$I$200),""),"")</f>
        <v/>
      </c>
      <c r="J12" s="242">
        <f>IFERROR(IF(LOOKUP(2,1/(GarminSessions!$A$2:$A$200=$A12),GarminSessions!$J$2:$J$200)&gt;0,LOOKUP(2,1/(GarminSessions!$A$2:$A$200=$A12),GarminSessions!$J$2:$J$200),""),"")</f>
        <v/>
      </c>
      <c r="K12" s="242">
        <f>IFERROR(IF(LOOKUP(2,1/(GarminSessions!$A$2:$A$200=$A12),GarminSessions!$K$2:$K$200)&gt;0,LOOKUP(2,1/(GarminSessions!$A$2:$A$200=$A12),GarminSessions!$K$2:$K$200),""),"")</f>
        <v/>
      </c>
      <c r="L12" s="80">
        <f>IFERROR(IF(LOOKUP(2,1/(GarminSessions!$A$2:$A$200=$A12),GarminSessions!$L$2:$L$200)&gt;0,LOOKUP(2,1/(GarminSessions!$A$2:$A$200=$A12),GarminSessions!$L$2:$L$200),""),"")</f>
        <v/>
      </c>
      <c r="M12" s="80">
        <f>IFERROR(IF(LOOKUP(2,1/(GarminSessions!$A$2:$A$200=$A12),GarminSessions!$M$2:$M$200)&gt;0,LOOKUP(2,1/(GarminSessions!$A$2:$A$200=$A12),GarminSessions!$M$2:$M$200),""),"")</f>
        <v/>
      </c>
      <c r="N12" s="80">
        <f>IFERROR(IF(LOOKUP(2,1/(GarminSessions!$A$2:$A$200=$A12),GarminSessions!$N$2:$N$200)&gt;0,LOOKUP(2,1/(GarminSessions!$A$2:$A$200=$A12),GarminSessions!$N$2:$N$200),""),"")</f>
        <v/>
      </c>
      <c r="O12" s="81">
        <f>IFERROR(LOOKUP(2,1/(GarminSessions!$A$2:$A$200=$A12),GarminSessions!$O$2:$O$200),"")</f>
        <v/>
      </c>
      <c r="P12" s="16">
        <f>IFERROR(LOOKUP(2,1/(GarminSessions!$A$2:$A$200=$A12),GarminSessions!$P$2:$P$200),"")</f>
        <v/>
      </c>
      <c r="Q12" s="81">
        <f>IFERROR(LOOKUP(2,1/(GarminSessions!$A$2:$A$200=$A12),GarminSessions!$Q$2:$Q$200),"")</f>
        <v/>
      </c>
      <c r="R12" s="17">
        <f>IFERROR(LOOKUP(2,1/(GarminSessions!$A$2:$A$200=$A12),GarminSessions!$R$2:$R$200),"")</f>
        <v/>
      </c>
      <c r="S12" s="17">
        <f>IFERROR(LOOKUP(2,1/(GarminSessions!$A$2:$A$200=$A12),GarminSessions!$S$2:$S$200),"")</f>
        <v/>
      </c>
      <c r="T12" s="14">
        <f>IFERROR(IF(LOOKUP(2,1/(GarminSessions!$A$2:$A$200=$A12),GarminSessions!$U$2:$U$200)="","",LOOKUP(2,1/(GarminSessions!$A$2:$A$200=$A12),GarminSessions!$U$2:$U$200)),"")</f>
        <v/>
      </c>
    </row>
    <row r="13" ht="18.75" customHeight="1" s="141">
      <c r="A13" s="336" t="inlineStr">
        <is>
          <t>P8</t>
        </is>
      </c>
      <c r="B13" s="184">
        <f>IFERROR(LOOKUP(2,1/(GarminSessions!$A$2:$A$200=$A13),GarminSessions!$D$2:$D$200),"")</f>
        <v/>
      </c>
      <c r="C13" s="246">
        <f>IFERROR(IF(LOOKUP(2,1/(GarminSessions!$A$2:$A$200=$A13),GarminSessions!$T$2:$T$200)="","",LOOKUP(2,1/(GarminSessions!$A$2:$A$200=$A13),GarminSessions!$T$2:$T$200)),"")</f>
        <v/>
      </c>
      <c r="D13" s="187">
        <f>COUNT(E13:N13)</f>
        <v/>
      </c>
      <c r="E13" s="185">
        <f>IFERROR(IF(LOOKUP(2,1/(GarminSessions!$A$2:$A$200=$A13),GarminSessions!$E$2:$E$200)&gt;0,LOOKUP(2,1/(GarminSessions!$A$2:$A$200=$A13),GarminSessions!$E$2:$E$200),""),"")</f>
        <v/>
      </c>
      <c r="F13" s="185">
        <f>IFERROR(IF(LOOKUP(2,1/(GarminSessions!$A$2:$A$200=$A13),GarminSessions!$F$2:$F$200)&gt;0,LOOKUP(2,1/(GarminSessions!$A$2:$A$200=$A13),GarminSessions!$F$2:$F$200),""),"")</f>
        <v/>
      </c>
      <c r="G13" s="185">
        <f>IFERROR(IF(LOOKUP(2,1/(GarminSessions!$A$2:$A$200=$A13),GarminSessions!$G$2:$G$200)&gt;0,LOOKUP(2,1/(GarminSessions!$A$2:$A$200=$A13),GarminSessions!$G$2:$G$200),""),"")</f>
        <v/>
      </c>
      <c r="H13" s="185">
        <f>IFERROR(IF(LOOKUP(2,1/(GarminSessions!$A$2:$A$200=$A13),GarminSessions!$H$2:$H$200)&gt;0,LOOKUP(2,1/(GarminSessions!$A$2:$A$200=$A13),GarminSessions!$H$2:$H$200),""),"")</f>
        <v/>
      </c>
      <c r="I13" s="185">
        <f>IFERROR(IF(LOOKUP(2,1/(GarminSessions!$A$2:$A$200=$A13),GarminSessions!$I$2:$I$200)&gt;0,LOOKUP(2,1/(GarminSessions!$A$2:$A$200=$A13),GarminSessions!$I$2:$I$200),""),"")</f>
        <v/>
      </c>
      <c r="J13" s="185">
        <f>IFERROR(IF(LOOKUP(2,1/(GarminSessions!$A$2:$A$200=$A13),GarminSessions!$J$2:$J$200)&gt;0,LOOKUP(2,1/(GarminSessions!$A$2:$A$200=$A13),GarminSessions!$J$2:$J$200),""),"")</f>
        <v/>
      </c>
      <c r="K13" s="185">
        <f>IFERROR(IF(LOOKUP(2,1/(GarminSessions!$A$2:$A$200=$A13),GarminSessions!$K$2:$K$200)&gt;0,LOOKUP(2,1/(GarminSessions!$A$2:$A$200=$A13),GarminSessions!$K$2:$K$200),""),"")</f>
        <v/>
      </c>
      <c r="L13" s="70">
        <f>IFERROR(IF(LOOKUP(2,1/(GarminSessions!$A$2:$A$200=$A13),GarminSessions!$L$2:$L$200)&gt;0,LOOKUP(2,1/(GarminSessions!$A$2:$A$200=$A13),GarminSessions!$L$2:$L$200),""),"")</f>
        <v/>
      </c>
      <c r="M13" s="70">
        <f>IFERROR(IF(LOOKUP(2,1/(GarminSessions!$A$2:$A$200=$A13),GarminSessions!$M$2:$M$200)&gt;0,LOOKUP(2,1/(GarminSessions!$A$2:$A$200=$A13),GarminSessions!$M$2:$M$200),""),"")</f>
        <v/>
      </c>
      <c r="N13" s="70">
        <f>IFERROR(IF(LOOKUP(2,1/(GarminSessions!$A$2:$A$200=$A13),GarminSessions!$N$2:$N$200)&gt;0,LOOKUP(2,1/(GarminSessions!$A$2:$A$200=$A13),GarminSessions!$N$2:$N$200),""),"")</f>
        <v/>
      </c>
      <c r="O13" s="79">
        <f>IFERROR(LOOKUP(2,1/(GarminSessions!$A$2:$A$200=$A13),GarminSessions!$O$2:$O$200),"")</f>
        <v/>
      </c>
      <c r="P13" s="11">
        <f>IFERROR(LOOKUP(2,1/(GarminSessions!$A$2:$A$200=$A13),GarminSessions!$P$2:$P$200),"")</f>
        <v/>
      </c>
      <c r="Q13" s="79">
        <f>IFERROR(LOOKUP(2,1/(GarminSessions!$A$2:$A$200=$A13),GarminSessions!$Q$2:$Q$200),"")</f>
        <v/>
      </c>
      <c r="R13" s="6">
        <f>IFERROR(LOOKUP(2,1/(GarminSessions!$A$2:$A$200=$A13),GarminSessions!$R$2:$R$200),"")</f>
        <v/>
      </c>
      <c r="S13" s="6">
        <f>IFERROR(LOOKUP(2,1/(GarminSessions!$A$2:$A$200=$A13),GarminSessions!$S$2:$S$200),"")</f>
        <v/>
      </c>
      <c r="T13" s="18">
        <f>IFERROR(IF(LOOKUP(2,1/(GarminSessions!$A$2:$A$200=$A13),GarminSessions!$U$2:$U$200)="","",LOOKUP(2,1/(GarminSessions!$A$2:$A$200=$A13),GarminSessions!$U$2:$U$200)),"")</f>
        <v/>
      </c>
    </row>
    <row r="14" ht="18.75" customHeight="1" s="141">
      <c r="A14" s="358" t="inlineStr">
        <is>
          <t>P9</t>
        </is>
      </c>
      <c r="B14" s="239">
        <f>IFERROR(LOOKUP(2,1/(GarminSessions!$A$2:$A$200=$A14),GarminSessions!$D$2:$D$200),"")</f>
        <v/>
      </c>
      <c r="C14" s="240">
        <f>IFERROR(IF(LOOKUP(2,1/(GarminSessions!$A$2:$A$200=$A14),GarminSessions!$T$2:$T$200)="","",LOOKUP(2,1/(GarminSessions!$A$2:$A$200=$A14),GarminSessions!$T$2:$T$200)),"")</f>
        <v/>
      </c>
      <c r="D14" s="241">
        <f>COUNT(E14:N14)</f>
        <v/>
      </c>
      <c r="E14" s="242">
        <f>IFERROR(IF(LOOKUP(2,1/(GarminSessions!$A$2:$A$200=$A14),GarminSessions!$E$2:$E$200)&gt;0,LOOKUP(2,1/(GarminSessions!$A$2:$A$200=$A14),GarminSessions!$E$2:$E$200),""),"")</f>
        <v/>
      </c>
      <c r="F14" s="242">
        <f>IFERROR(IF(LOOKUP(2,1/(GarminSessions!$A$2:$A$200=$A14),GarminSessions!$F$2:$F$200)&gt;0,LOOKUP(2,1/(GarminSessions!$A$2:$A$200=$A14),GarminSessions!$F$2:$F$200),""),"")</f>
        <v/>
      </c>
      <c r="G14" s="242">
        <f>IFERROR(IF(LOOKUP(2,1/(GarminSessions!$A$2:$A$200=$A14),GarminSessions!$G$2:$G$200)&gt;0,LOOKUP(2,1/(GarminSessions!$A$2:$A$200=$A14),GarminSessions!$G$2:$G$200),""),"")</f>
        <v/>
      </c>
      <c r="H14" s="242">
        <f>IFERROR(IF(LOOKUP(2,1/(GarminSessions!$A$2:$A$200=$A14),GarminSessions!$H$2:$H$200)&gt;0,LOOKUP(2,1/(GarminSessions!$A$2:$A$200=$A14),GarminSessions!$H$2:$H$200),""),"")</f>
        <v/>
      </c>
      <c r="I14" s="242">
        <f>IFERROR(IF(LOOKUP(2,1/(GarminSessions!$A$2:$A$200=$A14),GarminSessions!$I$2:$I$200)&gt;0,LOOKUP(2,1/(GarminSessions!$A$2:$A$200=$A14),GarminSessions!$I$2:$I$200),""),"")</f>
        <v/>
      </c>
      <c r="J14" s="242">
        <f>IFERROR(IF(LOOKUP(2,1/(GarminSessions!$A$2:$A$200=$A14),GarminSessions!$J$2:$J$200)&gt;0,LOOKUP(2,1/(GarminSessions!$A$2:$A$200=$A14),GarminSessions!$J$2:$J$200),""),"")</f>
        <v/>
      </c>
      <c r="K14" s="242">
        <f>IFERROR(IF(LOOKUP(2,1/(GarminSessions!$A$2:$A$200=$A14),GarminSessions!$K$2:$K$200)&gt;0,LOOKUP(2,1/(GarminSessions!$A$2:$A$200=$A14),GarminSessions!$K$2:$K$200),""),"")</f>
        <v/>
      </c>
      <c r="L14" s="80">
        <f>IFERROR(IF(LOOKUP(2,1/(GarminSessions!$A$2:$A$200=$A14),GarminSessions!$L$2:$L$200)&gt;0,LOOKUP(2,1/(GarminSessions!$A$2:$A$200=$A14),GarminSessions!$L$2:$L$200),""),"")</f>
        <v/>
      </c>
      <c r="M14" s="80">
        <f>IFERROR(IF(LOOKUP(2,1/(GarminSessions!$A$2:$A$200=$A14),GarminSessions!$M$2:$M$200)&gt;0,LOOKUP(2,1/(GarminSessions!$A$2:$A$200=$A14),GarminSessions!$M$2:$M$200),""),"")</f>
        <v/>
      </c>
      <c r="N14" s="80">
        <f>IFERROR(IF(LOOKUP(2,1/(GarminSessions!$A$2:$A$200=$A14),GarminSessions!$N$2:$N$200)&gt;0,LOOKUP(2,1/(GarminSessions!$A$2:$A$200=$A14),GarminSessions!$N$2:$N$200),""),"")</f>
        <v/>
      </c>
      <c r="O14" s="81">
        <f>IFERROR(LOOKUP(2,1/(GarminSessions!$A$2:$A$200=$A14),GarminSessions!$O$2:$O$200),"")</f>
        <v/>
      </c>
      <c r="P14" s="16">
        <f>IFERROR(LOOKUP(2,1/(GarminSessions!$A$2:$A$200=$A14),GarminSessions!$P$2:$P$200),"")</f>
        <v/>
      </c>
      <c r="Q14" s="81">
        <f>IFERROR(LOOKUP(2,1/(GarminSessions!$A$2:$A$200=$A14),GarminSessions!$Q$2:$Q$200),"")</f>
        <v/>
      </c>
      <c r="R14" s="17">
        <f>IFERROR(LOOKUP(2,1/(GarminSessions!$A$2:$A$200=$A14),GarminSessions!$R$2:$R$200),"")</f>
        <v/>
      </c>
      <c r="S14" s="17">
        <f>IFERROR(LOOKUP(2,1/(GarminSessions!$A$2:$A$200=$A14),GarminSessions!$S$2:$S$200),"")</f>
        <v/>
      </c>
      <c r="T14" s="14">
        <f>IFERROR(IF(LOOKUP(2,1/(GarminSessions!$A$2:$A$200=$A14),GarminSessions!$U$2:$U$200)="","",LOOKUP(2,1/(GarminSessions!$A$2:$A$200=$A14),GarminSessions!$U$2:$U$200)),"")</f>
        <v/>
      </c>
    </row>
    <row r="15" ht="18.75" customHeight="1" s="141">
      <c r="A15" s="336" t="inlineStr">
        <is>
          <t>P10</t>
        </is>
      </c>
      <c r="B15" s="184">
        <f>IFERROR(LOOKUP(2,1/(GarminSessions!$A$2:$A$200=$A15),GarminSessions!$D$2:$D$200),"")</f>
        <v/>
      </c>
      <c r="C15" s="246">
        <f>IFERROR(IF(LOOKUP(2,1/(GarminSessions!$A$2:$A$200=$A15),GarminSessions!$T$2:$T$200)="","",LOOKUP(2,1/(GarminSessions!$A$2:$A$200=$A15),GarminSessions!$T$2:$T$200)),"")</f>
        <v/>
      </c>
      <c r="D15" s="187">
        <f>COUNT(E15:N15)</f>
        <v/>
      </c>
      <c r="E15" s="185">
        <f>IFERROR(IF(LOOKUP(2,1/(GarminSessions!$A$2:$A$200=$A15),GarminSessions!$E$2:$E$200)&gt;0,LOOKUP(2,1/(GarminSessions!$A$2:$A$200=$A15),GarminSessions!$E$2:$E$200),""),"")</f>
        <v/>
      </c>
      <c r="F15" s="185">
        <f>IFERROR(IF(LOOKUP(2,1/(GarminSessions!$A$2:$A$200=$A15),GarminSessions!$F$2:$F$200)&gt;0,LOOKUP(2,1/(GarminSessions!$A$2:$A$200=$A15),GarminSessions!$F$2:$F$200),""),"")</f>
        <v/>
      </c>
      <c r="G15" s="185">
        <f>IFERROR(IF(LOOKUP(2,1/(GarminSessions!$A$2:$A$200=$A15),GarminSessions!$G$2:$G$200)&gt;0,LOOKUP(2,1/(GarminSessions!$A$2:$A$200=$A15),GarminSessions!$G$2:$G$200),""),"")</f>
        <v/>
      </c>
      <c r="H15" s="185">
        <f>IFERROR(IF(LOOKUP(2,1/(GarminSessions!$A$2:$A$200=$A15),GarminSessions!$H$2:$H$200)&gt;0,LOOKUP(2,1/(GarminSessions!$A$2:$A$200=$A15),GarminSessions!$H$2:$H$200),""),"")</f>
        <v/>
      </c>
      <c r="I15" s="185">
        <f>IFERROR(IF(LOOKUP(2,1/(GarminSessions!$A$2:$A$200=$A15),GarminSessions!$I$2:$I$200)&gt;0,LOOKUP(2,1/(GarminSessions!$A$2:$A$200=$A15),GarminSessions!$I$2:$I$200),""),"")</f>
        <v/>
      </c>
      <c r="J15" s="185">
        <f>IFERROR(IF(LOOKUP(2,1/(GarminSessions!$A$2:$A$200=$A15),GarminSessions!$J$2:$J$200)&gt;0,LOOKUP(2,1/(GarminSessions!$A$2:$A$200=$A15),GarminSessions!$J$2:$J$200),""),"")</f>
        <v/>
      </c>
      <c r="K15" s="185">
        <f>IFERROR(IF(LOOKUP(2,1/(GarminSessions!$A$2:$A$200=$A15),GarminSessions!$K$2:$K$200)&gt;0,LOOKUP(2,1/(GarminSessions!$A$2:$A$200=$A15),GarminSessions!$K$2:$K$200),""),"")</f>
        <v/>
      </c>
      <c r="L15" s="70">
        <f>IFERROR(IF(LOOKUP(2,1/(GarminSessions!$A$2:$A$200=$A15),GarminSessions!$L$2:$L$200)&gt;0,LOOKUP(2,1/(GarminSessions!$A$2:$A$200=$A15),GarminSessions!$L$2:$L$200),""),"")</f>
        <v/>
      </c>
      <c r="M15" s="70">
        <f>IFERROR(IF(LOOKUP(2,1/(GarminSessions!$A$2:$A$200=$A15),GarminSessions!$M$2:$M$200)&gt;0,LOOKUP(2,1/(GarminSessions!$A$2:$A$200=$A15),GarminSessions!$M$2:$M$200),""),"")</f>
        <v/>
      </c>
      <c r="N15" s="70">
        <f>IFERROR(IF(LOOKUP(2,1/(GarminSessions!$A$2:$A$200=$A15),GarminSessions!$N$2:$N$200)&gt;0,LOOKUP(2,1/(GarminSessions!$A$2:$A$200=$A15),GarminSessions!$N$2:$N$200),""),"")</f>
        <v/>
      </c>
      <c r="O15" s="79">
        <f>IFERROR(LOOKUP(2,1/(GarminSessions!$A$2:$A$200=$A15),GarminSessions!$O$2:$O$200),"")</f>
        <v/>
      </c>
      <c r="P15" s="11">
        <f>IFERROR(LOOKUP(2,1/(GarminSessions!$A$2:$A$200=$A15),GarminSessions!$P$2:$P$200),"")</f>
        <v/>
      </c>
      <c r="Q15" s="79">
        <f>IFERROR(LOOKUP(2,1/(GarminSessions!$A$2:$A$200=$A15),GarminSessions!$Q$2:$Q$200),"")</f>
        <v/>
      </c>
      <c r="R15" s="6">
        <f>IFERROR(LOOKUP(2,1/(GarminSessions!$A$2:$A$200=$A15),GarminSessions!$R$2:$R$200),"")</f>
        <v/>
      </c>
      <c r="S15" s="6">
        <f>IFERROR(LOOKUP(2,1/(GarminSessions!$A$2:$A$200=$A15),GarminSessions!$S$2:$S$200),"")</f>
        <v/>
      </c>
      <c r="T15" s="18">
        <f>IFERROR(IF(LOOKUP(2,1/(GarminSessions!$A$2:$A$200=$A15),GarminSessions!$U$2:$U$200)="","",LOOKUP(2,1/(GarminSessions!$A$2:$A$200=$A15),GarminSessions!$U$2:$U$200)),"")</f>
        <v/>
      </c>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row>
    <row r="17" ht="18.75" customHeight="1" s="141">
      <c r="A17" s="359" t="inlineStr">
        <is>
          <t>S1</t>
        </is>
      </c>
      <c r="B17" s="247">
        <f>IFERROR(LOOKUP(2,1/(GarminSessions!$A$2:$A$200=$A17),GarminSessions!$D$2:$D$200),"")</f>
        <v/>
      </c>
      <c r="C17" s="248">
        <f>IFERROR(IF(LOOKUP(2,1/(GarminSessions!$A$2:$A$200=$A17),GarminSessions!$T$2:$T$200)="","",LOOKUP(2,1/(GarminSessions!$A$2:$A$200=$A17),GarminSessions!$T$2:$T$200)),"")</f>
        <v/>
      </c>
      <c r="D17" s="249">
        <f>COUNT(E17:N17)</f>
        <v/>
      </c>
      <c r="E17" s="250">
        <f>IFERROR(IF(LOOKUP(2,1/(GarminSessions!$A$2:$A$200=$A17),GarminSessions!$E$2:$E$200)&gt;0,LOOKUP(2,1/(GarminSessions!$A$2:$A$200=$A17),GarminSessions!$E$2:$E$200),""),"")</f>
        <v/>
      </c>
      <c r="F17" s="250">
        <f>IFERROR(IF(LOOKUP(2,1/(GarminSessions!$A$2:$A$200=$A17),GarminSessions!$F$2:$F$200)&gt;0,LOOKUP(2,1/(GarminSessions!$A$2:$A$200=$A17),GarminSessions!$F$2:$F$200),""),"")</f>
        <v/>
      </c>
      <c r="G17" s="250">
        <f>IFERROR(IF(LOOKUP(2,1/(GarminSessions!$A$2:$A$200=$A17),GarminSessions!$G$2:$G$200)&gt;0,LOOKUP(2,1/(GarminSessions!$A$2:$A$200=$A17),GarminSessions!$G$2:$G$200),""),"")</f>
        <v/>
      </c>
      <c r="H17" s="250">
        <f>IFERROR(IF(LOOKUP(2,1/(GarminSessions!$A$2:$A$200=$A17),GarminSessions!$H$2:$H$200)&gt;0,LOOKUP(2,1/(GarminSessions!$A$2:$A$200=$A17),GarminSessions!$H$2:$H$200),""),"")</f>
        <v/>
      </c>
      <c r="I17" s="250">
        <f>IFERROR(IF(LOOKUP(2,1/(GarminSessions!$A$2:$A$200=$A17),GarminSessions!$I$2:$I$200)&gt;0,LOOKUP(2,1/(GarminSessions!$A$2:$A$200=$A17),GarminSessions!$I$2:$I$200),""),"")</f>
        <v/>
      </c>
      <c r="J17" s="250">
        <f>IFERROR(IF(LOOKUP(2,1/(GarminSessions!$A$2:$A$200=$A17),GarminSessions!$J$2:$J$200)&gt;0,LOOKUP(2,1/(GarminSessions!$A$2:$A$200=$A17),GarminSessions!$J$2:$J$200),""),"")</f>
        <v/>
      </c>
      <c r="K17" s="250">
        <f>IFERROR(IF(LOOKUP(2,1/(GarminSessions!$A$2:$A$200=$A17),GarminSessions!$K$2:$K$200)&gt;0,LOOKUP(2,1/(GarminSessions!$A$2:$A$200=$A17),GarminSessions!$K$2:$K$200),""),"")</f>
        <v/>
      </c>
      <c r="L17" s="82">
        <f>IFERROR(IF(LOOKUP(2,1/(GarminSessions!$A$2:$A$200=$A17),GarminSessions!$L$2:$L$200)&gt;0,LOOKUP(2,1/(GarminSessions!$A$2:$A$200=$A17),GarminSessions!$L$2:$L$200),""),"")</f>
        <v/>
      </c>
      <c r="M17" s="82">
        <f>IFERROR(IF(LOOKUP(2,1/(GarminSessions!$A$2:$A$200=$A17),GarminSessions!$M$2:$M$200)&gt;0,LOOKUP(2,1/(GarminSessions!$A$2:$A$200=$A17),GarminSessions!$M$2:$M$200),""),"")</f>
        <v/>
      </c>
      <c r="N17" s="82">
        <f>IFERROR(IF(LOOKUP(2,1/(GarminSessions!$A$2:$A$200=$A17),GarminSessions!$N$2:$N$200)&gt;0,LOOKUP(2,1/(GarminSessions!$A$2:$A$200=$A17),GarminSessions!$N$2:$N$200),""),"")</f>
        <v/>
      </c>
      <c r="O17" s="83">
        <f>IFERROR(LOOKUP(2,1/(GarminSessions!$A$2:$A$200=$A17),GarminSessions!$O$2:$O$200),"")</f>
        <v/>
      </c>
      <c r="P17" s="22">
        <f>IFERROR(LOOKUP(2,1/(GarminSessions!$A$2:$A$200=$A17),GarminSessions!$P$2:$P$200),"")</f>
        <v/>
      </c>
      <c r="Q17" s="83">
        <f>IFERROR(LOOKUP(2,1/(GarminSessions!$A$2:$A$200=$A17),GarminSessions!$Q$2:$Q$200),"")</f>
        <v/>
      </c>
      <c r="R17" s="23">
        <f>IFERROR(LOOKUP(2,1/(GarminSessions!$A$2:$A$200=$A17),GarminSessions!$R$2:$R$200),"")</f>
        <v/>
      </c>
      <c r="S17" s="23">
        <f>IFERROR(LOOKUP(2,1/(GarminSessions!$A$2:$A$200=$A17),GarminSessions!$S$2:$S$200),"")</f>
        <v/>
      </c>
      <c r="T17" s="20">
        <f>IFERROR(IF(LOOKUP(2,1/(GarminSessions!$A$2:$A$200=$A17),GarminSessions!$U$2:$U$200)="","",LOOKUP(2,1/(GarminSessions!$A$2:$A$200=$A17),GarminSessions!$U$2:$U$200)),"")</f>
        <v/>
      </c>
    </row>
    <row r="18" ht="18.75" customHeight="1" s="141">
      <c r="A18" s="336" t="inlineStr">
        <is>
          <t>S2</t>
        </is>
      </c>
      <c r="B18" s="184">
        <f>IFERROR(LOOKUP(2,1/(GarminSessions!$A$2:$A$200=$A18),GarminSessions!$D$2:$D$200),"")</f>
        <v/>
      </c>
      <c r="C18" s="246">
        <f>IFERROR(IF(LOOKUP(2,1/(GarminSessions!$A$2:$A$200=$A18),GarminSessions!$T$2:$T$200)="","",LOOKUP(2,1/(GarminSessions!$A$2:$A$200=$A18),GarminSessions!$T$2:$T$200)),"")</f>
        <v/>
      </c>
      <c r="D18" s="187">
        <f>COUNT(E18:N18)</f>
        <v/>
      </c>
      <c r="E18" s="185">
        <f>IFERROR(IF(LOOKUP(2,1/(GarminSessions!$A$2:$A$200=$A18),GarminSessions!$E$2:$E$200)&gt;0,LOOKUP(2,1/(GarminSessions!$A$2:$A$200=$A18),GarminSessions!$E$2:$E$200),""),"")</f>
        <v/>
      </c>
      <c r="F18" s="185">
        <f>IFERROR(IF(LOOKUP(2,1/(GarminSessions!$A$2:$A$200=$A18),GarminSessions!$F$2:$F$200)&gt;0,LOOKUP(2,1/(GarminSessions!$A$2:$A$200=$A18),GarminSessions!$F$2:$F$200),""),"")</f>
        <v/>
      </c>
      <c r="G18" s="185">
        <f>IFERROR(IF(LOOKUP(2,1/(GarminSessions!$A$2:$A$200=$A18),GarminSessions!$G$2:$G$200)&gt;0,LOOKUP(2,1/(GarminSessions!$A$2:$A$200=$A18),GarminSessions!$G$2:$G$200),""),"")</f>
        <v/>
      </c>
      <c r="H18" s="185">
        <f>IFERROR(IF(LOOKUP(2,1/(GarminSessions!$A$2:$A$200=$A18),GarminSessions!$H$2:$H$200)&gt;0,LOOKUP(2,1/(GarminSessions!$A$2:$A$200=$A18),GarminSessions!$H$2:$H$200),""),"")</f>
        <v/>
      </c>
      <c r="I18" s="185">
        <f>IFERROR(IF(LOOKUP(2,1/(GarminSessions!$A$2:$A$200=$A18),GarminSessions!$I$2:$I$200)&gt;0,LOOKUP(2,1/(GarminSessions!$A$2:$A$200=$A18),GarminSessions!$I$2:$I$200),""),"")</f>
        <v/>
      </c>
      <c r="J18" s="185">
        <f>IFERROR(IF(LOOKUP(2,1/(GarminSessions!$A$2:$A$200=$A18),GarminSessions!$J$2:$J$200)&gt;0,LOOKUP(2,1/(GarminSessions!$A$2:$A$200=$A18),GarminSessions!$J$2:$J$200),""),"")</f>
        <v/>
      </c>
      <c r="K18" s="185">
        <f>IFERROR(IF(LOOKUP(2,1/(GarminSessions!$A$2:$A$200=$A18),GarminSessions!$K$2:$K$200)&gt;0,LOOKUP(2,1/(GarminSessions!$A$2:$A$200=$A18),GarminSessions!$K$2:$K$200),""),"")</f>
        <v/>
      </c>
      <c r="L18" s="70">
        <f>IFERROR(IF(LOOKUP(2,1/(GarminSessions!$A$2:$A$200=$A18),GarminSessions!$L$2:$L$200)&gt;0,LOOKUP(2,1/(GarminSessions!$A$2:$A$200=$A18),GarminSessions!$L$2:$L$200),""),"")</f>
        <v/>
      </c>
      <c r="M18" s="70">
        <f>IFERROR(IF(LOOKUP(2,1/(GarminSessions!$A$2:$A$200=$A18),GarminSessions!$M$2:$M$200)&gt;0,LOOKUP(2,1/(GarminSessions!$A$2:$A$200=$A18),GarminSessions!$M$2:$M$200),""),"")</f>
        <v/>
      </c>
      <c r="N18" s="70">
        <f>IFERROR(IF(LOOKUP(2,1/(GarminSessions!$A$2:$A$200=$A18),GarminSessions!$N$2:$N$200)&gt;0,LOOKUP(2,1/(GarminSessions!$A$2:$A$200=$A18),GarminSessions!$N$2:$N$200),""),"")</f>
        <v/>
      </c>
      <c r="O18" s="79">
        <f>IFERROR(LOOKUP(2,1/(GarminSessions!$A$2:$A$200=$A18),GarminSessions!$O$2:$O$200),"")</f>
        <v/>
      </c>
      <c r="P18" s="11">
        <f>IFERROR(LOOKUP(2,1/(GarminSessions!$A$2:$A$200=$A18),GarminSessions!$P$2:$P$200),"")</f>
        <v/>
      </c>
      <c r="Q18" s="79">
        <f>IFERROR(LOOKUP(2,1/(GarminSessions!$A$2:$A$200=$A18),GarminSessions!$Q$2:$Q$200),"")</f>
        <v/>
      </c>
      <c r="R18" s="6">
        <f>IFERROR(LOOKUP(2,1/(GarminSessions!$A$2:$A$200=$A18),GarminSessions!$R$2:$R$200),"")</f>
        <v/>
      </c>
      <c r="S18" s="6">
        <f>IFERROR(LOOKUP(2,1/(GarminSessions!$A$2:$A$200=$A18),GarminSessions!$S$2:$S$200),"")</f>
        <v/>
      </c>
      <c r="T18" s="18">
        <f>IFERROR(IF(LOOKUP(2,1/(GarminSessions!$A$2:$A$200=$A18),GarminSessions!$U$2:$U$200)="","",LOOKUP(2,1/(GarminSessions!$A$2:$A$200=$A18),GarminSessions!$U$2:$U$200)),"")</f>
        <v/>
      </c>
    </row>
    <row r="19" ht="18.75" customHeight="1" s="141">
      <c r="A19" s="359" t="inlineStr">
        <is>
          <t>S3</t>
        </is>
      </c>
      <c r="B19" s="247">
        <f>IFERROR(LOOKUP(2,1/(GarminSessions!$A$2:$A$200=$A19),GarminSessions!$D$2:$D$200),"")</f>
        <v/>
      </c>
      <c r="C19" s="248">
        <f>IFERROR(IF(LOOKUP(2,1/(GarminSessions!$A$2:$A$200=$A19),GarminSessions!$T$2:$T$200)="","",LOOKUP(2,1/(GarminSessions!$A$2:$A$200=$A19),GarminSessions!$T$2:$T$200)),"")</f>
        <v/>
      </c>
      <c r="D19" s="249">
        <f>COUNT(E19:N19)</f>
        <v/>
      </c>
      <c r="E19" s="250">
        <f>IFERROR(IF(LOOKUP(2,1/(GarminSessions!$A$2:$A$200=$A19),GarminSessions!$E$2:$E$200)&gt;0,LOOKUP(2,1/(GarminSessions!$A$2:$A$200=$A19),GarminSessions!$E$2:$E$200),""),"")</f>
        <v/>
      </c>
      <c r="F19" s="250">
        <f>IFERROR(IF(LOOKUP(2,1/(GarminSessions!$A$2:$A$200=$A19),GarminSessions!$F$2:$F$200)&gt;0,LOOKUP(2,1/(GarminSessions!$A$2:$A$200=$A19),GarminSessions!$F$2:$F$200),""),"")</f>
        <v/>
      </c>
      <c r="G19" s="250">
        <f>IFERROR(IF(LOOKUP(2,1/(GarminSessions!$A$2:$A$200=$A19),GarminSessions!$G$2:$G$200)&gt;0,LOOKUP(2,1/(GarminSessions!$A$2:$A$200=$A19),GarminSessions!$G$2:$G$200),""),"")</f>
        <v/>
      </c>
      <c r="H19" s="250">
        <f>IFERROR(IF(LOOKUP(2,1/(GarminSessions!$A$2:$A$200=$A19),GarminSessions!$H$2:$H$200)&gt;0,LOOKUP(2,1/(GarminSessions!$A$2:$A$200=$A19),GarminSessions!$H$2:$H$200),""),"")</f>
        <v/>
      </c>
      <c r="I19" s="250">
        <f>IFERROR(IF(LOOKUP(2,1/(GarminSessions!$A$2:$A$200=$A19),GarminSessions!$I$2:$I$200)&gt;0,LOOKUP(2,1/(GarminSessions!$A$2:$A$200=$A19),GarminSessions!$I$2:$I$200),""),"")</f>
        <v/>
      </c>
      <c r="J19" s="250">
        <f>IFERROR(IF(LOOKUP(2,1/(GarminSessions!$A$2:$A$200=$A19),GarminSessions!$J$2:$J$200)&gt;0,LOOKUP(2,1/(GarminSessions!$A$2:$A$200=$A19),GarminSessions!$J$2:$J$200),""),"")</f>
        <v/>
      </c>
      <c r="K19" s="250">
        <f>IFERROR(IF(LOOKUP(2,1/(GarminSessions!$A$2:$A$200=$A19),GarminSessions!$K$2:$K$200)&gt;0,LOOKUP(2,1/(GarminSessions!$A$2:$A$200=$A19),GarminSessions!$K$2:$K$200),""),"")</f>
        <v/>
      </c>
      <c r="L19" s="82">
        <f>IFERROR(IF(LOOKUP(2,1/(GarminSessions!$A$2:$A$200=$A19),GarminSessions!$L$2:$L$200)&gt;0,LOOKUP(2,1/(GarminSessions!$A$2:$A$200=$A19),GarminSessions!$L$2:$L$200),""),"")</f>
        <v/>
      </c>
      <c r="M19" s="82">
        <f>IFERROR(IF(LOOKUP(2,1/(GarminSessions!$A$2:$A$200=$A19),GarminSessions!$M$2:$M$200)&gt;0,LOOKUP(2,1/(GarminSessions!$A$2:$A$200=$A19),GarminSessions!$M$2:$M$200),""),"")</f>
        <v/>
      </c>
      <c r="N19" s="82">
        <f>IFERROR(IF(LOOKUP(2,1/(GarminSessions!$A$2:$A$200=$A19),GarminSessions!$N$2:$N$200)&gt;0,LOOKUP(2,1/(GarminSessions!$A$2:$A$200=$A19),GarminSessions!$N$2:$N$200),""),"")</f>
        <v/>
      </c>
      <c r="O19" s="83">
        <f>IFERROR(LOOKUP(2,1/(GarminSessions!$A$2:$A$200=$A19),GarminSessions!$O$2:$O$200),"")</f>
        <v/>
      </c>
      <c r="P19" s="22">
        <f>IFERROR(LOOKUP(2,1/(GarminSessions!$A$2:$A$200=$A19),GarminSessions!$P$2:$P$200),"")</f>
        <v/>
      </c>
      <c r="Q19" s="83">
        <f>IFERROR(LOOKUP(2,1/(GarminSessions!$A$2:$A$200=$A19),GarminSessions!$Q$2:$Q$200),"")</f>
        <v/>
      </c>
      <c r="R19" s="23">
        <f>IFERROR(LOOKUP(2,1/(GarminSessions!$A$2:$A$200=$A19),GarminSessions!$R$2:$R$200),"")</f>
        <v/>
      </c>
      <c r="S19" s="23">
        <f>IFERROR(LOOKUP(2,1/(GarminSessions!$A$2:$A$200=$A19),GarminSessions!$S$2:$S$200),"")</f>
        <v/>
      </c>
      <c r="T19" s="20">
        <f>IFERROR(IF(LOOKUP(2,1/(GarminSessions!$A$2:$A$200=$A19),GarminSessions!$U$2:$U$200)="","",LOOKUP(2,1/(GarminSessions!$A$2:$A$200=$A19),GarminSessions!$U$2:$U$200)),"")</f>
        <v/>
      </c>
    </row>
    <row r="20" ht="18.75" customHeight="1" s="141">
      <c r="A20" s="336" t="inlineStr">
        <is>
          <t>S4</t>
        </is>
      </c>
      <c r="B20" s="184">
        <f>IFERROR(LOOKUP(2,1/(GarminSessions!$A$2:$A$200=$A20),GarminSessions!$D$2:$D$200),"")</f>
        <v/>
      </c>
      <c r="C20" s="246">
        <f>IFERROR(IF(LOOKUP(2,1/(GarminSessions!$A$2:$A$200=$A20),GarminSessions!$T$2:$T$200)="","",LOOKUP(2,1/(GarminSessions!$A$2:$A$200=$A20),GarminSessions!$T$2:$T$200)),"")</f>
        <v/>
      </c>
      <c r="D20" s="187">
        <f>COUNT(E20:N20)</f>
        <v/>
      </c>
      <c r="E20" s="185">
        <f>IFERROR(IF(LOOKUP(2,1/(GarminSessions!$A$2:$A$200=$A20),GarminSessions!$E$2:$E$200)&gt;0,LOOKUP(2,1/(GarminSessions!$A$2:$A$200=$A20),GarminSessions!$E$2:$E$200),""),"")</f>
        <v/>
      </c>
      <c r="F20" s="185">
        <f>IFERROR(IF(LOOKUP(2,1/(GarminSessions!$A$2:$A$200=$A20),GarminSessions!$F$2:$F$200)&gt;0,LOOKUP(2,1/(GarminSessions!$A$2:$A$200=$A20),GarminSessions!$F$2:$F$200),""),"")</f>
        <v/>
      </c>
      <c r="G20" s="185">
        <f>IFERROR(IF(LOOKUP(2,1/(GarminSessions!$A$2:$A$200=$A20),GarminSessions!$G$2:$G$200)&gt;0,LOOKUP(2,1/(GarminSessions!$A$2:$A$200=$A20),GarminSessions!$G$2:$G$200),""),"")</f>
        <v/>
      </c>
      <c r="H20" s="185">
        <f>IFERROR(IF(LOOKUP(2,1/(GarminSessions!$A$2:$A$200=$A20),GarminSessions!$H$2:$H$200)&gt;0,LOOKUP(2,1/(GarminSessions!$A$2:$A$200=$A20),GarminSessions!$H$2:$H$200),""),"")</f>
        <v/>
      </c>
      <c r="I20" s="185">
        <f>IFERROR(IF(LOOKUP(2,1/(GarminSessions!$A$2:$A$200=$A20),GarminSessions!$I$2:$I$200)&gt;0,LOOKUP(2,1/(GarminSessions!$A$2:$A$200=$A20),GarminSessions!$I$2:$I$200),""),"")</f>
        <v/>
      </c>
      <c r="J20" s="185">
        <f>IFERROR(IF(LOOKUP(2,1/(GarminSessions!$A$2:$A$200=$A20),GarminSessions!$J$2:$J$200)&gt;0,LOOKUP(2,1/(GarminSessions!$A$2:$A$200=$A20),GarminSessions!$J$2:$J$200),""),"")</f>
        <v/>
      </c>
      <c r="K20" s="185">
        <f>IFERROR(IF(LOOKUP(2,1/(GarminSessions!$A$2:$A$200=$A20),GarminSessions!$K$2:$K$200)&gt;0,LOOKUP(2,1/(GarminSessions!$A$2:$A$200=$A20),GarminSessions!$K$2:$K$200),""),"")</f>
        <v/>
      </c>
      <c r="L20" s="70">
        <f>IFERROR(IF(LOOKUP(2,1/(GarminSessions!$A$2:$A$200=$A20),GarminSessions!$L$2:$L$200)&gt;0,LOOKUP(2,1/(GarminSessions!$A$2:$A$200=$A20),GarminSessions!$L$2:$L$200),""),"")</f>
        <v/>
      </c>
      <c r="M20" s="70">
        <f>IFERROR(IF(LOOKUP(2,1/(GarminSessions!$A$2:$A$200=$A20),GarminSessions!$M$2:$M$200)&gt;0,LOOKUP(2,1/(GarminSessions!$A$2:$A$200=$A20),GarminSessions!$M$2:$M$200),""),"")</f>
        <v/>
      </c>
      <c r="N20" s="70">
        <f>IFERROR(IF(LOOKUP(2,1/(GarminSessions!$A$2:$A$200=$A20),GarminSessions!$N$2:$N$200)&gt;0,LOOKUP(2,1/(GarminSessions!$A$2:$A$200=$A20),GarminSessions!$N$2:$N$200),""),"")</f>
        <v/>
      </c>
      <c r="O20" s="79">
        <f>IFERROR(LOOKUP(2,1/(GarminSessions!$A$2:$A$200=$A20),GarminSessions!$O$2:$O$200),"")</f>
        <v/>
      </c>
      <c r="P20" s="11">
        <f>IFERROR(LOOKUP(2,1/(GarminSessions!$A$2:$A$200=$A20),GarminSessions!$P$2:$P$200),"")</f>
        <v/>
      </c>
      <c r="Q20" s="79">
        <f>IFERROR(LOOKUP(2,1/(GarminSessions!$A$2:$A$200=$A20),GarminSessions!$Q$2:$Q$200),"")</f>
        <v/>
      </c>
      <c r="R20" s="6">
        <f>IFERROR(LOOKUP(2,1/(GarminSessions!$A$2:$A$200=$A20),GarminSessions!$R$2:$R$200),"")</f>
        <v/>
      </c>
      <c r="S20" s="6">
        <f>IFERROR(LOOKUP(2,1/(GarminSessions!$A$2:$A$200=$A20),GarminSessions!$S$2:$S$200),"")</f>
        <v/>
      </c>
      <c r="T20" s="18">
        <f>IFERROR(IF(LOOKUP(2,1/(GarminSessions!$A$2:$A$200=$A20),GarminSessions!$U$2:$U$200)="","",LOOKUP(2,1/(GarminSessions!$A$2:$A$200=$A20),GarminSessions!$U$2:$U$200)),"")</f>
        <v/>
      </c>
    </row>
    <row r="21" ht="18.75" customHeight="1" s="141">
      <c r="A21" s="359" t="inlineStr">
        <is>
          <t>S5</t>
        </is>
      </c>
      <c r="B21" s="247">
        <f>IFERROR(LOOKUP(2,1/(GarminSessions!$A$2:$A$200=$A21),GarminSessions!$D$2:$D$200),"")</f>
        <v/>
      </c>
      <c r="C21" s="248">
        <f>IFERROR(IF(LOOKUP(2,1/(GarminSessions!$A$2:$A$200=$A21),GarminSessions!$T$2:$T$200)="","",LOOKUP(2,1/(GarminSessions!$A$2:$A$200=$A21),GarminSessions!$T$2:$T$200)),"")</f>
        <v/>
      </c>
      <c r="D21" s="249">
        <f>COUNT(E21:N21)</f>
        <v/>
      </c>
      <c r="E21" s="250">
        <f>IFERROR(IF(LOOKUP(2,1/(GarminSessions!$A$2:$A$200=$A21),GarminSessions!$E$2:$E$200)&gt;0,LOOKUP(2,1/(GarminSessions!$A$2:$A$200=$A21),GarminSessions!$E$2:$E$200),""),"")</f>
        <v/>
      </c>
      <c r="F21" s="250">
        <f>IFERROR(IF(LOOKUP(2,1/(GarminSessions!$A$2:$A$200=$A21),GarminSessions!$F$2:$F$200)&gt;0,LOOKUP(2,1/(GarminSessions!$A$2:$A$200=$A21),GarminSessions!$F$2:$F$200),""),"")</f>
        <v/>
      </c>
      <c r="G21" s="250">
        <f>IFERROR(IF(LOOKUP(2,1/(GarminSessions!$A$2:$A$200=$A21),GarminSessions!$G$2:$G$200)&gt;0,LOOKUP(2,1/(GarminSessions!$A$2:$A$200=$A21),GarminSessions!$G$2:$G$200),""),"")</f>
        <v/>
      </c>
      <c r="H21" s="250">
        <f>IFERROR(IF(LOOKUP(2,1/(GarminSessions!$A$2:$A$200=$A21),GarminSessions!$H$2:$H$200)&gt;0,LOOKUP(2,1/(GarminSessions!$A$2:$A$200=$A21),GarminSessions!$H$2:$H$200),""),"")</f>
        <v/>
      </c>
      <c r="I21" s="250">
        <f>IFERROR(IF(LOOKUP(2,1/(GarminSessions!$A$2:$A$200=$A21),GarminSessions!$I$2:$I$200)&gt;0,LOOKUP(2,1/(GarminSessions!$A$2:$A$200=$A21),GarminSessions!$I$2:$I$200),""),"")</f>
        <v/>
      </c>
      <c r="J21" s="250">
        <f>IFERROR(IF(LOOKUP(2,1/(GarminSessions!$A$2:$A$200=$A21),GarminSessions!$J$2:$J$200)&gt;0,LOOKUP(2,1/(GarminSessions!$A$2:$A$200=$A21),GarminSessions!$J$2:$J$200),""),"")</f>
        <v/>
      </c>
      <c r="K21" s="250">
        <f>IFERROR(IF(LOOKUP(2,1/(GarminSessions!$A$2:$A$200=$A21),GarminSessions!$K$2:$K$200)&gt;0,LOOKUP(2,1/(GarminSessions!$A$2:$A$200=$A21),GarminSessions!$K$2:$K$200),""),"")</f>
        <v/>
      </c>
      <c r="L21" s="82">
        <f>IFERROR(IF(LOOKUP(2,1/(GarminSessions!$A$2:$A$200=$A21),GarminSessions!$L$2:$L$200)&gt;0,LOOKUP(2,1/(GarminSessions!$A$2:$A$200=$A21),GarminSessions!$L$2:$L$200),""),"")</f>
        <v/>
      </c>
      <c r="M21" s="82">
        <f>IFERROR(IF(LOOKUP(2,1/(GarminSessions!$A$2:$A$200=$A21),GarminSessions!$M$2:$M$200)&gt;0,LOOKUP(2,1/(GarminSessions!$A$2:$A$200=$A21),GarminSessions!$M$2:$M$200),""),"")</f>
        <v/>
      </c>
      <c r="N21" s="82">
        <f>IFERROR(IF(LOOKUP(2,1/(GarminSessions!$A$2:$A$200=$A21),GarminSessions!$N$2:$N$200)&gt;0,LOOKUP(2,1/(GarminSessions!$A$2:$A$200=$A21),GarminSessions!$N$2:$N$200),""),"")</f>
        <v/>
      </c>
      <c r="O21" s="83">
        <f>IFERROR(LOOKUP(2,1/(GarminSessions!$A$2:$A$200=$A21),GarminSessions!$O$2:$O$200),"")</f>
        <v/>
      </c>
      <c r="P21" s="22">
        <f>IFERROR(LOOKUP(2,1/(GarminSessions!$A$2:$A$200=$A21),GarminSessions!$P$2:$P$200),"")</f>
        <v/>
      </c>
      <c r="Q21" s="83">
        <f>IFERROR(LOOKUP(2,1/(GarminSessions!$A$2:$A$200=$A21),GarminSessions!$Q$2:$Q$200),"")</f>
        <v/>
      </c>
      <c r="R21" s="23">
        <f>IFERROR(LOOKUP(2,1/(GarminSessions!$A$2:$A$200=$A21),GarminSessions!$R$2:$R$200),"")</f>
        <v/>
      </c>
      <c r="S21" s="23">
        <f>IFERROR(LOOKUP(2,1/(GarminSessions!$A$2:$A$200=$A21),GarminSessions!$S$2:$S$200),"")</f>
        <v/>
      </c>
      <c r="T21" s="20">
        <f>IFERROR(IF(LOOKUP(2,1/(GarminSessions!$A$2:$A$200=$A21),GarminSessions!$U$2:$U$200)="","",LOOKUP(2,1/(GarminSessions!$A$2:$A$200=$A21),GarminSessions!$U$2:$U$200)),"")</f>
        <v/>
      </c>
    </row>
    <row r="22" ht="18.75" customHeight="1" s="141">
      <c r="A22" s="336" t="inlineStr">
        <is>
          <t>S6</t>
        </is>
      </c>
      <c r="B22" s="184">
        <f>IFERROR(LOOKUP(2,1/(GarminSessions!$A$2:$A$200=$A22),GarminSessions!$D$2:$D$200),"")</f>
        <v/>
      </c>
      <c r="C22" s="246">
        <f>IFERROR(IF(LOOKUP(2,1/(GarminSessions!$A$2:$A$200=$A22),GarminSessions!$T$2:$T$200)="","",LOOKUP(2,1/(GarminSessions!$A$2:$A$200=$A22),GarminSessions!$T$2:$T$200)),"")</f>
        <v/>
      </c>
      <c r="D22" s="187">
        <f>COUNT(E22:N22)</f>
        <v/>
      </c>
      <c r="E22" s="185">
        <f>IFERROR(IF(LOOKUP(2,1/(GarminSessions!$A$2:$A$200=$A22),GarminSessions!$E$2:$E$200)&gt;0,LOOKUP(2,1/(GarminSessions!$A$2:$A$200=$A22),GarminSessions!$E$2:$E$200),""),"")</f>
        <v/>
      </c>
      <c r="F22" s="185">
        <f>IFERROR(IF(LOOKUP(2,1/(GarminSessions!$A$2:$A$200=$A22),GarminSessions!$F$2:$F$200)&gt;0,LOOKUP(2,1/(GarminSessions!$A$2:$A$200=$A22),GarminSessions!$F$2:$F$200),""),"")</f>
        <v/>
      </c>
      <c r="G22" s="185">
        <f>IFERROR(IF(LOOKUP(2,1/(GarminSessions!$A$2:$A$200=$A22),GarminSessions!$G$2:$G$200)&gt;0,LOOKUP(2,1/(GarminSessions!$A$2:$A$200=$A22),GarminSessions!$G$2:$G$200),""),"")</f>
        <v/>
      </c>
      <c r="H22" s="185">
        <f>IFERROR(IF(LOOKUP(2,1/(GarminSessions!$A$2:$A$200=$A22),GarminSessions!$H$2:$H$200)&gt;0,LOOKUP(2,1/(GarminSessions!$A$2:$A$200=$A22),GarminSessions!$H$2:$H$200),""),"")</f>
        <v/>
      </c>
      <c r="I22" s="185">
        <f>IFERROR(IF(LOOKUP(2,1/(GarminSessions!$A$2:$A$200=$A22),GarminSessions!$I$2:$I$200)&gt;0,LOOKUP(2,1/(GarminSessions!$A$2:$A$200=$A22),GarminSessions!$I$2:$I$200),""),"")</f>
        <v/>
      </c>
      <c r="J22" s="185">
        <f>IFERROR(IF(LOOKUP(2,1/(GarminSessions!$A$2:$A$200=$A22),GarminSessions!$J$2:$J$200)&gt;0,LOOKUP(2,1/(GarminSessions!$A$2:$A$200=$A22),GarminSessions!$J$2:$J$200),""),"")</f>
        <v/>
      </c>
      <c r="K22" s="185">
        <f>IFERROR(IF(LOOKUP(2,1/(GarminSessions!$A$2:$A$200=$A22),GarminSessions!$K$2:$K$200)&gt;0,LOOKUP(2,1/(GarminSessions!$A$2:$A$200=$A22),GarminSessions!$K$2:$K$200),""),"")</f>
        <v/>
      </c>
      <c r="L22" s="70">
        <f>IFERROR(IF(LOOKUP(2,1/(GarminSessions!$A$2:$A$200=$A22),GarminSessions!$L$2:$L$200)&gt;0,LOOKUP(2,1/(GarminSessions!$A$2:$A$200=$A22),GarminSessions!$L$2:$L$200),""),"")</f>
        <v/>
      </c>
      <c r="M22" s="70">
        <f>IFERROR(IF(LOOKUP(2,1/(GarminSessions!$A$2:$A$200=$A22),GarminSessions!$M$2:$M$200)&gt;0,LOOKUP(2,1/(GarminSessions!$A$2:$A$200=$A22),GarminSessions!$M$2:$M$200),""),"")</f>
        <v/>
      </c>
      <c r="N22" s="70">
        <f>IFERROR(IF(LOOKUP(2,1/(GarminSessions!$A$2:$A$200=$A22),GarminSessions!$N$2:$N$200)&gt;0,LOOKUP(2,1/(GarminSessions!$A$2:$A$200=$A22),GarminSessions!$N$2:$N$200),""),"")</f>
        <v/>
      </c>
      <c r="O22" s="79">
        <f>IFERROR(LOOKUP(2,1/(GarminSessions!$A$2:$A$200=$A22),GarminSessions!$O$2:$O$200),"")</f>
        <v/>
      </c>
      <c r="P22" s="11">
        <f>IFERROR(LOOKUP(2,1/(GarminSessions!$A$2:$A$200=$A22),GarminSessions!$P$2:$P$200),"")</f>
        <v/>
      </c>
      <c r="Q22" s="79">
        <f>IFERROR(LOOKUP(2,1/(GarminSessions!$A$2:$A$200=$A22),GarminSessions!$Q$2:$Q$200),"")</f>
        <v/>
      </c>
      <c r="R22" s="6">
        <f>IFERROR(LOOKUP(2,1/(GarminSessions!$A$2:$A$200=$A22),GarminSessions!$R$2:$R$200),"")</f>
        <v/>
      </c>
      <c r="S22" s="6">
        <f>IFERROR(LOOKUP(2,1/(GarminSessions!$A$2:$A$200=$A22),GarminSessions!$S$2:$S$200),"")</f>
        <v/>
      </c>
      <c r="T22" s="18">
        <f>IFERROR(IF(LOOKUP(2,1/(GarminSessions!$A$2:$A$200=$A22),GarminSessions!$U$2:$U$200)="","",LOOKUP(2,1/(GarminSessions!$A$2:$A$200=$A22),GarminSessions!$U$2:$U$200)),"")</f>
        <v/>
      </c>
    </row>
    <row r="23" ht="18.75" customHeight="1" s="141">
      <c r="A23" s="359" t="inlineStr">
        <is>
          <t>S7</t>
        </is>
      </c>
      <c r="B23" s="247">
        <f>IFERROR(LOOKUP(2,1/(GarminSessions!$A$2:$A$200=$A23),GarminSessions!$D$2:$D$200),"")</f>
        <v/>
      </c>
      <c r="C23" s="248">
        <f>IFERROR(IF(LOOKUP(2,1/(GarminSessions!$A$2:$A$200=$A23),GarminSessions!$T$2:$T$200)="","",LOOKUP(2,1/(GarminSessions!$A$2:$A$200=$A23),GarminSessions!$T$2:$T$200)),"")</f>
        <v/>
      </c>
      <c r="D23" s="249">
        <f>COUNT(E23:N23)</f>
        <v/>
      </c>
      <c r="E23" s="250">
        <f>IFERROR(IF(LOOKUP(2,1/(GarminSessions!$A$2:$A$200=$A23),GarminSessions!$E$2:$E$200)&gt;0,LOOKUP(2,1/(GarminSessions!$A$2:$A$200=$A23),GarminSessions!$E$2:$E$200),""),"")</f>
        <v/>
      </c>
      <c r="F23" s="250">
        <f>IFERROR(IF(LOOKUP(2,1/(GarminSessions!$A$2:$A$200=$A23),GarminSessions!$F$2:$F$200)&gt;0,LOOKUP(2,1/(GarminSessions!$A$2:$A$200=$A23),GarminSessions!$F$2:$F$200),""),"")</f>
        <v/>
      </c>
      <c r="G23" s="250">
        <f>IFERROR(IF(LOOKUP(2,1/(GarminSessions!$A$2:$A$200=$A23),GarminSessions!$G$2:$G$200)&gt;0,LOOKUP(2,1/(GarminSessions!$A$2:$A$200=$A23),GarminSessions!$G$2:$G$200),""),"")</f>
        <v/>
      </c>
      <c r="H23" s="250">
        <f>IFERROR(IF(LOOKUP(2,1/(GarminSessions!$A$2:$A$200=$A23),GarminSessions!$H$2:$H$200)&gt;0,LOOKUP(2,1/(GarminSessions!$A$2:$A$200=$A23),GarminSessions!$H$2:$H$200),""),"")</f>
        <v/>
      </c>
      <c r="I23" s="250">
        <f>IFERROR(IF(LOOKUP(2,1/(GarminSessions!$A$2:$A$200=$A23),GarminSessions!$I$2:$I$200)&gt;0,LOOKUP(2,1/(GarminSessions!$A$2:$A$200=$A23),GarminSessions!$I$2:$I$200),""),"")</f>
        <v/>
      </c>
      <c r="J23" s="250">
        <f>IFERROR(IF(LOOKUP(2,1/(GarminSessions!$A$2:$A$200=$A23),GarminSessions!$J$2:$J$200)&gt;0,LOOKUP(2,1/(GarminSessions!$A$2:$A$200=$A23),GarminSessions!$J$2:$J$200),""),"")</f>
        <v/>
      </c>
      <c r="K23" s="250">
        <f>IFERROR(IF(LOOKUP(2,1/(GarminSessions!$A$2:$A$200=$A23),GarminSessions!$K$2:$K$200)&gt;0,LOOKUP(2,1/(GarminSessions!$A$2:$A$200=$A23),GarminSessions!$K$2:$K$200),""),"")</f>
        <v/>
      </c>
      <c r="L23" s="82">
        <f>IFERROR(IF(LOOKUP(2,1/(GarminSessions!$A$2:$A$200=$A23),GarminSessions!$L$2:$L$200)&gt;0,LOOKUP(2,1/(GarminSessions!$A$2:$A$200=$A23),GarminSessions!$L$2:$L$200),""),"")</f>
        <v/>
      </c>
      <c r="M23" s="82">
        <f>IFERROR(IF(LOOKUP(2,1/(GarminSessions!$A$2:$A$200=$A23),GarminSessions!$M$2:$M$200)&gt;0,LOOKUP(2,1/(GarminSessions!$A$2:$A$200=$A23),GarminSessions!$M$2:$M$200),""),"")</f>
        <v/>
      </c>
      <c r="N23" s="82">
        <f>IFERROR(IF(LOOKUP(2,1/(GarminSessions!$A$2:$A$200=$A23),GarminSessions!$N$2:$N$200)&gt;0,LOOKUP(2,1/(GarminSessions!$A$2:$A$200=$A23),GarminSessions!$N$2:$N$200),""),"")</f>
        <v/>
      </c>
      <c r="O23" s="83">
        <f>IFERROR(LOOKUP(2,1/(GarminSessions!$A$2:$A$200=$A23),GarminSessions!$O$2:$O$200),"")</f>
        <v/>
      </c>
      <c r="P23" s="22">
        <f>IFERROR(LOOKUP(2,1/(GarminSessions!$A$2:$A$200=$A23),GarminSessions!$P$2:$P$200),"")</f>
        <v/>
      </c>
      <c r="Q23" s="83">
        <f>IFERROR(LOOKUP(2,1/(GarminSessions!$A$2:$A$200=$A23),GarminSessions!$Q$2:$Q$200),"")</f>
        <v/>
      </c>
      <c r="R23" s="23">
        <f>IFERROR(LOOKUP(2,1/(GarminSessions!$A$2:$A$200=$A23),GarminSessions!$R$2:$R$200),"")</f>
        <v/>
      </c>
      <c r="S23" s="23">
        <f>IFERROR(LOOKUP(2,1/(GarminSessions!$A$2:$A$200=$A23),GarminSessions!$S$2:$S$200),"")</f>
        <v/>
      </c>
      <c r="T23" s="20">
        <f>IFERROR(IF(LOOKUP(2,1/(GarminSessions!$A$2:$A$200=$A23),GarminSessions!$U$2:$U$200)="","",LOOKUP(2,1/(GarminSessions!$A$2:$A$200=$A23),GarminSessions!$U$2:$U$200)),"")</f>
        <v/>
      </c>
    </row>
    <row r="24" ht="18.75" customHeight="1" s="141">
      <c r="A24" s="336" t="inlineStr">
        <is>
          <t>S8</t>
        </is>
      </c>
      <c r="B24" s="184">
        <f>IFERROR(LOOKUP(2,1/(GarminSessions!$A$2:$A$200=$A24),GarminSessions!$D$2:$D$200),"")</f>
        <v/>
      </c>
      <c r="C24" s="246">
        <f>IFERROR(IF(LOOKUP(2,1/(GarminSessions!$A$2:$A$200=$A24),GarminSessions!$T$2:$T$200)="","",LOOKUP(2,1/(GarminSessions!$A$2:$A$200=$A24),GarminSessions!$T$2:$T$200)),"")</f>
        <v/>
      </c>
      <c r="D24" s="187">
        <f>COUNT(E24:N24)</f>
        <v/>
      </c>
      <c r="E24" s="185">
        <f>IFERROR(IF(LOOKUP(2,1/(GarminSessions!$A$2:$A$200=$A24),GarminSessions!$E$2:$E$200)&gt;0,LOOKUP(2,1/(GarminSessions!$A$2:$A$200=$A24),GarminSessions!$E$2:$E$200),""),"")</f>
        <v/>
      </c>
      <c r="F24" s="185">
        <f>IFERROR(IF(LOOKUP(2,1/(GarminSessions!$A$2:$A$200=$A24),GarminSessions!$F$2:$F$200)&gt;0,LOOKUP(2,1/(GarminSessions!$A$2:$A$200=$A24),GarminSessions!$F$2:$F$200),""),"")</f>
        <v/>
      </c>
      <c r="G24" s="185">
        <f>IFERROR(IF(LOOKUP(2,1/(GarminSessions!$A$2:$A$200=$A24),GarminSessions!$G$2:$G$200)&gt;0,LOOKUP(2,1/(GarminSessions!$A$2:$A$200=$A24),GarminSessions!$G$2:$G$200),""),"")</f>
        <v/>
      </c>
      <c r="H24" s="185">
        <f>IFERROR(IF(LOOKUP(2,1/(GarminSessions!$A$2:$A$200=$A24),GarminSessions!$H$2:$H$200)&gt;0,LOOKUP(2,1/(GarminSessions!$A$2:$A$200=$A24),GarminSessions!$H$2:$H$200),""),"")</f>
        <v/>
      </c>
      <c r="I24" s="185">
        <f>IFERROR(IF(LOOKUP(2,1/(GarminSessions!$A$2:$A$200=$A24),GarminSessions!$I$2:$I$200)&gt;0,LOOKUP(2,1/(GarminSessions!$A$2:$A$200=$A24),GarminSessions!$I$2:$I$200),""),"")</f>
        <v/>
      </c>
      <c r="J24" s="185">
        <f>IFERROR(IF(LOOKUP(2,1/(GarminSessions!$A$2:$A$200=$A24),GarminSessions!$J$2:$J$200)&gt;0,LOOKUP(2,1/(GarminSessions!$A$2:$A$200=$A24),GarminSessions!$J$2:$J$200),""),"")</f>
        <v/>
      </c>
      <c r="K24" s="185">
        <f>IFERROR(IF(LOOKUP(2,1/(GarminSessions!$A$2:$A$200=$A24),GarminSessions!$K$2:$K$200)&gt;0,LOOKUP(2,1/(GarminSessions!$A$2:$A$200=$A24),GarminSessions!$K$2:$K$200),""),"")</f>
        <v/>
      </c>
      <c r="L24" s="70">
        <f>IFERROR(IF(LOOKUP(2,1/(GarminSessions!$A$2:$A$200=$A24),GarminSessions!$L$2:$L$200)&gt;0,LOOKUP(2,1/(GarminSessions!$A$2:$A$200=$A24),GarminSessions!$L$2:$L$200),""),"")</f>
        <v/>
      </c>
      <c r="M24" s="70">
        <f>IFERROR(IF(LOOKUP(2,1/(GarminSessions!$A$2:$A$200=$A24),GarminSessions!$M$2:$M$200)&gt;0,LOOKUP(2,1/(GarminSessions!$A$2:$A$200=$A24),GarminSessions!$M$2:$M$200),""),"")</f>
        <v/>
      </c>
      <c r="N24" s="70">
        <f>IFERROR(IF(LOOKUP(2,1/(GarminSessions!$A$2:$A$200=$A24),GarminSessions!$N$2:$N$200)&gt;0,LOOKUP(2,1/(GarminSessions!$A$2:$A$200=$A24),GarminSessions!$N$2:$N$200),""),"")</f>
        <v/>
      </c>
      <c r="O24" s="79">
        <f>IFERROR(LOOKUP(2,1/(GarminSessions!$A$2:$A$200=$A24),GarminSessions!$O$2:$O$200),"")</f>
        <v/>
      </c>
      <c r="P24" s="11">
        <f>IFERROR(LOOKUP(2,1/(GarminSessions!$A$2:$A$200=$A24),GarminSessions!$P$2:$P$200),"")</f>
        <v/>
      </c>
      <c r="Q24" s="79">
        <f>IFERROR(LOOKUP(2,1/(GarminSessions!$A$2:$A$200=$A24),GarminSessions!$Q$2:$Q$200),"")</f>
        <v/>
      </c>
      <c r="R24" s="6">
        <f>IFERROR(LOOKUP(2,1/(GarminSessions!$A$2:$A$200=$A24),GarminSessions!$R$2:$R$200),"")</f>
        <v/>
      </c>
      <c r="S24" s="6">
        <f>IFERROR(LOOKUP(2,1/(GarminSessions!$A$2:$A$200=$A24),GarminSessions!$S$2:$S$200),"")</f>
        <v/>
      </c>
      <c r="T24" s="18">
        <f>IFERROR(IF(LOOKUP(2,1/(GarminSessions!$A$2:$A$200=$A24),GarminSessions!$U$2:$U$200)="","",LOOKUP(2,1/(GarminSessions!$A$2:$A$200=$A24),GarminSessions!$U$2:$U$200)),"")</f>
        <v/>
      </c>
    </row>
    <row r="25" ht="18.75" customHeight="1" s="141">
      <c r="A25" s="359" t="inlineStr">
        <is>
          <t>S9</t>
        </is>
      </c>
      <c r="B25" s="247">
        <f>IFERROR(LOOKUP(2,1/(GarminSessions!$A$2:$A$200=$A25),GarminSessions!$D$2:$D$200),"")</f>
        <v/>
      </c>
      <c r="C25" s="248">
        <f>IFERROR(IF(LOOKUP(2,1/(GarminSessions!$A$2:$A$200=$A25),GarminSessions!$T$2:$T$200)="","",LOOKUP(2,1/(GarminSessions!$A$2:$A$200=$A25),GarminSessions!$T$2:$T$200)),"")</f>
        <v/>
      </c>
      <c r="D25" s="249">
        <f>COUNT(E25:N25)</f>
        <v/>
      </c>
      <c r="E25" s="250">
        <f>IFERROR(IF(LOOKUP(2,1/(GarminSessions!$A$2:$A$200=$A25),GarminSessions!$E$2:$E$200)&gt;0,LOOKUP(2,1/(GarminSessions!$A$2:$A$200=$A25),GarminSessions!$E$2:$E$200),""),"")</f>
        <v/>
      </c>
      <c r="F25" s="250">
        <f>IFERROR(IF(LOOKUP(2,1/(GarminSessions!$A$2:$A$200=$A25),GarminSessions!$F$2:$F$200)&gt;0,LOOKUP(2,1/(GarminSessions!$A$2:$A$200=$A25),GarminSessions!$F$2:$F$200),""),"")</f>
        <v/>
      </c>
      <c r="G25" s="250">
        <f>IFERROR(IF(LOOKUP(2,1/(GarminSessions!$A$2:$A$200=$A25),GarminSessions!$G$2:$G$200)&gt;0,LOOKUP(2,1/(GarminSessions!$A$2:$A$200=$A25),GarminSessions!$G$2:$G$200),""),"")</f>
        <v/>
      </c>
      <c r="H25" s="250">
        <f>IFERROR(IF(LOOKUP(2,1/(GarminSessions!$A$2:$A$200=$A25),GarminSessions!$H$2:$H$200)&gt;0,LOOKUP(2,1/(GarminSessions!$A$2:$A$200=$A25),GarminSessions!$H$2:$H$200),""),"")</f>
        <v/>
      </c>
      <c r="I25" s="250">
        <f>IFERROR(IF(LOOKUP(2,1/(GarminSessions!$A$2:$A$200=$A25),GarminSessions!$I$2:$I$200)&gt;0,LOOKUP(2,1/(GarminSessions!$A$2:$A$200=$A25),GarminSessions!$I$2:$I$200),""),"")</f>
        <v/>
      </c>
      <c r="J25" s="250">
        <f>IFERROR(IF(LOOKUP(2,1/(GarminSessions!$A$2:$A$200=$A25),GarminSessions!$J$2:$J$200)&gt;0,LOOKUP(2,1/(GarminSessions!$A$2:$A$200=$A25),GarminSessions!$J$2:$J$200),""),"")</f>
        <v/>
      </c>
      <c r="K25" s="250">
        <f>IFERROR(IF(LOOKUP(2,1/(GarminSessions!$A$2:$A$200=$A25),GarminSessions!$K$2:$K$200)&gt;0,LOOKUP(2,1/(GarminSessions!$A$2:$A$200=$A25),GarminSessions!$K$2:$K$200),""),"")</f>
        <v/>
      </c>
      <c r="L25" s="82">
        <f>IFERROR(IF(LOOKUP(2,1/(GarminSessions!$A$2:$A$200=$A25),GarminSessions!$L$2:$L$200)&gt;0,LOOKUP(2,1/(GarminSessions!$A$2:$A$200=$A25),GarminSessions!$L$2:$L$200),""),"")</f>
        <v/>
      </c>
      <c r="M25" s="82">
        <f>IFERROR(IF(LOOKUP(2,1/(GarminSessions!$A$2:$A$200=$A25),GarminSessions!$M$2:$M$200)&gt;0,LOOKUP(2,1/(GarminSessions!$A$2:$A$200=$A25),GarminSessions!$M$2:$M$200),""),"")</f>
        <v/>
      </c>
      <c r="N25" s="82">
        <f>IFERROR(IF(LOOKUP(2,1/(GarminSessions!$A$2:$A$200=$A25),GarminSessions!$N$2:$N$200)&gt;0,LOOKUP(2,1/(GarminSessions!$A$2:$A$200=$A25),GarminSessions!$N$2:$N$200),""),"")</f>
        <v/>
      </c>
      <c r="O25" s="83">
        <f>IFERROR(LOOKUP(2,1/(GarminSessions!$A$2:$A$200=$A25),GarminSessions!$O$2:$O$200),"")</f>
        <v/>
      </c>
      <c r="P25" s="22">
        <f>IFERROR(LOOKUP(2,1/(GarminSessions!$A$2:$A$200=$A25),GarminSessions!$P$2:$P$200),"")</f>
        <v/>
      </c>
      <c r="Q25" s="83">
        <f>IFERROR(LOOKUP(2,1/(GarminSessions!$A$2:$A$200=$A25),GarminSessions!$Q$2:$Q$200),"")</f>
        <v/>
      </c>
      <c r="R25" s="23">
        <f>IFERROR(LOOKUP(2,1/(GarminSessions!$A$2:$A$200=$A25),GarminSessions!$R$2:$R$200),"")</f>
        <v/>
      </c>
      <c r="S25" s="23">
        <f>IFERROR(LOOKUP(2,1/(GarminSessions!$A$2:$A$200=$A25),GarminSessions!$S$2:$S$200),"")</f>
        <v/>
      </c>
      <c r="T25" s="20">
        <f>IFERROR(IF(LOOKUP(2,1/(GarminSessions!$A$2:$A$200=$A25),GarminSessions!$U$2:$U$200)="","",LOOKUP(2,1/(GarminSessions!$A$2:$A$200=$A25),GarminSessions!$U$2:$U$200)),"")</f>
        <v/>
      </c>
    </row>
    <row r="26" ht="18.75" customHeight="1" s="141">
      <c r="A26" s="336" t="inlineStr">
        <is>
          <t>S10</t>
        </is>
      </c>
      <c r="B26" s="184">
        <f>IFERROR(LOOKUP(2,1/(GarminSessions!$A$2:$A$200=$A26),GarminSessions!$D$2:$D$200),"")</f>
        <v/>
      </c>
      <c r="C26" s="246">
        <f>IFERROR(IF(LOOKUP(2,1/(GarminSessions!$A$2:$A$200=$A26),GarminSessions!$T$2:$T$200)="","",LOOKUP(2,1/(GarminSessions!$A$2:$A$200=$A26),GarminSessions!$T$2:$T$200)),"")</f>
        <v/>
      </c>
      <c r="D26" s="187">
        <f>COUNT(E26:N26)</f>
        <v/>
      </c>
      <c r="E26" s="185">
        <f>IFERROR(IF(LOOKUP(2,1/(GarminSessions!$A$2:$A$200=$A26),GarminSessions!$E$2:$E$200)&gt;0,LOOKUP(2,1/(GarminSessions!$A$2:$A$200=$A26),GarminSessions!$E$2:$E$200),""),"")</f>
        <v/>
      </c>
      <c r="F26" s="185">
        <f>IFERROR(IF(LOOKUP(2,1/(GarminSessions!$A$2:$A$200=$A26),GarminSessions!$F$2:$F$200)&gt;0,LOOKUP(2,1/(GarminSessions!$A$2:$A$200=$A26),GarminSessions!$F$2:$F$200),""),"")</f>
        <v/>
      </c>
      <c r="G26" s="185">
        <f>IFERROR(IF(LOOKUP(2,1/(GarminSessions!$A$2:$A$200=$A26),GarminSessions!$G$2:$G$200)&gt;0,LOOKUP(2,1/(GarminSessions!$A$2:$A$200=$A26),GarminSessions!$G$2:$G$200),""),"")</f>
        <v/>
      </c>
      <c r="H26" s="185">
        <f>IFERROR(IF(LOOKUP(2,1/(GarminSessions!$A$2:$A$200=$A26),GarminSessions!$H$2:$H$200)&gt;0,LOOKUP(2,1/(GarminSessions!$A$2:$A$200=$A26),GarminSessions!$H$2:$H$200),""),"")</f>
        <v/>
      </c>
      <c r="I26" s="185">
        <f>IFERROR(IF(LOOKUP(2,1/(GarminSessions!$A$2:$A$200=$A26),GarminSessions!$I$2:$I$200)&gt;0,LOOKUP(2,1/(GarminSessions!$A$2:$A$200=$A26),GarminSessions!$I$2:$I$200),""),"")</f>
        <v/>
      </c>
      <c r="J26" s="185">
        <f>IFERROR(IF(LOOKUP(2,1/(GarminSessions!$A$2:$A$200=$A26),GarminSessions!$J$2:$J$200)&gt;0,LOOKUP(2,1/(GarminSessions!$A$2:$A$200=$A26),GarminSessions!$J$2:$J$200),""),"")</f>
        <v/>
      </c>
      <c r="K26" s="185">
        <f>IFERROR(IF(LOOKUP(2,1/(GarminSessions!$A$2:$A$200=$A26),GarminSessions!$K$2:$K$200)&gt;0,LOOKUP(2,1/(GarminSessions!$A$2:$A$200=$A26),GarminSessions!$K$2:$K$200),""),"")</f>
        <v/>
      </c>
      <c r="L26" s="70">
        <f>IFERROR(IF(LOOKUP(2,1/(GarminSessions!$A$2:$A$200=$A26),GarminSessions!$L$2:$L$200)&gt;0,LOOKUP(2,1/(GarminSessions!$A$2:$A$200=$A26),GarminSessions!$L$2:$L$200),""),"")</f>
        <v/>
      </c>
      <c r="M26" s="70">
        <f>IFERROR(IF(LOOKUP(2,1/(GarminSessions!$A$2:$A$200=$A26),GarminSessions!$M$2:$M$200)&gt;0,LOOKUP(2,1/(GarminSessions!$A$2:$A$200=$A26),GarminSessions!$M$2:$M$200),""),"")</f>
        <v/>
      </c>
      <c r="N26" s="70">
        <f>IFERROR(IF(LOOKUP(2,1/(GarminSessions!$A$2:$A$200=$A26),GarminSessions!$N$2:$N$200)&gt;0,LOOKUP(2,1/(GarminSessions!$A$2:$A$200=$A26),GarminSessions!$N$2:$N$200),""),"")</f>
        <v/>
      </c>
      <c r="O26" s="79">
        <f>IFERROR(LOOKUP(2,1/(GarminSessions!$A$2:$A$200=$A26),GarminSessions!$O$2:$O$200),"")</f>
        <v/>
      </c>
      <c r="P26" s="11">
        <f>IFERROR(LOOKUP(2,1/(GarminSessions!$A$2:$A$200=$A26),GarminSessions!$P$2:$P$200),"")</f>
        <v/>
      </c>
      <c r="Q26" s="79">
        <f>IFERROR(LOOKUP(2,1/(GarminSessions!$A$2:$A$200=$A26),GarminSessions!$Q$2:$Q$200),"")</f>
        <v/>
      </c>
      <c r="R26" s="6">
        <f>IFERROR(LOOKUP(2,1/(GarminSessions!$A$2:$A$200=$A26),GarminSessions!$R$2:$R$200),"")</f>
        <v/>
      </c>
      <c r="S26" s="6">
        <f>IFERROR(LOOKUP(2,1/(GarminSessions!$A$2:$A$200=$A26),GarminSessions!$S$2:$S$200),"")</f>
        <v/>
      </c>
      <c r="T26" s="18">
        <f>IFERROR(IF(LOOKUP(2,1/(GarminSessions!$A$2:$A$200=$A26),GarminSessions!$U$2:$U$200)="","",LOOKUP(2,1/(GarminSessions!$A$2:$A$200=$A26),GarminSessions!$U$2:$U$200)),"")</f>
        <v/>
      </c>
    </row>
    <row r="27" ht="7.5" customHeight="1" s="141">
      <c r="A27" s="309" t="n"/>
      <c r="B27" s="309" t="n"/>
      <c r="C27" s="309" t="n"/>
      <c r="D27" s="309" t="n"/>
      <c r="E27" s="309" t="n"/>
      <c r="F27" s="309" t="n"/>
      <c r="G27" s="309" t="n"/>
      <c r="H27" s="309" t="n"/>
      <c r="I27" s="309" t="n"/>
      <c r="J27" s="309" t="n"/>
      <c r="K27" s="309" t="n"/>
      <c r="L27" s="309" t="n"/>
      <c r="M27" s="309" t="n"/>
      <c r="N27" s="309" t="n"/>
      <c r="O27" s="309" t="n"/>
      <c r="P27" s="309" t="n"/>
      <c r="Q27" s="309" t="n"/>
    </row>
    <row r="28" ht="21.75" customHeight="1" s="141">
      <c r="A28" s="360" t="inlineStr">
        <is>
          <t>FREE-FORM SESSION LOG  (extra Garmin sessions — confirmation groups, calibration shoots, etc.)</t>
        </is>
      </c>
      <c r="B28" s="309" t="n"/>
      <c r="C28" s="309" t="n"/>
      <c r="D28" s="309" t="n"/>
      <c r="E28" s="309" t="n"/>
      <c r="F28" s="309" t="n"/>
      <c r="G28" s="309" t="n"/>
      <c r="H28" s="309" t="n"/>
      <c r="I28" s="309" t="n"/>
      <c r="J28" s="309" t="n"/>
      <c r="K28" s="309" t="n"/>
      <c r="L28" s="309" t="n"/>
      <c r="M28" s="309" t="n"/>
      <c r="N28" s="309" t="n"/>
      <c r="O28" s="309" t="n"/>
      <c r="P28" s="309" t="n"/>
      <c r="Q28" s="309" t="n"/>
    </row>
    <row r="29" ht="18.75" customHeight="1" s="141">
      <c r="A29" s="358" t="n"/>
      <c r="B29" s="239">
        <f>IFERROR(LOOKUP(2,1/(GarminSessions!$A$2:$A$200=$A29),GarminSessions!$D$2:$D$200),"")</f>
        <v/>
      </c>
      <c r="C29" s="240">
        <f>IFERROR(LOOKUP(2,1/(GarminSessions!$A$2:$A$200=$A29),GarminSessions!$Q$2:$Q$200),"")</f>
        <v/>
      </c>
      <c r="D29" s="241">
        <f>COUNT(E29:K29)</f>
        <v/>
      </c>
      <c r="E29" s="242">
        <f>IFERROR(LOOKUP(2,1/(GarminSessions!$A$2:$A$200=$A29),GarminSessions!$E$2:$E$200),"")</f>
        <v/>
      </c>
      <c r="F29" s="242">
        <f>IFERROR(LOOKUP(2,1/(GarminSessions!$A$2:$A$200=$A29),GarminSessions!$F$2:$F$200),"")</f>
        <v/>
      </c>
      <c r="G29" s="242">
        <f>IFERROR(LOOKUP(2,1/(GarminSessions!$A$2:$A$200=$A29),GarminSessions!$G$2:$G$200),"")</f>
        <v/>
      </c>
      <c r="H29" s="242">
        <f>IFERROR(LOOKUP(2,1/(GarminSessions!$A$2:$A$200=$A29),GarminSessions!$H$2:$H$200),"")</f>
        <v/>
      </c>
      <c r="I29" s="242">
        <f>IFERROR(LOOKUP(2,1/(GarminSessions!$A$2:$A$200=$A29),GarminSessions!$I$2:$I$200),"")</f>
        <v/>
      </c>
      <c r="J29" s="242">
        <f>IFERROR(LOOKUP(2,1/(GarminSessions!$A$2:$A$200=$A29),GarminSessions!$J$2:$J$200),"")</f>
        <v/>
      </c>
      <c r="K29" s="242">
        <f>IFERROR(LOOKUP(2,1/(GarminSessions!$A$2:$A$200=$A29),GarminSessions!$K$2:$K$200),"")</f>
        <v/>
      </c>
      <c r="L29" s="243">
        <f>IFERROR(LOOKUP(2,1/(GarminSessions!$A$2:$A$200=$A29),GarminSessions!$L$2:$L$200),"")</f>
        <v/>
      </c>
      <c r="M29" s="244">
        <f>IFERROR(LOOKUP(2,1/(GarminSessions!$A$2:$A$200=$A29),GarminSessions!$M$2:$M$200),"")</f>
        <v/>
      </c>
      <c r="N29" s="243">
        <f>IFERROR(LOOKUP(2,1/(GarminSessions!$A$2:$A$200=$A29),GarminSessions!$N$2:$N$200),"")</f>
        <v/>
      </c>
      <c r="O29" s="245">
        <f>IFERROR(LOOKUP(2,1/(GarminSessions!$A$2:$A$200=$A29),GarminSessions!$O$2:$O$200),"")</f>
        <v/>
      </c>
      <c r="P29" s="245">
        <f>IFERROR(LOOKUP(2,1/(GarminSessions!$A$2:$A$200=$A29),GarminSessions!$P$2:$P$200),"")</f>
        <v/>
      </c>
      <c r="Q29" s="240">
        <f>IFERROR(LOOKUP(2,1/(GarminSessions!$A$2:$A$200=$A29),GarminSessions!$R$2:$R$200),"")</f>
        <v/>
      </c>
    </row>
    <row r="30" ht="18.75" customHeight="1" s="141">
      <c r="A30" s="358" t="n"/>
      <c r="B30" s="239">
        <f>IFERROR(LOOKUP(2,1/(GarminSessions!$A$2:$A$200=$A30),GarminSessions!$D$2:$D$200),"")</f>
        <v/>
      </c>
      <c r="C30" s="240">
        <f>IFERROR(LOOKUP(2,1/(GarminSessions!$A$2:$A$200=$A30),GarminSessions!$Q$2:$Q$200),"")</f>
        <v/>
      </c>
      <c r="D30" s="241">
        <f>COUNT(E30:K30)</f>
        <v/>
      </c>
      <c r="E30" s="242">
        <f>IFERROR(LOOKUP(2,1/(GarminSessions!$A$2:$A$200=$A30),GarminSessions!$E$2:$E$200),"")</f>
        <v/>
      </c>
      <c r="F30" s="242">
        <f>IFERROR(LOOKUP(2,1/(GarminSessions!$A$2:$A$200=$A30),GarminSessions!$F$2:$F$200),"")</f>
        <v/>
      </c>
      <c r="G30" s="242">
        <f>IFERROR(LOOKUP(2,1/(GarminSessions!$A$2:$A$200=$A30),GarminSessions!$G$2:$G$200),"")</f>
        <v/>
      </c>
      <c r="H30" s="242">
        <f>IFERROR(LOOKUP(2,1/(GarminSessions!$A$2:$A$200=$A30),GarminSessions!$H$2:$H$200),"")</f>
        <v/>
      </c>
      <c r="I30" s="242">
        <f>IFERROR(LOOKUP(2,1/(GarminSessions!$A$2:$A$200=$A30),GarminSessions!$I$2:$I$200),"")</f>
        <v/>
      </c>
      <c r="J30" s="242">
        <f>IFERROR(LOOKUP(2,1/(GarminSessions!$A$2:$A$200=$A30),GarminSessions!$J$2:$J$200),"")</f>
        <v/>
      </c>
      <c r="K30" s="242">
        <f>IFERROR(LOOKUP(2,1/(GarminSessions!$A$2:$A$200=$A30),GarminSessions!$K$2:$K$200),"")</f>
        <v/>
      </c>
      <c r="L30" s="243">
        <f>IFERROR(LOOKUP(2,1/(GarminSessions!$A$2:$A$200=$A30),GarminSessions!$L$2:$L$200),"")</f>
        <v/>
      </c>
      <c r="M30" s="244">
        <f>IFERROR(LOOKUP(2,1/(GarminSessions!$A$2:$A$200=$A30),GarminSessions!$M$2:$M$200),"")</f>
        <v/>
      </c>
      <c r="N30" s="243">
        <f>IFERROR(LOOKUP(2,1/(GarminSessions!$A$2:$A$200=$A30),GarminSessions!$N$2:$N$200),"")</f>
        <v/>
      </c>
      <c r="O30" s="245">
        <f>IFERROR(LOOKUP(2,1/(GarminSessions!$A$2:$A$200=$A30),GarminSessions!$O$2:$O$200),"")</f>
        <v/>
      </c>
      <c r="P30" s="245">
        <f>IFERROR(LOOKUP(2,1/(GarminSessions!$A$2:$A$200=$A30),GarminSessions!$P$2:$P$200),"")</f>
        <v/>
      </c>
      <c r="Q30" s="240">
        <f>IFERROR(LOOKUP(2,1/(GarminSessions!$A$2:$A$200=$A30),GarminSessions!$R$2:$R$200),"")</f>
        <v/>
      </c>
    </row>
    <row r="31" ht="18.75" customHeight="1" s="141">
      <c r="A31" s="336" t="n"/>
      <c r="B31" s="184">
        <f>IFERROR(LOOKUP(2,1/(GarminSessions!$A$2:$A$200=$A31),GarminSessions!$D$2:$D$200),"")</f>
        <v/>
      </c>
      <c r="C31" s="246">
        <f>IFERROR(LOOKUP(2,1/(GarminSessions!$A$2:$A$200=$A31),GarminSessions!$Q$2:$Q$200),"")</f>
        <v/>
      </c>
      <c r="D31" s="187">
        <f>COUNT(E31:K31)</f>
        <v/>
      </c>
      <c r="E31" s="185">
        <f>IFERROR(LOOKUP(2,1/(GarminSessions!$A$2:$A$200=$A31),GarminSessions!$E$2:$E$200),"")</f>
        <v/>
      </c>
      <c r="F31" s="185">
        <f>IFERROR(LOOKUP(2,1/(GarminSessions!$A$2:$A$200=$A31),GarminSessions!$F$2:$F$200),"")</f>
        <v/>
      </c>
      <c r="G31" s="185">
        <f>IFERROR(LOOKUP(2,1/(GarminSessions!$A$2:$A$200=$A31),GarminSessions!$G$2:$G$200),"")</f>
        <v/>
      </c>
      <c r="H31" s="185">
        <f>IFERROR(LOOKUP(2,1/(GarminSessions!$A$2:$A$200=$A31),GarminSessions!$H$2:$H$200),"")</f>
        <v/>
      </c>
      <c r="I31" s="185">
        <f>IFERROR(LOOKUP(2,1/(GarminSessions!$A$2:$A$200=$A31),GarminSessions!$I$2:$I$200),"")</f>
        <v/>
      </c>
      <c r="J31" s="185">
        <f>IFERROR(LOOKUP(2,1/(GarminSessions!$A$2:$A$200=$A31),GarminSessions!$J$2:$J$200),"")</f>
        <v/>
      </c>
      <c r="K31" s="185">
        <f>IFERROR(LOOKUP(2,1/(GarminSessions!$A$2:$A$200=$A31),GarminSessions!$K$2:$K$200),"")</f>
        <v/>
      </c>
      <c r="L31" s="188">
        <f>IFERROR(LOOKUP(2,1/(GarminSessions!$A$2:$A$200=$A31),GarminSessions!$L$2:$L$200),"")</f>
        <v/>
      </c>
      <c r="M31" s="234">
        <f>IFERROR(LOOKUP(2,1/(GarminSessions!$A$2:$A$200=$A31),GarminSessions!$M$2:$M$200),"")</f>
        <v/>
      </c>
      <c r="N31" s="188">
        <f>IFERROR(LOOKUP(2,1/(GarminSessions!$A$2:$A$200=$A31),GarminSessions!$N$2:$N$200),"")</f>
        <v/>
      </c>
      <c r="O31" s="186">
        <f>IFERROR(LOOKUP(2,1/(GarminSessions!$A$2:$A$200=$A31),GarminSessions!$O$2:$O$200),"")</f>
        <v/>
      </c>
      <c r="P31" s="186">
        <f>IFERROR(LOOKUP(2,1/(GarminSessions!$A$2:$A$200=$A31),GarminSessions!$P$2:$P$200),"")</f>
        <v/>
      </c>
      <c r="Q31" s="246">
        <f>IFERROR(LOOKUP(2,1/(GarminSessions!$A$2:$A$200=$A31),GarminSessions!$R$2:$R$200),"")</f>
        <v/>
      </c>
    </row>
    <row r="32" ht="18.75" customHeight="1" s="141">
      <c r="A32" s="358" t="n"/>
      <c r="B32" s="239">
        <f>IFERROR(LOOKUP(2,1/(GarminSessions!$A$2:$A$200=$A32),GarminSessions!$D$2:$D$200),"")</f>
        <v/>
      </c>
      <c r="C32" s="240">
        <f>IFERROR(LOOKUP(2,1/(GarminSessions!$A$2:$A$200=$A32),GarminSessions!$Q$2:$Q$200),"")</f>
        <v/>
      </c>
      <c r="D32" s="241">
        <f>COUNT(E32:K32)</f>
        <v/>
      </c>
      <c r="E32" s="242">
        <f>IFERROR(LOOKUP(2,1/(GarminSessions!$A$2:$A$200=$A32),GarminSessions!$E$2:$E$200),"")</f>
        <v/>
      </c>
      <c r="F32" s="242">
        <f>IFERROR(LOOKUP(2,1/(GarminSessions!$A$2:$A$200=$A32),GarminSessions!$F$2:$F$200),"")</f>
        <v/>
      </c>
      <c r="G32" s="242">
        <f>IFERROR(LOOKUP(2,1/(GarminSessions!$A$2:$A$200=$A32),GarminSessions!$G$2:$G$200),"")</f>
        <v/>
      </c>
      <c r="H32" s="242">
        <f>IFERROR(LOOKUP(2,1/(GarminSessions!$A$2:$A$200=$A32),GarminSessions!$H$2:$H$200),"")</f>
        <v/>
      </c>
      <c r="I32" s="242">
        <f>IFERROR(LOOKUP(2,1/(GarminSessions!$A$2:$A$200=$A32),GarminSessions!$I$2:$I$200),"")</f>
        <v/>
      </c>
      <c r="J32" s="242">
        <f>IFERROR(LOOKUP(2,1/(GarminSessions!$A$2:$A$200=$A32),GarminSessions!$J$2:$J$200),"")</f>
        <v/>
      </c>
      <c r="K32" s="242">
        <f>IFERROR(LOOKUP(2,1/(GarminSessions!$A$2:$A$200=$A32),GarminSessions!$K$2:$K$200),"")</f>
        <v/>
      </c>
      <c r="L32" s="243">
        <f>IFERROR(LOOKUP(2,1/(GarminSessions!$A$2:$A$200=$A32),GarminSessions!$L$2:$L$200),"")</f>
        <v/>
      </c>
      <c r="M32" s="244">
        <f>IFERROR(LOOKUP(2,1/(GarminSessions!$A$2:$A$200=$A32),GarminSessions!$M$2:$M$200),"")</f>
        <v/>
      </c>
      <c r="N32" s="243">
        <f>IFERROR(LOOKUP(2,1/(GarminSessions!$A$2:$A$200=$A32),GarminSessions!$N$2:$N$200),"")</f>
        <v/>
      </c>
      <c r="O32" s="245">
        <f>IFERROR(LOOKUP(2,1/(GarminSessions!$A$2:$A$200=$A32),GarminSessions!$O$2:$O$200),"")</f>
        <v/>
      </c>
      <c r="P32" s="245">
        <f>IFERROR(LOOKUP(2,1/(GarminSessions!$A$2:$A$200=$A32),GarminSessions!$P$2:$P$200),"")</f>
        <v/>
      </c>
      <c r="Q32" s="240">
        <f>IFERROR(LOOKUP(2,1/(GarminSessions!$A$2:$A$200=$A32),GarminSessions!$R$2:$R$200),"")</f>
        <v/>
      </c>
    </row>
    <row r="33" ht="18.75" customHeight="1" s="141">
      <c r="A33" s="336" t="n"/>
      <c r="B33" s="184">
        <f>IFERROR(LOOKUP(2,1/(GarminSessions!$A$2:$A$200=$A33),GarminSessions!$D$2:$D$200),"")</f>
        <v/>
      </c>
      <c r="C33" s="246">
        <f>IFERROR(LOOKUP(2,1/(GarminSessions!$A$2:$A$200=$A33),GarminSessions!$Q$2:$Q$200),"")</f>
        <v/>
      </c>
      <c r="D33" s="187">
        <f>COUNT(E33:K33)</f>
        <v/>
      </c>
      <c r="E33" s="185">
        <f>IFERROR(LOOKUP(2,1/(GarminSessions!$A$2:$A$200=$A33),GarminSessions!$E$2:$E$200),"")</f>
        <v/>
      </c>
      <c r="F33" s="185">
        <f>IFERROR(LOOKUP(2,1/(GarminSessions!$A$2:$A$200=$A33),GarminSessions!$F$2:$F$200),"")</f>
        <v/>
      </c>
      <c r="G33" s="185">
        <f>IFERROR(LOOKUP(2,1/(GarminSessions!$A$2:$A$200=$A33),GarminSessions!$G$2:$G$200),"")</f>
        <v/>
      </c>
      <c r="H33" s="185">
        <f>IFERROR(LOOKUP(2,1/(GarminSessions!$A$2:$A$200=$A33),GarminSessions!$H$2:$H$200),"")</f>
        <v/>
      </c>
      <c r="I33" s="185">
        <f>IFERROR(LOOKUP(2,1/(GarminSessions!$A$2:$A$200=$A33),GarminSessions!$I$2:$I$200),"")</f>
        <v/>
      </c>
      <c r="J33" s="185">
        <f>IFERROR(LOOKUP(2,1/(GarminSessions!$A$2:$A$200=$A33),GarminSessions!$J$2:$J$200),"")</f>
        <v/>
      </c>
      <c r="K33" s="185">
        <f>IFERROR(LOOKUP(2,1/(GarminSessions!$A$2:$A$200=$A33),GarminSessions!$K$2:$K$200),"")</f>
        <v/>
      </c>
      <c r="L33" s="188">
        <f>IFERROR(LOOKUP(2,1/(GarminSessions!$A$2:$A$200=$A33),GarminSessions!$L$2:$L$200),"")</f>
        <v/>
      </c>
      <c r="M33" s="234">
        <f>IFERROR(LOOKUP(2,1/(GarminSessions!$A$2:$A$200=$A33),GarminSessions!$M$2:$M$200),"")</f>
        <v/>
      </c>
      <c r="N33" s="188">
        <f>IFERROR(LOOKUP(2,1/(GarminSessions!$A$2:$A$200=$A33),GarminSessions!$N$2:$N$200),"")</f>
        <v/>
      </c>
      <c r="O33" s="186">
        <f>IFERROR(LOOKUP(2,1/(GarminSessions!$A$2:$A$200=$A33),GarminSessions!$O$2:$O$200),"")</f>
        <v/>
      </c>
      <c r="P33" s="186">
        <f>IFERROR(LOOKUP(2,1/(GarminSessions!$A$2:$A$200=$A33),GarminSessions!$P$2:$P$200),"")</f>
        <v/>
      </c>
      <c r="Q33" s="246">
        <f>IFERROR(LOOKUP(2,1/(GarminSessions!$A$2:$A$200=$A33),GarminSessions!$R$2:$R$200),"")</f>
        <v/>
      </c>
    </row>
    <row r="34" ht="18.75" customHeight="1" s="141">
      <c r="A34" s="358" t="n"/>
      <c r="B34" s="239">
        <f>IFERROR(LOOKUP(2,1/(GarminSessions!$A$2:$A$200=$A34),GarminSessions!$D$2:$D$200),"")</f>
        <v/>
      </c>
      <c r="C34" s="240">
        <f>IFERROR(LOOKUP(2,1/(GarminSessions!$A$2:$A$200=$A34),GarminSessions!$Q$2:$Q$200),"")</f>
        <v/>
      </c>
      <c r="D34" s="241">
        <f>COUNT(E34:K34)</f>
        <v/>
      </c>
      <c r="E34" s="242">
        <f>IFERROR(LOOKUP(2,1/(GarminSessions!$A$2:$A$200=$A34),GarminSessions!$E$2:$E$200),"")</f>
        <v/>
      </c>
      <c r="F34" s="242">
        <f>IFERROR(LOOKUP(2,1/(GarminSessions!$A$2:$A$200=$A34),GarminSessions!$F$2:$F$200),"")</f>
        <v/>
      </c>
      <c r="G34" s="242">
        <f>IFERROR(LOOKUP(2,1/(GarminSessions!$A$2:$A$200=$A34),GarminSessions!$G$2:$G$200),"")</f>
        <v/>
      </c>
      <c r="H34" s="242">
        <f>IFERROR(LOOKUP(2,1/(GarminSessions!$A$2:$A$200=$A34),GarminSessions!$H$2:$H$200),"")</f>
        <v/>
      </c>
      <c r="I34" s="242">
        <f>IFERROR(LOOKUP(2,1/(GarminSessions!$A$2:$A$200=$A34),GarminSessions!$I$2:$I$200),"")</f>
        <v/>
      </c>
      <c r="J34" s="242">
        <f>IFERROR(LOOKUP(2,1/(GarminSessions!$A$2:$A$200=$A34),GarminSessions!$J$2:$J$200),"")</f>
        <v/>
      </c>
      <c r="K34" s="242">
        <f>IFERROR(LOOKUP(2,1/(GarminSessions!$A$2:$A$200=$A34),GarminSessions!$K$2:$K$200),"")</f>
        <v/>
      </c>
      <c r="L34" s="243">
        <f>IFERROR(LOOKUP(2,1/(GarminSessions!$A$2:$A$200=$A34),GarminSessions!$L$2:$L$200),"")</f>
        <v/>
      </c>
      <c r="M34" s="244">
        <f>IFERROR(LOOKUP(2,1/(GarminSessions!$A$2:$A$200=$A34),GarminSessions!$M$2:$M$200),"")</f>
        <v/>
      </c>
      <c r="N34" s="243">
        <f>IFERROR(LOOKUP(2,1/(GarminSessions!$A$2:$A$200=$A34),GarminSessions!$N$2:$N$200),"")</f>
        <v/>
      </c>
      <c r="O34" s="245">
        <f>IFERROR(LOOKUP(2,1/(GarminSessions!$A$2:$A$200=$A34),GarminSessions!$O$2:$O$200),"")</f>
        <v/>
      </c>
      <c r="P34" s="245">
        <f>IFERROR(LOOKUP(2,1/(GarminSessions!$A$2:$A$200=$A34),GarminSessions!$P$2:$P$200),"")</f>
        <v/>
      </c>
      <c r="Q34" s="240">
        <f>IFERROR(LOOKUP(2,1/(GarminSessions!$A$2:$A$200=$A34),GarminSessions!$R$2:$R$200),"")</f>
        <v/>
      </c>
    </row>
    <row r="35" ht="18.75" customHeight="1" s="141">
      <c r="A35" s="336" t="n"/>
      <c r="B35" s="184">
        <f>IFERROR(LOOKUP(2,1/(GarminSessions!$A$2:$A$200=$A35),GarminSessions!$D$2:$D$200),"")</f>
        <v/>
      </c>
      <c r="C35" s="246">
        <f>IFERROR(LOOKUP(2,1/(GarminSessions!$A$2:$A$200=$A35),GarminSessions!$Q$2:$Q$200),"")</f>
        <v/>
      </c>
      <c r="D35" s="187">
        <f>COUNT(E35:K35)</f>
        <v/>
      </c>
      <c r="E35" s="185">
        <f>IFERROR(LOOKUP(2,1/(GarminSessions!$A$2:$A$200=$A35),GarminSessions!$E$2:$E$200),"")</f>
        <v/>
      </c>
      <c r="F35" s="185">
        <f>IFERROR(LOOKUP(2,1/(GarminSessions!$A$2:$A$200=$A35),GarminSessions!$F$2:$F$200),"")</f>
        <v/>
      </c>
      <c r="G35" s="185">
        <f>IFERROR(LOOKUP(2,1/(GarminSessions!$A$2:$A$200=$A35),GarminSessions!$G$2:$G$200),"")</f>
        <v/>
      </c>
      <c r="H35" s="185">
        <f>IFERROR(LOOKUP(2,1/(GarminSessions!$A$2:$A$200=$A35),GarminSessions!$H$2:$H$200),"")</f>
        <v/>
      </c>
      <c r="I35" s="185">
        <f>IFERROR(LOOKUP(2,1/(GarminSessions!$A$2:$A$200=$A35),GarminSessions!$I$2:$I$200),"")</f>
        <v/>
      </c>
      <c r="J35" s="185">
        <f>IFERROR(LOOKUP(2,1/(GarminSessions!$A$2:$A$200=$A35),GarminSessions!$J$2:$J$200),"")</f>
        <v/>
      </c>
      <c r="K35" s="185">
        <f>IFERROR(LOOKUP(2,1/(GarminSessions!$A$2:$A$200=$A35),GarminSessions!$K$2:$K$200),"")</f>
        <v/>
      </c>
      <c r="L35" s="188">
        <f>IFERROR(LOOKUP(2,1/(GarminSessions!$A$2:$A$200=$A35),GarminSessions!$L$2:$L$200),"")</f>
        <v/>
      </c>
      <c r="M35" s="234">
        <f>IFERROR(LOOKUP(2,1/(GarminSessions!$A$2:$A$200=$A35),GarminSessions!$M$2:$M$200),"")</f>
        <v/>
      </c>
      <c r="N35" s="188">
        <f>IFERROR(LOOKUP(2,1/(GarminSessions!$A$2:$A$200=$A35),GarminSessions!$N$2:$N$200),"")</f>
        <v/>
      </c>
      <c r="O35" s="186">
        <f>IFERROR(LOOKUP(2,1/(GarminSessions!$A$2:$A$200=$A35),GarminSessions!$O$2:$O$200),"")</f>
        <v/>
      </c>
      <c r="P35" s="186">
        <f>IFERROR(LOOKUP(2,1/(GarminSessions!$A$2:$A$200=$A35),GarminSessions!$P$2:$P$200),"")</f>
        <v/>
      </c>
      <c r="Q35" s="246">
        <f>IFERROR(LOOKUP(2,1/(GarminSessions!$A$2:$A$200=$A35),GarminSessions!$R$2:$R$200),"")</f>
        <v/>
      </c>
    </row>
    <row r="36" ht="18.75" customHeight="1" s="141">
      <c r="A36" s="358" t="n"/>
      <c r="B36" s="239">
        <f>IFERROR(LOOKUP(2,1/(GarminSessions!$A$2:$A$200=$A36),GarminSessions!$D$2:$D$200),"")</f>
        <v/>
      </c>
      <c r="C36" s="240">
        <f>IFERROR(LOOKUP(2,1/(GarminSessions!$A$2:$A$200=$A36),GarminSessions!$Q$2:$Q$200),"")</f>
        <v/>
      </c>
      <c r="D36" s="241">
        <f>COUNT(E36:K36)</f>
        <v/>
      </c>
      <c r="E36" s="242">
        <f>IFERROR(LOOKUP(2,1/(GarminSessions!$A$2:$A$200=$A36),GarminSessions!$E$2:$E$200),"")</f>
        <v/>
      </c>
      <c r="F36" s="242">
        <f>IFERROR(LOOKUP(2,1/(GarminSessions!$A$2:$A$200=$A36),GarminSessions!$F$2:$F$200),"")</f>
        <v/>
      </c>
      <c r="G36" s="242">
        <f>IFERROR(LOOKUP(2,1/(GarminSessions!$A$2:$A$200=$A36),GarminSessions!$G$2:$G$200),"")</f>
        <v/>
      </c>
      <c r="H36" s="242">
        <f>IFERROR(LOOKUP(2,1/(GarminSessions!$A$2:$A$200=$A36),GarminSessions!$H$2:$H$200),"")</f>
        <v/>
      </c>
      <c r="I36" s="242">
        <f>IFERROR(LOOKUP(2,1/(GarminSessions!$A$2:$A$200=$A36),GarminSessions!$I$2:$I$200),"")</f>
        <v/>
      </c>
      <c r="J36" s="242">
        <f>IFERROR(LOOKUP(2,1/(GarminSessions!$A$2:$A$200=$A36),GarminSessions!$J$2:$J$200),"")</f>
        <v/>
      </c>
      <c r="K36" s="242">
        <f>IFERROR(LOOKUP(2,1/(GarminSessions!$A$2:$A$200=$A36),GarminSessions!$K$2:$K$200),"")</f>
        <v/>
      </c>
      <c r="L36" s="243">
        <f>IFERROR(LOOKUP(2,1/(GarminSessions!$A$2:$A$200=$A36),GarminSessions!$L$2:$L$200),"")</f>
        <v/>
      </c>
      <c r="M36" s="244">
        <f>IFERROR(LOOKUP(2,1/(GarminSessions!$A$2:$A$200=$A36),GarminSessions!$M$2:$M$200),"")</f>
        <v/>
      </c>
      <c r="N36" s="243">
        <f>IFERROR(LOOKUP(2,1/(GarminSessions!$A$2:$A$200=$A36),GarminSessions!$N$2:$N$200),"")</f>
        <v/>
      </c>
      <c r="O36" s="245">
        <f>IFERROR(LOOKUP(2,1/(GarminSessions!$A$2:$A$200=$A36),GarminSessions!$O$2:$O$200),"")</f>
        <v/>
      </c>
      <c r="P36" s="245">
        <f>IFERROR(LOOKUP(2,1/(GarminSessions!$A$2:$A$200=$A36),GarminSessions!$P$2:$P$200),"")</f>
        <v/>
      </c>
      <c r="Q36" s="240">
        <f>IFERROR(LOOKUP(2,1/(GarminSessions!$A$2:$A$200=$A36),GarminSessions!$R$2:$R$200),"")</f>
        <v/>
      </c>
    </row>
    <row r="37" ht="18.75" customHeight="1" s="141">
      <c r="A37" s="336" t="n"/>
      <c r="B37" s="184">
        <f>IFERROR(LOOKUP(2,1/(GarminSessions!$A$2:$A$200=$A37),GarminSessions!$D$2:$D$200),"")</f>
        <v/>
      </c>
      <c r="C37" s="246">
        <f>IFERROR(LOOKUP(2,1/(GarminSessions!$A$2:$A$200=$A37),GarminSessions!$Q$2:$Q$200),"")</f>
        <v/>
      </c>
      <c r="D37" s="187">
        <f>COUNT(E37:K37)</f>
        <v/>
      </c>
      <c r="E37" s="185">
        <f>IFERROR(LOOKUP(2,1/(GarminSessions!$A$2:$A$200=$A37),GarminSessions!$E$2:$E$200),"")</f>
        <v/>
      </c>
      <c r="F37" s="185">
        <f>IFERROR(LOOKUP(2,1/(GarminSessions!$A$2:$A$200=$A37),GarminSessions!$F$2:$F$200),"")</f>
        <v/>
      </c>
      <c r="G37" s="185">
        <f>IFERROR(LOOKUP(2,1/(GarminSessions!$A$2:$A$200=$A37),GarminSessions!$G$2:$G$200),"")</f>
        <v/>
      </c>
      <c r="H37" s="185">
        <f>IFERROR(LOOKUP(2,1/(GarminSessions!$A$2:$A$200=$A37),GarminSessions!$H$2:$H$200),"")</f>
        <v/>
      </c>
      <c r="I37" s="185">
        <f>IFERROR(LOOKUP(2,1/(GarminSessions!$A$2:$A$200=$A37),GarminSessions!$I$2:$I$200),"")</f>
        <v/>
      </c>
      <c r="J37" s="185">
        <f>IFERROR(LOOKUP(2,1/(GarminSessions!$A$2:$A$200=$A37),GarminSessions!$J$2:$J$200),"")</f>
        <v/>
      </c>
      <c r="K37" s="185">
        <f>IFERROR(LOOKUP(2,1/(GarminSessions!$A$2:$A$200=$A37),GarminSessions!$K$2:$K$200),"")</f>
        <v/>
      </c>
      <c r="L37" s="188">
        <f>IFERROR(LOOKUP(2,1/(GarminSessions!$A$2:$A$200=$A37),GarminSessions!$L$2:$L$200),"")</f>
        <v/>
      </c>
      <c r="M37" s="234">
        <f>IFERROR(LOOKUP(2,1/(GarminSessions!$A$2:$A$200=$A37),GarminSessions!$M$2:$M$200),"")</f>
        <v/>
      </c>
      <c r="N37" s="188">
        <f>IFERROR(LOOKUP(2,1/(GarminSessions!$A$2:$A$200=$A37),GarminSessions!$N$2:$N$200),"")</f>
        <v/>
      </c>
      <c r="O37" s="186">
        <f>IFERROR(LOOKUP(2,1/(GarminSessions!$A$2:$A$200=$A37),GarminSessions!$O$2:$O$200),"")</f>
        <v/>
      </c>
      <c r="P37" s="186">
        <f>IFERROR(LOOKUP(2,1/(GarminSessions!$A$2:$A$200=$A37),GarminSessions!$P$2:$P$200),"")</f>
        <v/>
      </c>
      <c r="Q37" s="246">
        <f>IFERROR(LOOKUP(2,1/(GarminSessions!$A$2:$A$200=$A37),GarminSessions!$R$2:$R$200),"")</f>
        <v/>
      </c>
    </row>
    <row r="38" ht="18.75" customHeight="1" s="141">
      <c r="A38" s="358" t="n"/>
      <c r="B38" s="239">
        <f>IFERROR(LOOKUP(2,1/(GarminSessions!$A$2:$A$200=$A38),GarminSessions!$D$2:$D$200),"")</f>
        <v/>
      </c>
      <c r="C38" s="240">
        <f>IFERROR(LOOKUP(2,1/(GarminSessions!$A$2:$A$200=$A38),GarminSessions!$Q$2:$Q$200),"")</f>
        <v/>
      </c>
      <c r="D38" s="241">
        <f>COUNT(E38:K38)</f>
        <v/>
      </c>
      <c r="E38" s="242">
        <f>IFERROR(LOOKUP(2,1/(GarminSessions!$A$2:$A$200=$A38),GarminSessions!$E$2:$E$200),"")</f>
        <v/>
      </c>
      <c r="F38" s="242">
        <f>IFERROR(LOOKUP(2,1/(GarminSessions!$A$2:$A$200=$A38),GarminSessions!$F$2:$F$200),"")</f>
        <v/>
      </c>
      <c r="G38" s="242">
        <f>IFERROR(LOOKUP(2,1/(GarminSessions!$A$2:$A$200=$A38),GarminSessions!$G$2:$G$200),"")</f>
        <v/>
      </c>
      <c r="H38" s="242">
        <f>IFERROR(LOOKUP(2,1/(GarminSessions!$A$2:$A$200=$A38),GarminSessions!$H$2:$H$200),"")</f>
        <v/>
      </c>
      <c r="I38" s="242">
        <f>IFERROR(LOOKUP(2,1/(GarminSessions!$A$2:$A$200=$A38),GarminSessions!$I$2:$I$200),"")</f>
        <v/>
      </c>
      <c r="J38" s="242">
        <f>IFERROR(LOOKUP(2,1/(GarminSessions!$A$2:$A$200=$A38),GarminSessions!$J$2:$J$200),"")</f>
        <v/>
      </c>
      <c r="K38" s="242">
        <f>IFERROR(LOOKUP(2,1/(GarminSessions!$A$2:$A$200=$A38),GarminSessions!$K$2:$K$200),"")</f>
        <v/>
      </c>
      <c r="L38" s="243">
        <f>IFERROR(LOOKUP(2,1/(GarminSessions!$A$2:$A$200=$A38),GarminSessions!$L$2:$L$200),"")</f>
        <v/>
      </c>
      <c r="M38" s="244">
        <f>IFERROR(LOOKUP(2,1/(GarminSessions!$A$2:$A$200=$A38),GarminSessions!$M$2:$M$200),"")</f>
        <v/>
      </c>
      <c r="N38" s="243">
        <f>IFERROR(LOOKUP(2,1/(GarminSessions!$A$2:$A$200=$A38),GarminSessions!$N$2:$N$200),"")</f>
        <v/>
      </c>
      <c r="O38" s="245">
        <f>IFERROR(LOOKUP(2,1/(GarminSessions!$A$2:$A$200=$A38),GarminSessions!$O$2:$O$200),"")</f>
        <v/>
      </c>
      <c r="P38" s="245">
        <f>IFERROR(LOOKUP(2,1/(GarminSessions!$A$2:$A$200=$A38),GarminSessions!$P$2:$P$200),"")</f>
        <v/>
      </c>
      <c r="Q38" s="240">
        <f>IFERROR(LOOKUP(2,1/(GarminSessions!$A$2:$A$200=$A38),GarminSessions!$R$2:$R$200),"")</f>
        <v/>
      </c>
    </row>
    <row r="39" ht="18.75" customHeight="1" s="141">
      <c r="A39" s="336" t="n"/>
      <c r="B39" s="184">
        <f>IFERROR(LOOKUP(2,1/(GarminSessions!$A$2:$A$200=$A39),GarminSessions!$D$2:$D$200),"")</f>
        <v/>
      </c>
      <c r="C39" s="246">
        <f>IFERROR(LOOKUP(2,1/(GarminSessions!$A$2:$A$200=$A39),GarminSessions!$Q$2:$Q$200),"")</f>
        <v/>
      </c>
      <c r="D39" s="187">
        <f>COUNT(E39:K39)</f>
        <v/>
      </c>
      <c r="E39" s="185">
        <f>IFERROR(LOOKUP(2,1/(GarminSessions!$A$2:$A$200=$A39),GarminSessions!$E$2:$E$200),"")</f>
        <v/>
      </c>
      <c r="F39" s="185">
        <f>IFERROR(LOOKUP(2,1/(GarminSessions!$A$2:$A$200=$A39),GarminSessions!$F$2:$F$200),"")</f>
        <v/>
      </c>
      <c r="G39" s="185">
        <f>IFERROR(LOOKUP(2,1/(GarminSessions!$A$2:$A$200=$A39),GarminSessions!$G$2:$G$200),"")</f>
        <v/>
      </c>
      <c r="H39" s="185">
        <f>IFERROR(LOOKUP(2,1/(GarminSessions!$A$2:$A$200=$A39),GarminSessions!$H$2:$H$200),"")</f>
        <v/>
      </c>
      <c r="I39" s="185">
        <f>IFERROR(LOOKUP(2,1/(GarminSessions!$A$2:$A$200=$A39),GarminSessions!$I$2:$I$200),"")</f>
        <v/>
      </c>
      <c r="J39" s="185">
        <f>IFERROR(LOOKUP(2,1/(GarminSessions!$A$2:$A$200=$A39),GarminSessions!$J$2:$J$200),"")</f>
        <v/>
      </c>
      <c r="K39" s="185">
        <f>IFERROR(LOOKUP(2,1/(GarminSessions!$A$2:$A$200=$A39),GarminSessions!$K$2:$K$200),"")</f>
        <v/>
      </c>
      <c r="L39" s="188">
        <f>IFERROR(LOOKUP(2,1/(GarminSessions!$A$2:$A$200=$A39),GarminSessions!$L$2:$L$200),"")</f>
        <v/>
      </c>
      <c r="M39" s="234">
        <f>IFERROR(LOOKUP(2,1/(GarminSessions!$A$2:$A$200=$A39),GarminSessions!$M$2:$M$200),"")</f>
        <v/>
      </c>
      <c r="N39" s="188">
        <f>IFERROR(LOOKUP(2,1/(GarminSessions!$A$2:$A$200=$A39),GarminSessions!$N$2:$N$200),"")</f>
        <v/>
      </c>
      <c r="O39" s="186">
        <f>IFERROR(LOOKUP(2,1/(GarminSessions!$A$2:$A$200=$A39),GarminSessions!$O$2:$O$200),"")</f>
        <v/>
      </c>
      <c r="P39" s="186">
        <f>IFERROR(LOOKUP(2,1/(GarminSessions!$A$2:$A$200=$A39),GarminSessions!$P$2:$P$200),"")</f>
        <v/>
      </c>
      <c r="Q39" s="246">
        <f>IFERROR(LOOKUP(2,1/(GarminSessions!$A$2:$A$200=$A39),GarminSessions!$R$2:$R$200),"")</f>
        <v/>
      </c>
    </row>
    <row r="40" ht="18.75" customHeight="1" s="141">
      <c r="A40" s="358" t="n"/>
      <c r="B40" s="239">
        <f>IFERROR(LOOKUP(2,1/(GarminSessions!$A$2:$A$200=$A40),GarminSessions!$D$2:$D$200),"")</f>
        <v/>
      </c>
      <c r="C40" s="240">
        <f>IFERROR(LOOKUP(2,1/(GarminSessions!$A$2:$A$200=$A40),GarminSessions!$Q$2:$Q$200),"")</f>
        <v/>
      </c>
      <c r="D40" s="241">
        <f>COUNT(E40:K40)</f>
        <v/>
      </c>
      <c r="E40" s="242">
        <f>IFERROR(LOOKUP(2,1/(GarminSessions!$A$2:$A$200=$A40),GarminSessions!$E$2:$E$200),"")</f>
        <v/>
      </c>
      <c r="F40" s="242">
        <f>IFERROR(LOOKUP(2,1/(GarminSessions!$A$2:$A$200=$A40),GarminSessions!$F$2:$F$200),"")</f>
        <v/>
      </c>
      <c r="G40" s="242">
        <f>IFERROR(LOOKUP(2,1/(GarminSessions!$A$2:$A$200=$A40),GarminSessions!$G$2:$G$200),"")</f>
        <v/>
      </c>
      <c r="H40" s="242">
        <f>IFERROR(LOOKUP(2,1/(GarminSessions!$A$2:$A$200=$A40),GarminSessions!$H$2:$H$200),"")</f>
        <v/>
      </c>
      <c r="I40" s="242">
        <f>IFERROR(LOOKUP(2,1/(GarminSessions!$A$2:$A$200=$A40),GarminSessions!$I$2:$I$200),"")</f>
        <v/>
      </c>
      <c r="J40" s="242">
        <f>IFERROR(LOOKUP(2,1/(GarminSessions!$A$2:$A$200=$A40),GarminSessions!$J$2:$J$200),"")</f>
        <v/>
      </c>
      <c r="K40" s="242">
        <f>IFERROR(LOOKUP(2,1/(GarminSessions!$A$2:$A$200=$A40),GarminSessions!$K$2:$K$200),"")</f>
        <v/>
      </c>
      <c r="L40" s="243">
        <f>IFERROR(LOOKUP(2,1/(GarminSessions!$A$2:$A$200=$A40),GarminSessions!$L$2:$L$200),"")</f>
        <v/>
      </c>
      <c r="M40" s="244">
        <f>IFERROR(LOOKUP(2,1/(GarminSessions!$A$2:$A$200=$A40),GarminSessions!$M$2:$M$200),"")</f>
        <v/>
      </c>
      <c r="N40" s="243">
        <f>IFERROR(LOOKUP(2,1/(GarminSessions!$A$2:$A$200=$A40),GarminSessions!$N$2:$N$200),"")</f>
        <v/>
      </c>
      <c r="O40" s="245">
        <f>IFERROR(LOOKUP(2,1/(GarminSessions!$A$2:$A$200=$A40),GarminSessions!$O$2:$O$200),"")</f>
        <v/>
      </c>
      <c r="P40" s="245">
        <f>IFERROR(LOOKUP(2,1/(GarminSessions!$A$2:$A$200=$A40),GarminSessions!$P$2:$P$200),"")</f>
        <v/>
      </c>
      <c r="Q40" s="240">
        <f>IFERROR(LOOKUP(2,1/(GarminSessions!$A$2:$A$200=$A40),GarminSessions!$R$2:$R$200),"")</f>
        <v/>
      </c>
    </row>
    <row r="41" ht="18.75" customHeight="1" s="141">
      <c r="A41" s="336" t="n"/>
      <c r="B41" s="184">
        <f>IFERROR(LOOKUP(2,1/(GarminSessions!$A$2:$A$200=$A41),GarminSessions!$D$2:$D$200),"")</f>
        <v/>
      </c>
      <c r="C41" s="246">
        <f>IFERROR(LOOKUP(2,1/(GarminSessions!$A$2:$A$200=$A41),GarminSessions!$Q$2:$Q$200),"")</f>
        <v/>
      </c>
      <c r="D41" s="187">
        <f>COUNT(E41:K41)</f>
        <v/>
      </c>
      <c r="E41" s="185">
        <f>IFERROR(LOOKUP(2,1/(GarminSessions!$A$2:$A$200=$A41),GarminSessions!$E$2:$E$200),"")</f>
        <v/>
      </c>
      <c r="F41" s="185">
        <f>IFERROR(LOOKUP(2,1/(GarminSessions!$A$2:$A$200=$A41),GarminSessions!$F$2:$F$200),"")</f>
        <v/>
      </c>
      <c r="G41" s="185">
        <f>IFERROR(LOOKUP(2,1/(GarminSessions!$A$2:$A$200=$A41),GarminSessions!$G$2:$G$200),"")</f>
        <v/>
      </c>
      <c r="H41" s="185">
        <f>IFERROR(LOOKUP(2,1/(GarminSessions!$A$2:$A$200=$A41),GarminSessions!$H$2:$H$200),"")</f>
        <v/>
      </c>
      <c r="I41" s="185">
        <f>IFERROR(LOOKUP(2,1/(GarminSessions!$A$2:$A$200=$A41),GarminSessions!$I$2:$I$200),"")</f>
        <v/>
      </c>
      <c r="J41" s="185">
        <f>IFERROR(LOOKUP(2,1/(GarminSessions!$A$2:$A$200=$A41),GarminSessions!$J$2:$J$200),"")</f>
        <v/>
      </c>
      <c r="K41" s="185">
        <f>IFERROR(LOOKUP(2,1/(GarminSessions!$A$2:$A$200=$A41),GarminSessions!$K$2:$K$200),"")</f>
        <v/>
      </c>
      <c r="L41" s="188">
        <f>IFERROR(LOOKUP(2,1/(GarminSessions!$A$2:$A$200=$A41),GarminSessions!$L$2:$L$200),"")</f>
        <v/>
      </c>
      <c r="M41" s="234">
        <f>IFERROR(LOOKUP(2,1/(GarminSessions!$A$2:$A$200=$A41),GarminSessions!$M$2:$M$200),"")</f>
        <v/>
      </c>
      <c r="N41" s="188">
        <f>IFERROR(LOOKUP(2,1/(GarminSessions!$A$2:$A$200=$A41),GarminSessions!$N$2:$N$200),"")</f>
        <v/>
      </c>
      <c r="O41" s="186">
        <f>IFERROR(LOOKUP(2,1/(GarminSessions!$A$2:$A$200=$A41),GarminSessions!$O$2:$O$200),"")</f>
        <v/>
      </c>
      <c r="P41" s="186">
        <f>IFERROR(LOOKUP(2,1/(GarminSessions!$A$2:$A$200=$A41),GarminSessions!$P$2:$P$200),"")</f>
        <v/>
      </c>
      <c r="Q41" s="246">
        <f>IFERROR(LOOKUP(2,1/(GarminSessions!$A$2:$A$200=$A41),GarminSessions!$R$2:$R$200),"")</f>
        <v/>
      </c>
    </row>
    <row r="42" ht="18.75" customHeight="1" s="141">
      <c r="A42" s="358" t="n"/>
      <c r="B42" s="239">
        <f>IFERROR(LOOKUP(2,1/(GarminSessions!$A$2:$A$200=$A42),GarminSessions!$D$2:$D$200),"")</f>
        <v/>
      </c>
      <c r="C42" s="240">
        <f>IFERROR(LOOKUP(2,1/(GarminSessions!$A$2:$A$200=$A42),GarminSessions!$Q$2:$Q$200),"")</f>
        <v/>
      </c>
      <c r="D42" s="241">
        <f>COUNT(E42:K42)</f>
        <v/>
      </c>
      <c r="E42" s="242">
        <f>IFERROR(LOOKUP(2,1/(GarminSessions!$A$2:$A$200=$A42),GarminSessions!$E$2:$E$200),"")</f>
        <v/>
      </c>
      <c r="F42" s="242">
        <f>IFERROR(LOOKUP(2,1/(GarminSessions!$A$2:$A$200=$A42),GarminSessions!$F$2:$F$200),"")</f>
        <v/>
      </c>
      <c r="G42" s="242">
        <f>IFERROR(LOOKUP(2,1/(GarminSessions!$A$2:$A$200=$A42),GarminSessions!$G$2:$G$200),"")</f>
        <v/>
      </c>
      <c r="H42" s="242">
        <f>IFERROR(LOOKUP(2,1/(GarminSessions!$A$2:$A$200=$A42),GarminSessions!$H$2:$H$200),"")</f>
        <v/>
      </c>
      <c r="I42" s="242">
        <f>IFERROR(LOOKUP(2,1/(GarminSessions!$A$2:$A$200=$A42),GarminSessions!$I$2:$I$200),"")</f>
        <v/>
      </c>
      <c r="J42" s="242">
        <f>IFERROR(LOOKUP(2,1/(GarminSessions!$A$2:$A$200=$A42),GarminSessions!$J$2:$J$200),"")</f>
        <v/>
      </c>
      <c r="K42" s="242">
        <f>IFERROR(LOOKUP(2,1/(GarminSessions!$A$2:$A$200=$A42),GarminSessions!$K$2:$K$200),"")</f>
        <v/>
      </c>
      <c r="L42" s="243">
        <f>IFERROR(LOOKUP(2,1/(GarminSessions!$A$2:$A$200=$A42),GarminSessions!$L$2:$L$200),"")</f>
        <v/>
      </c>
      <c r="M42" s="244">
        <f>IFERROR(LOOKUP(2,1/(GarminSessions!$A$2:$A$200=$A42),GarminSessions!$M$2:$M$200),"")</f>
        <v/>
      </c>
      <c r="N42" s="243">
        <f>IFERROR(LOOKUP(2,1/(GarminSessions!$A$2:$A$200=$A42),GarminSessions!$N$2:$N$200),"")</f>
        <v/>
      </c>
      <c r="O42" s="245">
        <f>IFERROR(LOOKUP(2,1/(GarminSessions!$A$2:$A$200=$A42),GarminSessions!$O$2:$O$200),"")</f>
        <v/>
      </c>
      <c r="P42" s="245">
        <f>IFERROR(LOOKUP(2,1/(GarminSessions!$A$2:$A$200=$A42),GarminSessions!$P$2:$P$200),"")</f>
        <v/>
      </c>
      <c r="Q42" s="240">
        <f>IFERROR(LOOKUP(2,1/(GarminSessions!$A$2:$A$200=$A42),GarminSessions!$R$2:$R$200),"")</f>
        <v/>
      </c>
    </row>
    <row r="43" ht="18.75" customHeight="1" s="141">
      <c r="A43" s="336" t="n"/>
      <c r="B43" s="184">
        <f>IFERROR(LOOKUP(2,1/(GarminSessions!$A$2:$A$200=$A43),GarminSessions!$D$2:$D$200),"")</f>
        <v/>
      </c>
      <c r="C43" s="246">
        <f>IFERROR(LOOKUP(2,1/(GarminSessions!$A$2:$A$200=$A43),GarminSessions!$Q$2:$Q$200),"")</f>
        <v/>
      </c>
      <c r="D43" s="187">
        <f>COUNT(E43:K43)</f>
        <v/>
      </c>
      <c r="E43" s="185">
        <f>IFERROR(LOOKUP(2,1/(GarminSessions!$A$2:$A$200=$A43),GarminSessions!$E$2:$E$200),"")</f>
        <v/>
      </c>
      <c r="F43" s="185">
        <f>IFERROR(LOOKUP(2,1/(GarminSessions!$A$2:$A$200=$A43),GarminSessions!$F$2:$F$200),"")</f>
        <v/>
      </c>
      <c r="G43" s="185">
        <f>IFERROR(LOOKUP(2,1/(GarminSessions!$A$2:$A$200=$A43),GarminSessions!$G$2:$G$200),"")</f>
        <v/>
      </c>
      <c r="H43" s="185">
        <f>IFERROR(LOOKUP(2,1/(GarminSessions!$A$2:$A$200=$A43),GarminSessions!$H$2:$H$200),"")</f>
        <v/>
      </c>
      <c r="I43" s="185">
        <f>IFERROR(LOOKUP(2,1/(GarminSessions!$A$2:$A$200=$A43),GarminSessions!$I$2:$I$200),"")</f>
        <v/>
      </c>
      <c r="J43" s="185">
        <f>IFERROR(LOOKUP(2,1/(GarminSessions!$A$2:$A$200=$A43),GarminSessions!$J$2:$J$200),"")</f>
        <v/>
      </c>
      <c r="K43" s="185">
        <f>IFERROR(LOOKUP(2,1/(GarminSessions!$A$2:$A$200=$A43),GarminSessions!$K$2:$K$200),"")</f>
        <v/>
      </c>
      <c r="L43" s="188">
        <f>IFERROR(LOOKUP(2,1/(GarminSessions!$A$2:$A$200=$A43),GarminSessions!$L$2:$L$200),"")</f>
        <v/>
      </c>
      <c r="M43" s="234">
        <f>IFERROR(LOOKUP(2,1/(GarminSessions!$A$2:$A$200=$A43),GarminSessions!$M$2:$M$200),"")</f>
        <v/>
      </c>
      <c r="N43" s="188">
        <f>IFERROR(LOOKUP(2,1/(GarminSessions!$A$2:$A$200=$A43),GarminSessions!$N$2:$N$200),"")</f>
        <v/>
      </c>
      <c r="O43" s="186">
        <f>IFERROR(LOOKUP(2,1/(GarminSessions!$A$2:$A$200=$A43),GarminSessions!$O$2:$O$200),"")</f>
        <v/>
      </c>
      <c r="P43" s="186">
        <f>IFERROR(LOOKUP(2,1/(GarminSessions!$A$2:$A$200=$A43),GarminSessions!$P$2:$P$200),"")</f>
        <v/>
      </c>
      <c r="Q43" s="246">
        <f>IFERROR(LOOKUP(2,1/(GarminSessions!$A$2:$A$200=$A43),GarminSessions!$R$2:$R$200),"")</f>
        <v/>
      </c>
    </row>
    <row r="44">
      <c r="A44" s="309" t="n"/>
      <c r="B44" s="309" t="n"/>
      <c r="C44" s="309" t="n"/>
      <c r="D44" s="309" t="n"/>
      <c r="E44" s="309" t="n"/>
      <c r="F44" s="309" t="n"/>
      <c r="G44" s="309" t="n"/>
      <c r="H44" s="309" t="n"/>
      <c r="I44" s="309" t="n"/>
      <c r="J44" s="309" t="n"/>
      <c r="K44" s="309" t="n"/>
      <c r="L44" s="309" t="n"/>
      <c r="M44" s="309" t="n"/>
      <c r="N44" s="309" t="n"/>
      <c r="O44" s="309" t="n"/>
      <c r="P44" s="309" t="n"/>
      <c r="Q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c r="N45" s="309" t="n"/>
      <c r="O45" s="309" t="n"/>
      <c r="P45" s="309" t="n"/>
      <c r="Q45" s="309" t="n"/>
    </row>
    <row r="46" ht="21.75" customHeight="1" s="141">
      <c r="A46" s="362" t="inlineStr">
        <is>
          <r>
            <rPr>
              <i/>
              <color rgb="FF595959"/>
              <sz val="12"/>
              <rFont val="Calibri"/>
              <family val="2"/>
            </rPr>
            <t xml:space="preserve">Load Log shot cells already pull from this sheet. The formula in Load Log!C16 (Load 1, Shot 1) is:
    =IF('Garmin Xero Import'!E6="","",'Garmin Xero Import'!E6)
Row positions are fixed:
  • Load Log Loads 1–10  →  this sheet's rows 6–15
  • Seating Depth Tests 1–10  →  this sheet's rows 17–26
Shots always pulled from columns E–I (Shot 1–5).
Per-session workflow:
  1. After a range session, share the Garmin CSV from ShotView.
  2. Open it in any spreadsheet/text app.
  3. Copy the per-shot SPEED (FPS) values.
  4. Paste into the matching row's Shot 1–5 cells (E–I) here.
  5. Avg / SD / ES recompute; Load Log + Seating Depth update automatically.
Short strings (3- or 4-shot): Avg/SD/ES on this row still compute, and the Load Log row's Avg/SD/ES will too — Excel's AVERAGE/STDEV ignore empty cells. Just be aware that 3-shot SDs are very noisy.</t>
          </r>
        </is>
      </c>
      <c r="B46" s="309" t="n"/>
      <c r="C46" s="309" t="n"/>
      <c r="D46" s="309" t="n"/>
      <c r="E46" s="309" t="n"/>
      <c r="F46" s="309" t="n"/>
      <c r="G46" s="309" t="n"/>
      <c r="H46" s="309" t="n"/>
      <c r="I46" s="309" t="n"/>
      <c r="J46" s="309" t="n"/>
      <c r="K46" s="309" t="n"/>
      <c r="L46" s="309" t="n"/>
      <c r="M46" s="309" t="n"/>
      <c r="N46" s="309" t="n"/>
      <c r="O46" s="309" t="n"/>
      <c r="P46" s="309" t="n"/>
      <c r="Q46" s="309" t="n"/>
    </row>
    <row r="47" ht="21.75" customHeight="1" s="141">
      <c r="A47" s="309" t="n"/>
      <c r="B47" s="309" t="n"/>
      <c r="C47" s="309" t="n"/>
      <c r="D47" s="309" t="n"/>
      <c r="E47" s="309" t="n"/>
      <c r="F47" s="309" t="n"/>
      <c r="G47" s="309" t="n"/>
      <c r="H47" s="309" t="n"/>
      <c r="I47" s="309" t="n"/>
      <c r="J47" s="309" t="n"/>
      <c r="K47" s="309" t="n"/>
      <c r="L47" s="309" t="n"/>
      <c r="M47" s="309" t="n"/>
      <c r="N47" s="309" t="n"/>
      <c r="O47" s="309" t="n"/>
      <c r="P47" s="309" t="n"/>
      <c r="Q47" s="309" t="n"/>
    </row>
    <row r="48" ht="21.75" customHeight="1" s="141">
      <c r="A48" s="309" t="n"/>
      <c r="B48" s="309" t="n"/>
      <c r="C48" s="309" t="n"/>
      <c r="D48" s="309" t="n"/>
      <c r="E48" s="309" t="n"/>
      <c r="F48" s="309" t="n"/>
      <c r="G48" s="309" t="n"/>
      <c r="H48" s="309" t="n"/>
      <c r="I48" s="309" t="n"/>
      <c r="J48" s="309" t="n"/>
      <c r="K48" s="309" t="n"/>
      <c r="L48" s="309" t="n"/>
      <c r="M48" s="309" t="n"/>
      <c r="N48" s="309" t="n"/>
      <c r="O48" s="309" t="n"/>
      <c r="P48" s="309" t="n"/>
      <c r="Q48" s="309" t="n"/>
    </row>
    <row r="49" ht="21.75" customHeight="1" s="141">
      <c r="A49" s="309" t="n"/>
      <c r="B49" s="309" t="n"/>
      <c r="C49" s="309" t="n"/>
      <c r="D49" s="309" t="n"/>
      <c r="E49" s="309" t="n"/>
      <c r="F49" s="309" t="n"/>
      <c r="G49" s="309" t="n"/>
      <c r="H49" s="309" t="n"/>
      <c r="I49" s="309" t="n"/>
      <c r="J49" s="309" t="n"/>
      <c r="K49" s="309" t="n"/>
      <c r="L49" s="309" t="n"/>
      <c r="M49" s="309" t="n"/>
      <c r="N49" s="309" t="n"/>
      <c r="O49" s="309" t="n"/>
      <c r="P49" s="309" t="n"/>
      <c r="Q49" s="309" t="n"/>
    </row>
    <row r="50" ht="21.75" customHeight="1" s="141">
      <c r="A50" s="309" t="n"/>
      <c r="B50" s="309" t="n"/>
      <c r="C50" s="309" t="n"/>
      <c r="D50" s="309" t="n"/>
      <c r="E50" s="309" t="n"/>
      <c r="F50" s="309" t="n"/>
      <c r="G50" s="309" t="n"/>
      <c r="H50" s="309" t="n"/>
      <c r="I50" s="309" t="n"/>
      <c r="J50" s="309" t="n"/>
      <c r="K50" s="309" t="n"/>
      <c r="L50" s="309" t="n"/>
      <c r="M50" s="309" t="n"/>
      <c r="N50" s="309" t="n"/>
      <c r="O50" s="309" t="n"/>
      <c r="P50" s="309" t="n"/>
      <c r="Q50" s="309" t="n"/>
    </row>
    <row r="51" ht="21.75" customHeight="1" s="141">
      <c r="A51" s="309" t="n"/>
      <c r="B51" s="309" t="n"/>
      <c r="C51" s="309" t="n"/>
      <c r="D51" s="309" t="n"/>
      <c r="E51" s="309" t="n"/>
      <c r="F51" s="309" t="n"/>
      <c r="G51" s="309" t="n"/>
      <c r="H51" s="309" t="n"/>
      <c r="I51" s="309" t="n"/>
      <c r="J51" s="309" t="n"/>
      <c r="K51" s="309" t="n"/>
      <c r="L51" s="309" t="n"/>
      <c r="M51" s="309" t="n"/>
      <c r="N51" s="309" t="n"/>
      <c r="O51" s="309" t="n"/>
      <c r="P51" s="309" t="n"/>
      <c r="Q51" s="309" t="n"/>
    </row>
    <row r="52" ht="21.75" customHeight="1" s="141">
      <c r="A52" s="309" t="n"/>
      <c r="B52" s="309" t="n"/>
      <c r="C52" s="309" t="n"/>
      <c r="D52" s="309" t="n"/>
      <c r="E52" s="309" t="n"/>
      <c r="F52" s="309" t="n"/>
      <c r="G52" s="309" t="n"/>
      <c r="H52" s="309" t="n"/>
      <c r="I52" s="309" t="n"/>
      <c r="J52" s="309" t="n"/>
      <c r="K52" s="309" t="n"/>
      <c r="L52" s="309" t="n"/>
      <c r="M52" s="309" t="n"/>
      <c r="N52" s="309" t="n"/>
      <c r="O52" s="309" t="n"/>
      <c r="P52" s="309" t="n"/>
      <c r="Q52" s="309" t="n"/>
    </row>
    <row r="53" ht="21.75" customHeight="1" s="141">
      <c r="A53" s="309" t="n"/>
      <c r="B53" s="309" t="n"/>
      <c r="C53" s="309" t="n"/>
      <c r="D53" s="309" t="n"/>
      <c r="E53" s="309" t="n"/>
      <c r="F53" s="309" t="n"/>
      <c r="G53" s="309" t="n"/>
      <c r="H53" s="309" t="n"/>
      <c r="I53" s="309" t="n"/>
      <c r="J53" s="309" t="n"/>
      <c r="K53" s="309" t="n"/>
      <c r="L53" s="309" t="n"/>
      <c r="M53" s="309" t="n"/>
      <c r="N53" s="309" t="n"/>
      <c r="O53" s="309" t="n"/>
      <c r="P53" s="309" t="n"/>
      <c r="Q53" s="309" t="n"/>
    </row>
    <row r="54" ht="21.75" customHeight="1" s="141">
      <c r="A54" s="309" t="n"/>
      <c r="B54" s="309" t="n"/>
      <c r="C54" s="309" t="n"/>
      <c r="D54" s="309" t="n"/>
      <c r="E54" s="309" t="n"/>
      <c r="F54" s="309" t="n"/>
      <c r="G54" s="309" t="n"/>
      <c r="H54" s="309" t="n"/>
      <c r="I54" s="309" t="n"/>
      <c r="J54" s="309" t="n"/>
      <c r="K54" s="309" t="n"/>
      <c r="L54" s="309" t="n"/>
      <c r="M54" s="309" t="n"/>
      <c r="N54" s="309" t="n"/>
      <c r="O54" s="309" t="n"/>
      <c r="P54" s="309" t="n"/>
      <c r="Q54" s="309" t="n"/>
    </row>
    <row r="55" ht="21.75" customHeight="1" s="141">
      <c r="A55" s="309" t="n"/>
      <c r="B55" s="309" t="n"/>
      <c r="C55" s="309" t="n"/>
      <c r="D55" s="309" t="n"/>
      <c r="E55" s="309" t="n"/>
      <c r="F55" s="309" t="n"/>
      <c r="G55" s="309" t="n"/>
      <c r="H55" s="309" t="n"/>
      <c r="I55" s="309" t="n"/>
      <c r="J55" s="309" t="n"/>
      <c r="K55" s="309" t="n"/>
      <c r="L55" s="309" t="n"/>
      <c r="M55" s="309" t="n"/>
      <c r="N55" s="309" t="n"/>
      <c r="O55" s="309" t="n"/>
      <c r="P55" s="309" t="n"/>
      <c r="Q55" s="309" t="n"/>
    </row>
    <row r="56" ht="21.75" customHeight="1" s="141">
      <c r="A56" s="309" t="n"/>
      <c r="B56" s="309" t="n"/>
      <c r="C56" s="309" t="n"/>
      <c r="D56" s="309" t="n"/>
      <c r="E56" s="309" t="n"/>
      <c r="F56" s="309" t="n"/>
      <c r="G56" s="309" t="n"/>
      <c r="H56" s="309" t="n"/>
      <c r="I56" s="309" t="n"/>
      <c r="J56" s="309" t="n"/>
      <c r="K56" s="309" t="n"/>
      <c r="L56" s="309" t="n"/>
      <c r="M56" s="309" t="n"/>
      <c r="N56" s="309" t="n"/>
      <c r="O56" s="309" t="n"/>
      <c r="P56" s="309" t="n"/>
      <c r="Q56" s="309" t="n"/>
    </row>
    <row r="57" ht="21.75" customHeight="1" s="141">
      <c r="A57" s="309" t="n"/>
      <c r="B57" s="309" t="n"/>
      <c r="C57" s="309" t="n"/>
      <c r="D57" s="309" t="n"/>
      <c r="E57" s="309" t="n"/>
      <c r="F57" s="309" t="n"/>
      <c r="G57" s="309" t="n"/>
      <c r="H57" s="309" t="n"/>
      <c r="I57" s="309" t="n"/>
      <c r="J57" s="309" t="n"/>
      <c r="K57" s="309" t="n"/>
      <c r="L57" s="309" t="n"/>
      <c r="M57" s="309" t="n"/>
      <c r="N57" s="309" t="n"/>
      <c r="O57" s="309" t="n"/>
      <c r="P57" s="309" t="n"/>
      <c r="Q57" s="309" t="n"/>
    </row>
    <row r="58" ht="21.75" customHeight="1" s="141">
      <c r="A58" s="309" t="n"/>
      <c r="B58" s="309" t="n"/>
      <c r="C58" s="309" t="n"/>
      <c r="D58" s="309" t="n"/>
      <c r="E58" s="309" t="n"/>
      <c r="F58" s="309" t="n"/>
      <c r="G58" s="309" t="n"/>
      <c r="H58" s="309" t="n"/>
      <c r="I58" s="309" t="n"/>
      <c r="J58" s="309" t="n"/>
      <c r="K58" s="309" t="n"/>
      <c r="L58" s="309" t="n"/>
      <c r="M58" s="309" t="n"/>
      <c r="N58" s="309" t="n"/>
      <c r="O58" s="309" t="n"/>
      <c r="P58" s="309" t="n"/>
      <c r="Q58"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3:Q3"/>
    <mergeCell ref="A2:Q2"/>
    <mergeCell ref="A46:Q58"/>
    <mergeCell ref="A16:Q16"/>
    <mergeCell ref="A28:Q28"/>
    <mergeCell ref="A1:Q1"/>
    <mergeCell ref="A45:Q45"/>
  </mergeCells>
  <conditionalFormatting sqref="M6:M15">
    <cfRule type="colorScale" priority="2">
      <colorScale>
        <cfvo type="min" val="0"/>
        <cfvo type="percentile" val="50"/>
        <cfvo type="max" val="0"/>
        <color rgb="FF63BE7B"/>
        <color rgb="FFFFEB84"/>
        <color rgb="FFF8696B"/>
      </colorScale>
    </cfRule>
  </conditionalFormatting>
  <conditionalFormatting sqref="N6:N15">
    <cfRule type="colorScale" priority="3">
      <colorScale>
        <cfvo type="min" val="0"/>
        <cfvo type="percentile" val="50"/>
        <cfvo type="max" val="0"/>
        <color rgb="FF63BE7B"/>
        <color rgb="FFFFEB84"/>
        <color rgb="FFF8696B"/>
      </colorScale>
    </cfRule>
  </conditionalFormatting>
  <conditionalFormatting sqref="M17:M26">
    <cfRule type="colorScale" priority="4">
      <colorScale>
        <cfvo type="min" val="0"/>
        <cfvo type="percentile" val="50"/>
        <cfvo type="max" val="0"/>
        <color rgb="FF63BE7B"/>
        <color rgb="FFFFEB84"/>
        <color rgb="FFF8696B"/>
      </colorScale>
    </cfRule>
  </conditionalFormatting>
  <conditionalFormatting sqref="N17:N26">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fitToHeight="1" orientation="landscape" paperSize="1" scale="100" fitToWidth="1" pageOrder="downThenOver" blackAndWhite="0" draft="0"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outlinePr summaryBelow="1" summaryRight="1"/>
    <pageSetUpPr fitToPage="1"/>
  </sheetPr>
  <dimension ref="A1:M56"/>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7" customWidth="1" style="140" min="1" max="1"/>
    <col width="13" customWidth="1" style="140" min="2" max="2"/>
    <col width="11" customWidth="1" style="140" min="3" max="3"/>
    <col width="10" customWidth="1" style="140" min="4" max="6"/>
    <col width="9" customWidth="1" style="140" min="7" max="8"/>
    <col width="11" customWidth="1" style="140" min="9" max="11"/>
    <col width="18" customWidth="1" style="140" min="12" max="12"/>
    <col width="36" customWidth="1" style="140" min="13" max="13"/>
  </cols>
  <sheetData>
    <row r="1" ht="31.5" customHeight="1" s="141">
      <c r="A1" s="316" t="inlineStr">
        <is>
          <t>BallisticX Import — group-quality data from BallisticX iOS app</t>
        </is>
      </c>
      <c r="B1" s="309" t="n"/>
      <c r="C1" s="309" t="n"/>
      <c r="D1" s="309" t="n"/>
      <c r="E1" s="309" t="n"/>
      <c r="F1" s="309" t="n"/>
      <c r="G1" s="309" t="n"/>
      <c r="H1" s="309" t="n"/>
      <c r="I1" s="309" t="n"/>
      <c r="J1" s="309" t="n"/>
      <c r="K1" s="309" t="n"/>
      <c r="L1" s="309" t="n"/>
      <c r="M1" s="309" t="n"/>
    </row>
    <row r="2" ht="42" customHeight="1" s="141">
      <c r="A2" s="356" t="inlineStr">
        <is>
          <r>
            <rPr>
              <i/>
              <color rgb="FF595959"/>
              <sz val="12"/>
              <rFont val="Calibri"/>
              <family val="2"/>
            </rPr>
            <t xml:space="preserve">This sheet pulls group-quality data from BallisticX CSV exports. After Power Query setup, paste the values into Group (in), Mean Radius (in), and Vertical (in) columns of the Load Log / Seating Depth tabs — or tell Claude "do phase 2" to wire them via lookup formulas.</t>
          </r>
        </is>
      </c>
      <c r="B2" s="309" t="n"/>
      <c r="C2" s="309" t="n"/>
      <c r="D2" s="309" t="n"/>
      <c r="E2" s="309" t="n"/>
      <c r="F2" s="309" t="n"/>
      <c r="G2" s="309" t="n"/>
      <c r="H2" s="309" t="n"/>
      <c r="I2" s="309" t="n"/>
      <c r="J2" s="309" t="n"/>
      <c r="K2" s="309" t="n"/>
      <c r="L2" s="309" t="n"/>
      <c r="M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row>
    <row r="4" ht="6" customHeight="1" s="141">
      <c r="A4" s="309" t="n"/>
      <c r="B4" s="309" t="n"/>
      <c r="C4" s="309" t="n"/>
      <c r="D4" s="309" t="n"/>
      <c r="E4" s="309" t="n"/>
      <c r="F4" s="309" t="n"/>
      <c r="G4" s="309" t="n"/>
      <c r="H4" s="309" t="n"/>
      <c r="I4" s="309" t="n"/>
      <c r="J4" s="309" t="n"/>
      <c r="K4" s="309" t="n"/>
      <c r="L4" s="309" t="n"/>
      <c r="M4" s="309" t="n"/>
    </row>
    <row r="5" ht="37.5" customHeight="1" s="141">
      <c r="A5" s="333" t="inlineStr">
        <is>
          <t>Tag</t>
        </is>
      </c>
      <c r="B5" s="333" t="inlineStr">
        <is>
          <t>Date</t>
        </is>
      </c>
      <c r="C5" s="333" t="inlineStr">
        <is>
          <t>Distance (yd)</t>
        </is>
      </c>
      <c r="D5" s="333" t="inlineStr">
        <is>
          <t>Group (in)</t>
        </is>
      </c>
      <c r="E5" s="333" t="inlineStr">
        <is>
          <t>Width (in)</t>
        </is>
      </c>
      <c r="F5" s="333" t="inlineStr">
        <is>
          <t>Height (in)</t>
        </is>
      </c>
      <c r="G5" s="333" t="inlineStr">
        <is>
          <t>MR (in)</t>
        </is>
      </c>
      <c r="H5" s="333" t="inlineStr">
        <is>
          <t>CEP (in)</t>
        </is>
      </c>
      <c r="I5" s="333" t="inlineStr">
        <is>
          <t>SD Radial (in)</t>
        </is>
      </c>
      <c r="J5" s="333" t="inlineStr">
        <is>
          <t>SD Vert (in)</t>
        </is>
      </c>
      <c r="K5" s="333" t="inlineStr">
        <is>
          <t>SD Horiz (in)</t>
        </is>
      </c>
      <c r="L5" s="333" t="inlineStr">
        <is>
          <t>Caliber</t>
        </is>
      </c>
      <c r="M5" s="333" t="inlineStr">
        <is>
          <t>Notes</t>
        </is>
      </c>
    </row>
    <row r="6" ht="18.75" customHeight="1" s="141">
      <c r="A6" s="358" t="inlineStr">
        <is>
          <t>P1</t>
        </is>
      </c>
      <c r="B6" s="239">
        <f>IFERROR(LOOKUP(2,1/(BallisticXGroups!$A$2:$A$200=$A6),BallisticXGroups!$D$2:$D$200),"")</f>
        <v/>
      </c>
      <c r="C6" s="245">
        <f>IFERROR(LOOKUP(2,1/(BallisticXGroups!$A$2:$A$200=$A6),BallisticXGroups!$E$2:$E$200),"")</f>
        <v/>
      </c>
      <c r="D6" s="257">
        <f>IFERROR(LOOKUP(2,1/(BallisticXGroups!$A$2:$A$200=$A6),BallisticXGroups!$G$2:$G$200),"")</f>
        <v/>
      </c>
      <c r="E6" s="257">
        <f>IFERROR(LOOKUP(2,1/(BallisticXGroups!$A$2:$A$200=$A6),BallisticXGroups!$H$2:$H$200),"")</f>
        <v/>
      </c>
      <c r="F6" s="257">
        <f>IFERROR(LOOKUP(2,1/(BallisticXGroups!$A$2:$A$200=$A6),BallisticXGroups!$I$2:$I$200),"")</f>
        <v/>
      </c>
      <c r="G6" s="257">
        <f>IFERROR(LOOKUP(2,1/(BallisticXGroups!$A$2:$A$200=$A6),BallisticXGroups!$J$2:$J$200),"")</f>
        <v/>
      </c>
      <c r="H6" s="257">
        <f>IFERROR(LOOKUP(2,1/(BallisticXGroups!$A$2:$A$200=$A6),BallisticXGroups!$K$2:$K$200),"")</f>
        <v/>
      </c>
      <c r="I6" s="257">
        <f>IFERROR(LOOKUP(2,1/(BallisticXGroups!$A$2:$A$200=$A6),BallisticXGroups!$L$2:$L$200),"")</f>
        <v/>
      </c>
      <c r="J6" s="257">
        <f>IFERROR(LOOKUP(2,1/(BallisticXGroups!$A$2:$A$200=$A6),BallisticXGroups!$M$2:$M$200),"")</f>
        <v/>
      </c>
      <c r="K6" s="257">
        <f>IFERROR(LOOKUP(2,1/(BallisticXGroups!$A$2:$A$200=$A6),BallisticXGroups!$N$2:$N$200),"")</f>
        <v/>
      </c>
      <c r="L6" s="240">
        <f>IFERROR(LOOKUP(2,1/(BallisticXGroups!$A$2:$A$200=$A6),BallisticXGroups!$F$2:$F$200),"")</f>
        <v/>
      </c>
      <c r="M6" s="363" t="n"/>
    </row>
    <row r="7" ht="18.75" customHeight="1" s="141">
      <c r="A7" s="336" t="inlineStr">
        <is>
          <t>P2</t>
        </is>
      </c>
      <c r="B7" s="184">
        <f>IFERROR(LOOKUP(2,1/(BallisticXGroups!$A$2:$A$200=$A7),BallisticXGroups!$D$2:$D$200),"")</f>
        <v/>
      </c>
      <c r="C7" s="186">
        <f>IFERROR(LOOKUP(2,1/(BallisticXGroups!$A$2:$A$200=$A7),BallisticXGroups!$E$2:$E$200),"")</f>
        <v/>
      </c>
      <c r="D7" s="227">
        <f>IFERROR(LOOKUP(2,1/(BallisticXGroups!$A$2:$A$200=$A7),BallisticXGroups!$G$2:$G$200),"")</f>
        <v/>
      </c>
      <c r="E7" s="227">
        <f>IFERROR(LOOKUP(2,1/(BallisticXGroups!$A$2:$A$200=$A7),BallisticXGroups!$H$2:$H$200),"")</f>
        <v/>
      </c>
      <c r="F7" s="227">
        <f>IFERROR(LOOKUP(2,1/(BallisticXGroups!$A$2:$A$200=$A7),BallisticXGroups!$I$2:$I$200),"")</f>
        <v/>
      </c>
      <c r="G7" s="227">
        <f>IFERROR(LOOKUP(2,1/(BallisticXGroups!$A$2:$A$200=$A7),BallisticXGroups!$J$2:$J$200),"")</f>
        <v/>
      </c>
      <c r="H7" s="227">
        <f>IFERROR(LOOKUP(2,1/(BallisticXGroups!$A$2:$A$200=$A7),BallisticXGroups!$K$2:$K$200),"")</f>
        <v/>
      </c>
      <c r="I7" s="227">
        <f>IFERROR(LOOKUP(2,1/(BallisticXGroups!$A$2:$A$200=$A7),BallisticXGroups!$L$2:$L$200),"")</f>
        <v/>
      </c>
      <c r="J7" s="227">
        <f>IFERROR(LOOKUP(2,1/(BallisticXGroups!$A$2:$A$200=$A7),BallisticXGroups!$M$2:$M$200),"")</f>
        <v/>
      </c>
      <c r="K7" s="227">
        <f>IFERROR(LOOKUP(2,1/(BallisticXGroups!$A$2:$A$200=$A7),BallisticXGroups!$N$2:$N$200),"")</f>
        <v/>
      </c>
      <c r="L7" s="246">
        <f>IFERROR(LOOKUP(2,1/(BallisticXGroups!$A$2:$A$200=$A7),BallisticXGroups!$F$2:$F$200),"")</f>
        <v/>
      </c>
      <c r="M7" s="364" t="n"/>
    </row>
    <row r="8" ht="18.75" customHeight="1" s="141">
      <c r="A8" s="358" t="inlineStr">
        <is>
          <t>P3</t>
        </is>
      </c>
      <c r="B8" s="239">
        <f>IFERROR(LOOKUP(2,1/(BallisticXGroups!$A$2:$A$200=$A8),BallisticXGroups!$D$2:$D$200),"")</f>
        <v/>
      </c>
      <c r="C8" s="245">
        <f>IFERROR(LOOKUP(2,1/(BallisticXGroups!$A$2:$A$200=$A8),BallisticXGroups!$E$2:$E$200),"")</f>
        <v/>
      </c>
      <c r="D8" s="257">
        <f>IFERROR(LOOKUP(2,1/(BallisticXGroups!$A$2:$A$200=$A8),BallisticXGroups!$G$2:$G$200),"")</f>
        <v/>
      </c>
      <c r="E8" s="257">
        <f>IFERROR(LOOKUP(2,1/(BallisticXGroups!$A$2:$A$200=$A8),BallisticXGroups!$H$2:$H$200),"")</f>
        <v/>
      </c>
      <c r="F8" s="257">
        <f>IFERROR(LOOKUP(2,1/(BallisticXGroups!$A$2:$A$200=$A8),BallisticXGroups!$I$2:$I$200),"")</f>
        <v/>
      </c>
      <c r="G8" s="257">
        <f>IFERROR(LOOKUP(2,1/(BallisticXGroups!$A$2:$A$200=$A8),BallisticXGroups!$J$2:$J$200),"")</f>
        <v/>
      </c>
      <c r="H8" s="257">
        <f>IFERROR(LOOKUP(2,1/(BallisticXGroups!$A$2:$A$200=$A8),BallisticXGroups!$K$2:$K$200),"")</f>
        <v/>
      </c>
      <c r="I8" s="257">
        <f>IFERROR(LOOKUP(2,1/(BallisticXGroups!$A$2:$A$200=$A8),BallisticXGroups!$L$2:$L$200),"")</f>
        <v/>
      </c>
      <c r="J8" s="257">
        <f>IFERROR(LOOKUP(2,1/(BallisticXGroups!$A$2:$A$200=$A8),BallisticXGroups!$M$2:$M$200),"")</f>
        <v/>
      </c>
      <c r="K8" s="257">
        <f>IFERROR(LOOKUP(2,1/(BallisticXGroups!$A$2:$A$200=$A8),BallisticXGroups!$N$2:$N$200),"")</f>
        <v/>
      </c>
      <c r="L8" s="240">
        <f>IFERROR(LOOKUP(2,1/(BallisticXGroups!$A$2:$A$200=$A8),BallisticXGroups!$F$2:$F$200),"")</f>
        <v/>
      </c>
      <c r="M8" s="363" t="n"/>
    </row>
    <row r="9" ht="18.75" customHeight="1" s="141">
      <c r="A9" s="336" t="inlineStr">
        <is>
          <t>P4</t>
        </is>
      </c>
      <c r="B9" s="184">
        <f>IFERROR(LOOKUP(2,1/(BallisticXGroups!$A$2:$A$200=$A9),BallisticXGroups!$D$2:$D$200),"")</f>
        <v/>
      </c>
      <c r="C9" s="186">
        <f>IFERROR(LOOKUP(2,1/(BallisticXGroups!$A$2:$A$200=$A9),BallisticXGroups!$E$2:$E$200),"")</f>
        <v/>
      </c>
      <c r="D9" s="227">
        <f>IFERROR(LOOKUP(2,1/(BallisticXGroups!$A$2:$A$200=$A9),BallisticXGroups!$G$2:$G$200),"")</f>
        <v/>
      </c>
      <c r="E9" s="227">
        <f>IFERROR(LOOKUP(2,1/(BallisticXGroups!$A$2:$A$200=$A9),BallisticXGroups!$H$2:$H$200),"")</f>
        <v/>
      </c>
      <c r="F9" s="227">
        <f>IFERROR(LOOKUP(2,1/(BallisticXGroups!$A$2:$A$200=$A9),BallisticXGroups!$I$2:$I$200),"")</f>
        <v/>
      </c>
      <c r="G9" s="227">
        <f>IFERROR(LOOKUP(2,1/(BallisticXGroups!$A$2:$A$200=$A9),BallisticXGroups!$J$2:$J$200),"")</f>
        <v/>
      </c>
      <c r="H9" s="227">
        <f>IFERROR(LOOKUP(2,1/(BallisticXGroups!$A$2:$A$200=$A9),BallisticXGroups!$K$2:$K$200),"")</f>
        <v/>
      </c>
      <c r="I9" s="227">
        <f>IFERROR(LOOKUP(2,1/(BallisticXGroups!$A$2:$A$200=$A9),BallisticXGroups!$L$2:$L$200),"")</f>
        <v/>
      </c>
      <c r="J9" s="227">
        <f>IFERROR(LOOKUP(2,1/(BallisticXGroups!$A$2:$A$200=$A9),BallisticXGroups!$M$2:$M$200),"")</f>
        <v/>
      </c>
      <c r="K9" s="227">
        <f>IFERROR(LOOKUP(2,1/(BallisticXGroups!$A$2:$A$200=$A9),BallisticXGroups!$N$2:$N$200),"")</f>
        <v/>
      </c>
      <c r="L9" s="246">
        <f>IFERROR(LOOKUP(2,1/(BallisticXGroups!$A$2:$A$200=$A9),BallisticXGroups!$F$2:$F$200),"")</f>
        <v/>
      </c>
      <c r="M9" s="364" t="n"/>
    </row>
    <row r="10" ht="18.75" customHeight="1" s="141">
      <c r="A10" s="358" t="inlineStr">
        <is>
          <t>P5</t>
        </is>
      </c>
      <c r="B10" s="239">
        <f>IFERROR(LOOKUP(2,1/(BallisticXGroups!$A$2:$A$200=$A10),BallisticXGroups!$D$2:$D$200),"")</f>
        <v/>
      </c>
      <c r="C10" s="245">
        <f>IFERROR(LOOKUP(2,1/(BallisticXGroups!$A$2:$A$200=$A10),BallisticXGroups!$E$2:$E$200),"")</f>
        <v/>
      </c>
      <c r="D10" s="257">
        <f>IFERROR(LOOKUP(2,1/(BallisticXGroups!$A$2:$A$200=$A10),BallisticXGroups!$G$2:$G$200),"")</f>
        <v/>
      </c>
      <c r="E10" s="257">
        <f>IFERROR(LOOKUP(2,1/(BallisticXGroups!$A$2:$A$200=$A10),BallisticXGroups!$H$2:$H$200),"")</f>
        <v/>
      </c>
      <c r="F10" s="257">
        <f>IFERROR(LOOKUP(2,1/(BallisticXGroups!$A$2:$A$200=$A10),BallisticXGroups!$I$2:$I$200),"")</f>
        <v/>
      </c>
      <c r="G10" s="257">
        <f>IFERROR(LOOKUP(2,1/(BallisticXGroups!$A$2:$A$200=$A10),BallisticXGroups!$J$2:$J$200),"")</f>
        <v/>
      </c>
      <c r="H10" s="257">
        <f>IFERROR(LOOKUP(2,1/(BallisticXGroups!$A$2:$A$200=$A10),BallisticXGroups!$K$2:$K$200),"")</f>
        <v/>
      </c>
      <c r="I10" s="257">
        <f>IFERROR(LOOKUP(2,1/(BallisticXGroups!$A$2:$A$200=$A10),BallisticXGroups!$L$2:$L$200),"")</f>
        <v/>
      </c>
      <c r="J10" s="257">
        <f>IFERROR(LOOKUP(2,1/(BallisticXGroups!$A$2:$A$200=$A10),BallisticXGroups!$M$2:$M$200),"")</f>
        <v/>
      </c>
      <c r="K10" s="257">
        <f>IFERROR(LOOKUP(2,1/(BallisticXGroups!$A$2:$A$200=$A10),BallisticXGroups!$N$2:$N$200),"")</f>
        <v/>
      </c>
      <c r="L10" s="240">
        <f>IFERROR(LOOKUP(2,1/(BallisticXGroups!$A$2:$A$200=$A10),BallisticXGroups!$F$2:$F$200),"")</f>
        <v/>
      </c>
      <c r="M10" s="363" t="n"/>
    </row>
    <row r="11" ht="18.75" customHeight="1" s="141">
      <c r="A11" s="336" t="inlineStr">
        <is>
          <t>P6</t>
        </is>
      </c>
      <c r="B11" s="184">
        <f>IFERROR(LOOKUP(2,1/(BallisticXGroups!$A$2:$A$200=$A11),BallisticXGroups!$D$2:$D$200),"")</f>
        <v/>
      </c>
      <c r="C11" s="186">
        <f>IFERROR(LOOKUP(2,1/(BallisticXGroups!$A$2:$A$200=$A11),BallisticXGroups!$E$2:$E$200),"")</f>
        <v/>
      </c>
      <c r="D11" s="227">
        <f>IFERROR(LOOKUP(2,1/(BallisticXGroups!$A$2:$A$200=$A11),BallisticXGroups!$G$2:$G$200),"")</f>
        <v/>
      </c>
      <c r="E11" s="227">
        <f>IFERROR(LOOKUP(2,1/(BallisticXGroups!$A$2:$A$200=$A11),BallisticXGroups!$H$2:$H$200),"")</f>
        <v/>
      </c>
      <c r="F11" s="227">
        <f>IFERROR(LOOKUP(2,1/(BallisticXGroups!$A$2:$A$200=$A11),BallisticXGroups!$I$2:$I$200),"")</f>
        <v/>
      </c>
      <c r="G11" s="227">
        <f>IFERROR(LOOKUP(2,1/(BallisticXGroups!$A$2:$A$200=$A11),BallisticXGroups!$J$2:$J$200),"")</f>
        <v/>
      </c>
      <c r="H11" s="227">
        <f>IFERROR(LOOKUP(2,1/(BallisticXGroups!$A$2:$A$200=$A11),BallisticXGroups!$K$2:$K$200),"")</f>
        <v/>
      </c>
      <c r="I11" s="227">
        <f>IFERROR(LOOKUP(2,1/(BallisticXGroups!$A$2:$A$200=$A11),BallisticXGroups!$L$2:$L$200),"")</f>
        <v/>
      </c>
      <c r="J11" s="227">
        <f>IFERROR(LOOKUP(2,1/(BallisticXGroups!$A$2:$A$200=$A11),BallisticXGroups!$M$2:$M$200),"")</f>
        <v/>
      </c>
      <c r="K11" s="227">
        <f>IFERROR(LOOKUP(2,1/(BallisticXGroups!$A$2:$A$200=$A11),BallisticXGroups!$N$2:$N$200),"")</f>
        <v/>
      </c>
      <c r="L11" s="246">
        <f>IFERROR(LOOKUP(2,1/(BallisticXGroups!$A$2:$A$200=$A11),BallisticXGroups!$F$2:$F$200),"")</f>
        <v/>
      </c>
      <c r="M11" s="364" t="n"/>
    </row>
    <row r="12" ht="18.75" customHeight="1" s="141">
      <c r="A12" s="358" t="inlineStr">
        <is>
          <t>P7</t>
        </is>
      </c>
      <c r="B12" s="239">
        <f>IFERROR(LOOKUP(2,1/(BallisticXGroups!$A$2:$A$200=$A12),BallisticXGroups!$D$2:$D$200),"")</f>
        <v/>
      </c>
      <c r="C12" s="245">
        <f>IFERROR(LOOKUP(2,1/(BallisticXGroups!$A$2:$A$200=$A12),BallisticXGroups!$E$2:$E$200),"")</f>
        <v/>
      </c>
      <c r="D12" s="257">
        <f>IFERROR(LOOKUP(2,1/(BallisticXGroups!$A$2:$A$200=$A12),BallisticXGroups!$G$2:$G$200),"")</f>
        <v/>
      </c>
      <c r="E12" s="257">
        <f>IFERROR(LOOKUP(2,1/(BallisticXGroups!$A$2:$A$200=$A12),BallisticXGroups!$H$2:$H$200),"")</f>
        <v/>
      </c>
      <c r="F12" s="257">
        <f>IFERROR(LOOKUP(2,1/(BallisticXGroups!$A$2:$A$200=$A12),BallisticXGroups!$I$2:$I$200),"")</f>
        <v/>
      </c>
      <c r="G12" s="257">
        <f>IFERROR(LOOKUP(2,1/(BallisticXGroups!$A$2:$A$200=$A12),BallisticXGroups!$J$2:$J$200),"")</f>
        <v/>
      </c>
      <c r="H12" s="257">
        <f>IFERROR(LOOKUP(2,1/(BallisticXGroups!$A$2:$A$200=$A12),BallisticXGroups!$K$2:$K$200),"")</f>
        <v/>
      </c>
      <c r="I12" s="257">
        <f>IFERROR(LOOKUP(2,1/(BallisticXGroups!$A$2:$A$200=$A12),BallisticXGroups!$L$2:$L$200),"")</f>
        <v/>
      </c>
      <c r="J12" s="257">
        <f>IFERROR(LOOKUP(2,1/(BallisticXGroups!$A$2:$A$200=$A12),BallisticXGroups!$M$2:$M$200),"")</f>
        <v/>
      </c>
      <c r="K12" s="257">
        <f>IFERROR(LOOKUP(2,1/(BallisticXGroups!$A$2:$A$200=$A12),BallisticXGroups!$N$2:$N$200),"")</f>
        <v/>
      </c>
      <c r="L12" s="240">
        <f>IFERROR(LOOKUP(2,1/(BallisticXGroups!$A$2:$A$200=$A12),BallisticXGroups!$F$2:$F$200),"")</f>
        <v/>
      </c>
      <c r="M12" s="363" t="n"/>
    </row>
    <row r="13" ht="18.75" customHeight="1" s="141">
      <c r="A13" s="336" t="inlineStr">
        <is>
          <t>P8</t>
        </is>
      </c>
      <c r="B13" s="184">
        <f>IFERROR(LOOKUP(2,1/(BallisticXGroups!$A$2:$A$200=$A13),BallisticXGroups!$D$2:$D$200),"")</f>
        <v/>
      </c>
      <c r="C13" s="186">
        <f>IFERROR(LOOKUP(2,1/(BallisticXGroups!$A$2:$A$200=$A13),BallisticXGroups!$E$2:$E$200),"")</f>
        <v/>
      </c>
      <c r="D13" s="227">
        <f>IFERROR(LOOKUP(2,1/(BallisticXGroups!$A$2:$A$200=$A13),BallisticXGroups!$G$2:$G$200),"")</f>
        <v/>
      </c>
      <c r="E13" s="227">
        <f>IFERROR(LOOKUP(2,1/(BallisticXGroups!$A$2:$A$200=$A13),BallisticXGroups!$H$2:$H$200),"")</f>
        <v/>
      </c>
      <c r="F13" s="227">
        <f>IFERROR(LOOKUP(2,1/(BallisticXGroups!$A$2:$A$200=$A13),BallisticXGroups!$I$2:$I$200),"")</f>
        <v/>
      </c>
      <c r="G13" s="227">
        <f>IFERROR(LOOKUP(2,1/(BallisticXGroups!$A$2:$A$200=$A13),BallisticXGroups!$J$2:$J$200),"")</f>
        <v/>
      </c>
      <c r="H13" s="227">
        <f>IFERROR(LOOKUP(2,1/(BallisticXGroups!$A$2:$A$200=$A13),BallisticXGroups!$K$2:$K$200),"")</f>
        <v/>
      </c>
      <c r="I13" s="227">
        <f>IFERROR(LOOKUP(2,1/(BallisticXGroups!$A$2:$A$200=$A13),BallisticXGroups!$L$2:$L$200),"")</f>
        <v/>
      </c>
      <c r="J13" s="227">
        <f>IFERROR(LOOKUP(2,1/(BallisticXGroups!$A$2:$A$200=$A13),BallisticXGroups!$M$2:$M$200),"")</f>
        <v/>
      </c>
      <c r="K13" s="227">
        <f>IFERROR(LOOKUP(2,1/(BallisticXGroups!$A$2:$A$200=$A13),BallisticXGroups!$N$2:$N$200),"")</f>
        <v/>
      </c>
      <c r="L13" s="246">
        <f>IFERROR(LOOKUP(2,1/(BallisticXGroups!$A$2:$A$200=$A13),BallisticXGroups!$F$2:$F$200),"")</f>
        <v/>
      </c>
      <c r="M13" s="364" t="n"/>
    </row>
    <row r="14" ht="18.75" customHeight="1" s="141">
      <c r="A14" s="358" t="inlineStr">
        <is>
          <t>P9</t>
        </is>
      </c>
      <c r="B14" s="239">
        <f>IFERROR(LOOKUP(2,1/(BallisticXGroups!$A$2:$A$200=$A14),BallisticXGroups!$D$2:$D$200),"")</f>
        <v/>
      </c>
      <c r="C14" s="245">
        <f>IFERROR(LOOKUP(2,1/(BallisticXGroups!$A$2:$A$200=$A14),BallisticXGroups!$E$2:$E$200),"")</f>
        <v/>
      </c>
      <c r="D14" s="257">
        <f>IFERROR(LOOKUP(2,1/(BallisticXGroups!$A$2:$A$200=$A14),BallisticXGroups!$G$2:$G$200),"")</f>
        <v/>
      </c>
      <c r="E14" s="257">
        <f>IFERROR(LOOKUP(2,1/(BallisticXGroups!$A$2:$A$200=$A14),BallisticXGroups!$H$2:$H$200),"")</f>
        <v/>
      </c>
      <c r="F14" s="257">
        <f>IFERROR(LOOKUP(2,1/(BallisticXGroups!$A$2:$A$200=$A14),BallisticXGroups!$I$2:$I$200),"")</f>
        <v/>
      </c>
      <c r="G14" s="257">
        <f>IFERROR(LOOKUP(2,1/(BallisticXGroups!$A$2:$A$200=$A14),BallisticXGroups!$J$2:$J$200),"")</f>
        <v/>
      </c>
      <c r="H14" s="257">
        <f>IFERROR(LOOKUP(2,1/(BallisticXGroups!$A$2:$A$200=$A14),BallisticXGroups!$K$2:$K$200),"")</f>
        <v/>
      </c>
      <c r="I14" s="257">
        <f>IFERROR(LOOKUP(2,1/(BallisticXGroups!$A$2:$A$200=$A14),BallisticXGroups!$L$2:$L$200),"")</f>
        <v/>
      </c>
      <c r="J14" s="257">
        <f>IFERROR(LOOKUP(2,1/(BallisticXGroups!$A$2:$A$200=$A14),BallisticXGroups!$M$2:$M$200),"")</f>
        <v/>
      </c>
      <c r="K14" s="257">
        <f>IFERROR(LOOKUP(2,1/(BallisticXGroups!$A$2:$A$200=$A14),BallisticXGroups!$N$2:$N$200),"")</f>
        <v/>
      </c>
      <c r="L14" s="240">
        <f>IFERROR(LOOKUP(2,1/(BallisticXGroups!$A$2:$A$200=$A14),BallisticXGroups!$F$2:$F$200),"")</f>
        <v/>
      </c>
      <c r="M14" s="363" t="n"/>
    </row>
    <row r="15" ht="18.75" customHeight="1" s="141">
      <c r="A15" s="336" t="inlineStr">
        <is>
          <t>P10</t>
        </is>
      </c>
      <c r="B15" s="184">
        <f>IFERROR(LOOKUP(2,1/(BallisticXGroups!$A$2:$A$200=$A15),BallisticXGroups!$D$2:$D$200),"")</f>
        <v/>
      </c>
      <c r="C15" s="186">
        <f>IFERROR(LOOKUP(2,1/(BallisticXGroups!$A$2:$A$200=$A15),BallisticXGroups!$E$2:$E$200),"")</f>
        <v/>
      </c>
      <c r="D15" s="227">
        <f>IFERROR(LOOKUP(2,1/(BallisticXGroups!$A$2:$A$200=$A15),BallisticXGroups!$G$2:$G$200),"")</f>
        <v/>
      </c>
      <c r="E15" s="227">
        <f>IFERROR(LOOKUP(2,1/(BallisticXGroups!$A$2:$A$200=$A15),BallisticXGroups!$H$2:$H$200),"")</f>
        <v/>
      </c>
      <c r="F15" s="227">
        <f>IFERROR(LOOKUP(2,1/(BallisticXGroups!$A$2:$A$200=$A15),BallisticXGroups!$I$2:$I$200),"")</f>
        <v/>
      </c>
      <c r="G15" s="227">
        <f>IFERROR(LOOKUP(2,1/(BallisticXGroups!$A$2:$A$200=$A15),BallisticXGroups!$J$2:$J$200),"")</f>
        <v/>
      </c>
      <c r="H15" s="227">
        <f>IFERROR(LOOKUP(2,1/(BallisticXGroups!$A$2:$A$200=$A15),BallisticXGroups!$K$2:$K$200),"")</f>
        <v/>
      </c>
      <c r="I15" s="227">
        <f>IFERROR(LOOKUP(2,1/(BallisticXGroups!$A$2:$A$200=$A15),BallisticXGroups!$L$2:$L$200),"")</f>
        <v/>
      </c>
      <c r="J15" s="227">
        <f>IFERROR(LOOKUP(2,1/(BallisticXGroups!$A$2:$A$200=$A15),BallisticXGroups!$M$2:$M$200),"")</f>
        <v/>
      </c>
      <c r="K15" s="227">
        <f>IFERROR(LOOKUP(2,1/(BallisticXGroups!$A$2:$A$200=$A15),BallisticXGroups!$N$2:$N$200),"")</f>
        <v/>
      </c>
      <c r="L15" s="246">
        <f>IFERROR(LOOKUP(2,1/(BallisticXGroups!$A$2:$A$200=$A15),BallisticXGroups!$F$2:$F$200),"")</f>
        <v/>
      </c>
      <c r="M15" s="364" t="n"/>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row>
    <row r="17" ht="18.75" customHeight="1" s="141">
      <c r="A17" s="359" t="inlineStr">
        <is>
          <t>S1</t>
        </is>
      </c>
      <c r="B17" s="247">
        <f>IFERROR(LOOKUP(2,1/(BallisticXGroups!$A$2:$A$200=$A17),BallisticXGroups!$D$2:$D$200),"")</f>
        <v/>
      </c>
      <c r="C17" s="253">
        <f>IFERROR(LOOKUP(2,1/(BallisticXGroups!$A$2:$A$200=$A17),BallisticXGroups!$E$2:$E$200),"")</f>
        <v/>
      </c>
      <c r="D17" s="258">
        <f>IFERROR(LOOKUP(2,1/(BallisticXGroups!$A$2:$A$200=$A17),BallisticXGroups!$G$2:$G$200),"")</f>
        <v/>
      </c>
      <c r="E17" s="258">
        <f>IFERROR(LOOKUP(2,1/(BallisticXGroups!$A$2:$A$200=$A17),BallisticXGroups!$H$2:$H$200),"")</f>
        <v/>
      </c>
      <c r="F17" s="258">
        <f>IFERROR(LOOKUP(2,1/(BallisticXGroups!$A$2:$A$200=$A17),BallisticXGroups!$I$2:$I$200),"")</f>
        <v/>
      </c>
      <c r="G17" s="258">
        <f>IFERROR(LOOKUP(2,1/(BallisticXGroups!$A$2:$A$200=$A17),BallisticXGroups!$J$2:$J$200),"")</f>
        <v/>
      </c>
      <c r="H17" s="258">
        <f>IFERROR(LOOKUP(2,1/(BallisticXGroups!$A$2:$A$200=$A17),BallisticXGroups!$K$2:$K$200),"")</f>
        <v/>
      </c>
      <c r="I17" s="258">
        <f>IFERROR(LOOKUP(2,1/(BallisticXGroups!$A$2:$A$200=$A17),BallisticXGroups!$L$2:$L$200),"")</f>
        <v/>
      </c>
      <c r="J17" s="258">
        <f>IFERROR(LOOKUP(2,1/(BallisticXGroups!$A$2:$A$200=$A17),BallisticXGroups!$M$2:$M$200),"")</f>
        <v/>
      </c>
      <c r="K17" s="258">
        <f>IFERROR(LOOKUP(2,1/(BallisticXGroups!$A$2:$A$200=$A17),BallisticXGroups!$N$2:$N$200),"")</f>
        <v/>
      </c>
      <c r="L17" s="248">
        <f>IFERROR(LOOKUP(2,1/(BallisticXGroups!$A$2:$A$200=$A17),BallisticXGroups!$F$2:$F$200),"")</f>
        <v/>
      </c>
      <c r="M17" s="365" t="n"/>
    </row>
    <row r="18" ht="18.75" customHeight="1" s="141">
      <c r="A18" s="336" t="inlineStr">
        <is>
          <t>S2</t>
        </is>
      </c>
      <c r="B18" s="184">
        <f>IFERROR(LOOKUP(2,1/(BallisticXGroups!$A$2:$A$200=$A18),BallisticXGroups!$D$2:$D$200),"")</f>
        <v/>
      </c>
      <c r="C18" s="186">
        <f>IFERROR(LOOKUP(2,1/(BallisticXGroups!$A$2:$A$200=$A18),BallisticXGroups!$E$2:$E$200),"")</f>
        <v/>
      </c>
      <c r="D18" s="227">
        <f>IFERROR(LOOKUP(2,1/(BallisticXGroups!$A$2:$A$200=$A18),BallisticXGroups!$G$2:$G$200),"")</f>
        <v/>
      </c>
      <c r="E18" s="227">
        <f>IFERROR(LOOKUP(2,1/(BallisticXGroups!$A$2:$A$200=$A18),BallisticXGroups!$H$2:$H$200),"")</f>
        <v/>
      </c>
      <c r="F18" s="227">
        <f>IFERROR(LOOKUP(2,1/(BallisticXGroups!$A$2:$A$200=$A18),BallisticXGroups!$I$2:$I$200),"")</f>
        <v/>
      </c>
      <c r="G18" s="227">
        <f>IFERROR(LOOKUP(2,1/(BallisticXGroups!$A$2:$A$200=$A18),BallisticXGroups!$J$2:$J$200),"")</f>
        <v/>
      </c>
      <c r="H18" s="227">
        <f>IFERROR(LOOKUP(2,1/(BallisticXGroups!$A$2:$A$200=$A18),BallisticXGroups!$K$2:$K$200),"")</f>
        <v/>
      </c>
      <c r="I18" s="227">
        <f>IFERROR(LOOKUP(2,1/(BallisticXGroups!$A$2:$A$200=$A18),BallisticXGroups!$L$2:$L$200),"")</f>
        <v/>
      </c>
      <c r="J18" s="227">
        <f>IFERROR(LOOKUP(2,1/(BallisticXGroups!$A$2:$A$200=$A18),BallisticXGroups!$M$2:$M$200),"")</f>
        <v/>
      </c>
      <c r="K18" s="227">
        <f>IFERROR(LOOKUP(2,1/(BallisticXGroups!$A$2:$A$200=$A18),BallisticXGroups!$N$2:$N$200),"")</f>
        <v/>
      </c>
      <c r="L18" s="246">
        <f>IFERROR(LOOKUP(2,1/(BallisticXGroups!$A$2:$A$200=$A18),BallisticXGroups!$F$2:$F$200),"")</f>
        <v/>
      </c>
      <c r="M18" s="364" t="n"/>
    </row>
    <row r="19" ht="18.75" customHeight="1" s="141">
      <c r="A19" s="359" t="inlineStr">
        <is>
          <t>S3</t>
        </is>
      </c>
      <c r="B19" s="247">
        <f>IFERROR(LOOKUP(2,1/(BallisticXGroups!$A$2:$A$200=$A19),BallisticXGroups!$D$2:$D$200),"")</f>
        <v/>
      </c>
      <c r="C19" s="253">
        <f>IFERROR(LOOKUP(2,1/(BallisticXGroups!$A$2:$A$200=$A19),BallisticXGroups!$E$2:$E$200),"")</f>
        <v/>
      </c>
      <c r="D19" s="258">
        <f>IFERROR(LOOKUP(2,1/(BallisticXGroups!$A$2:$A$200=$A19),BallisticXGroups!$G$2:$G$200),"")</f>
        <v/>
      </c>
      <c r="E19" s="258">
        <f>IFERROR(LOOKUP(2,1/(BallisticXGroups!$A$2:$A$200=$A19),BallisticXGroups!$H$2:$H$200),"")</f>
        <v/>
      </c>
      <c r="F19" s="258">
        <f>IFERROR(LOOKUP(2,1/(BallisticXGroups!$A$2:$A$200=$A19),BallisticXGroups!$I$2:$I$200),"")</f>
        <v/>
      </c>
      <c r="G19" s="258">
        <f>IFERROR(LOOKUP(2,1/(BallisticXGroups!$A$2:$A$200=$A19),BallisticXGroups!$J$2:$J$200),"")</f>
        <v/>
      </c>
      <c r="H19" s="258">
        <f>IFERROR(LOOKUP(2,1/(BallisticXGroups!$A$2:$A$200=$A19),BallisticXGroups!$K$2:$K$200),"")</f>
        <v/>
      </c>
      <c r="I19" s="258">
        <f>IFERROR(LOOKUP(2,1/(BallisticXGroups!$A$2:$A$200=$A19),BallisticXGroups!$L$2:$L$200),"")</f>
        <v/>
      </c>
      <c r="J19" s="258">
        <f>IFERROR(LOOKUP(2,1/(BallisticXGroups!$A$2:$A$200=$A19),BallisticXGroups!$M$2:$M$200),"")</f>
        <v/>
      </c>
      <c r="K19" s="258">
        <f>IFERROR(LOOKUP(2,1/(BallisticXGroups!$A$2:$A$200=$A19),BallisticXGroups!$N$2:$N$200),"")</f>
        <v/>
      </c>
      <c r="L19" s="248">
        <f>IFERROR(LOOKUP(2,1/(BallisticXGroups!$A$2:$A$200=$A19),BallisticXGroups!$F$2:$F$200),"")</f>
        <v/>
      </c>
      <c r="M19" s="365" t="n"/>
    </row>
    <row r="20" ht="18.75" customHeight="1" s="141">
      <c r="A20" s="336" t="inlineStr">
        <is>
          <t>S4</t>
        </is>
      </c>
      <c r="B20" s="184">
        <f>IFERROR(LOOKUP(2,1/(BallisticXGroups!$A$2:$A$200=$A20),BallisticXGroups!$D$2:$D$200),"")</f>
        <v/>
      </c>
      <c r="C20" s="186">
        <f>IFERROR(LOOKUP(2,1/(BallisticXGroups!$A$2:$A$200=$A20),BallisticXGroups!$E$2:$E$200),"")</f>
        <v/>
      </c>
      <c r="D20" s="227">
        <f>IFERROR(LOOKUP(2,1/(BallisticXGroups!$A$2:$A$200=$A20),BallisticXGroups!$G$2:$G$200),"")</f>
        <v/>
      </c>
      <c r="E20" s="227">
        <f>IFERROR(LOOKUP(2,1/(BallisticXGroups!$A$2:$A$200=$A20),BallisticXGroups!$H$2:$H$200),"")</f>
        <v/>
      </c>
      <c r="F20" s="227">
        <f>IFERROR(LOOKUP(2,1/(BallisticXGroups!$A$2:$A$200=$A20),BallisticXGroups!$I$2:$I$200),"")</f>
        <v/>
      </c>
      <c r="G20" s="227">
        <f>IFERROR(LOOKUP(2,1/(BallisticXGroups!$A$2:$A$200=$A20),BallisticXGroups!$J$2:$J$200),"")</f>
        <v/>
      </c>
      <c r="H20" s="227">
        <f>IFERROR(LOOKUP(2,1/(BallisticXGroups!$A$2:$A$200=$A20),BallisticXGroups!$K$2:$K$200),"")</f>
        <v/>
      </c>
      <c r="I20" s="227">
        <f>IFERROR(LOOKUP(2,1/(BallisticXGroups!$A$2:$A$200=$A20),BallisticXGroups!$L$2:$L$200),"")</f>
        <v/>
      </c>
      <c r="J20" s="227">
        <f>IFERROR(LOOKUP(2,1/(BallisticXGroups!$A$2:$A$200=$A20),BallisticXGroups!$M$2:$M$200),"")</f>
        <v/>
      </c>
      <c r="K20" s="227">
        <f>IFERROR(LOOKUP(2,1/(BallisticXGroups!$A$2:$A$200=$A20),BallisticXGroups!$N$2:$N$200),"")</f>
        <v/>
      </c>
      <c r="L20" s="246">
        <f>IFERROR(LOOKUP(2,1/(BallisticXGroups!$A$2:$A$200=$A20),BallisticXGroups!$F$2:$F$200),"")</f>
        <v/>
      </c>
      <c r="M20" s="364" t="n"/>
    </row>
    <row r="21" ht="18.75" customHeight="1" s="141">
      <c r="A21" s="359" t="inlineStr">
        <is>
          <t>S5</t>
        </is>
      </c>
      <c r="B21" s="247">
        <f>IFERROR(LOOKUP(2,1/(BallisticXGroups!$A$2:$A$200=$A21),BallisticXGroups!$D$2:$D$200),"")</f>
        <v/>
      </c>
      <c r="C21" s="253">
        <f>IFERROR(LOOKUP(2,1/(BallisticXGroups!$A$2:$A$200=$A21),BallisticXGroups!$E$2:$E$200),"")</f>
        <v/>
      </c>
      <c r="D21" s="258">
        <f>IFERROR(LOOKUP(2,1/(BallisticXGroups!$A$2:$A$200=$A21),BallisticXGroups!$G$2:$G$200),"")</f>
        <v/>
      </c>
      <c r="E21" s="258">
        <f>IFERROR(LOOKUP(2,1/(BallisticXGroups!$A$2:$A$200=$A21),BallisticXGroups!$H$2:$H$200),"")</f>
        <v/>
      </c>
      <c r="F21" s="258">
        <f>IFERROR(LOOKUP(2,1/(BallisticXGroups!$A$2:$A$200=$A21),BallisticXGroups!$I$2:$I$200),"")</f>
        <v/>
      </c>
      <c r="G21" s="258">
        <f>IFERROR(LOOKUP(2,1/(BallisticXGroups!$A$2:$A$200=$A21),BallisticXGroups!$J$2:$J$200),"")</f>
        <v/>
      </c>
      <c r="H21" s="258">
        <f>IFERROR(LOOKUP(2,1/(BallisticXGroups!$A$2:$A$200=$A21),BallisticXGroups!$K$2:$K$200),"")</f>
        <v/>
      </c>
      <c r="I21" s="258">
        <f>IFERROR(LOOKUP(2,1/(BallisticXGroups!$A$2:$A$200=$A21),BallisticXGroups!$L$2:$L$200),"")</f>
        <v/>
      </c>
      <c r="J21" s="258">
        <f>IFERROR(LOOKUP(2,1/(BallisticXGroups!$A$2:$A$200=$A21),BallisticXGroups!$M$2:$M$200),"")</f>
        <v/>
      </c>
      <c r="K21" s="258">
        <f>IFERROR(LOOKUP(2,1/(BallisticXGroups!$A$2:$A$200=$A21),BallisticXGroups!$N$2:$N$200),"")</f>
        <v/>
      </c>
      <c r="L21" s="248">
        <f>IFERROR(LOOKUP(2,1/(BallisticXGroups!$A$2:$A$200=$A21),BallisticXGroups!$F$2:$F$200),"")</f>
        <v/>
      </c>
      <c r="M21" s="365" t="n"/>
    </row>
    <row r="22" ht="18.75" customHeight="1" s="141">
      <c r="A22" s="336" t="inlineStr">
        <is>
          <t>S6</t>
        </is>
      </c>
      <c r="B22" s="184">
        <f>IFERROR(LOOKUP(2,1/(BallisticXGroups!$A$2:$A$200=$A22),BallisticXGroups!$D$2:$D$200),"")</f>
        <v/>
      </c>
      <c r="C22" s="186">
        <f>IFERROR(LOOKUP(2,1/(BallisticXGroups!$A$2:$A$200=$A22),BallisticXGroups!$E$2:$E$200),"")</f>
        <v/>
      </c>
      <c r="D22" s="227">
        <f>IFERROR(LOOKUP(2,1/(BallisticXGroups!$A$2:$A$200=$A22),BallisticXGroups!$G$2:$G$200),"")</f>
        <v/>
      </c>
      <c r="E22" s="227">
        <f>IFERROR(LOOKUP(2,1/(BallisticXGroups!$A$2:$A$200=$A22),BallisticXGroups!$H$2:$H$200),"")</f>
        <v/>
      </c>
      <c r="F22" s="227">
        <f>IFERROR(LOOKUP(2,1/(BallisticXGroups!$A$2:$A$200=$A22),BallisticXGroups!$I$2:$I$200),"")</f>
        <v/>
      </c>
      <c r="G22" s="227">
        <f>IFERROR(LOOKUP(2,1/(BallisticXGroups!$A$2:$A$200=$A22),BallisticXGroups!$J$2:$J$200),"")</f>
        <v/>
      </c>
      <c r="H22" s="227">
        <f>IFERROR(LOOKUP(2,1/(BallisticXGroups!$A$2:$A$200=$A22),BallisticXGroups!$K$2:$K$200),"")</f>
        <v/>
      </c>
      <c r="I22" s="227">
        <f>IFERROR(LOOKUP(2,1/(BallisticXGroups!$A$2:$A$200=$A22),BallisticXGroups!$L$2:$L$200),"")</f>
        <v/>
      </c>
      <c r="J22" s="227">
        <f>IFERROR(LOOKUP(2,1/(BallisticXGroups!$A$2:$A$200=$A22),BallisticXGroups!$M$2:$M$200),"")</f>
        <v/>
      </c>
      <c r="K22" s="227">
        <f>IFERROR(LOOKUP(2,1/(BallisticXGroups!$A$2:$A$200=$A22),BallisticXGroups!$N$2:$N$200),"")</f>
        <v/>
      </c>
      <c r="L22" s="246">
        <f>IFERROR(LOOKUP(2,1/(BallisticXGroups!$A$2:$A$200=$A22),BallisticXGroups!$F$2:$F$200),"")</f>
        <v/>
      </c>
      <c r="M22" s="364" t="n"/>
    </row>
    <row r="23" ht="18.75" customHeight="1" s="141">
      <c r="A23" s="359" t="inlineStr">
        <is>
          <t>S7</t>
        </is>
      </c>
      <c r="B23" s="247">
        <f>IFERROR(LOOKUP(2,1/(BallisticXGroups!$A$2:$A$200=$A23),BallisticXGroups!$D$2:$D$200),"")</f>
        <v/>
      </c>
      <c r="C23" s="253">
        <f>IFERROR(LOOKUP(2,1/(BallisticXGroups!$A$2:$A$200=$A23),BallisticXGroups!$E$2:$E$200),"")</f>
        <v/>
      </c>
      <c r="D23" s="258">
        <f>IFERROR(LOOKUP(2,1/(BallisticXGroups!$A$2:$A$200=$A23),BallisticXGroups!$G$2:$G$200),"")</f>
        <v/>
      </c>
      <c r="E23" s="258">
        <f>IFERROR(LOOKUP(2,1/(BallisticXGroups!$A$2:$A$200=$A23),BallisticXGroups!$H$2:$H$200),"")</f>
        <v/>
      </c>
      <c r="F23" s="258">
        <f>IFERROR(LOOKUP(2,1/(BallisticXGroups!$A$2:$A$200=$A23),BallisticXGroups!$I$2:$I$200),"")</f>
        <v/>
      </c>
      <c r="G23" s="258">
        <f>IFERROR(LOOKUP(2,1/(BallisticXGroups!$A$2:$A$200=$A23),BallisticXGroups!$J$2:$J$200),"")</f>
        <v/>
      </c>
      <c r="H23" s="258">
        <f>IFERROR(LOOKUP(2,1/(BallisticXGroups!$A$2:$A$200=$A23),BallisticXGroups!$K$2:$K$200),"")</f>
        <v/>
      </c>
      <c r="I23" s="258">
        <f>IFERROR(LOOKUP(2,1/(BallisticXGroups!$A$2:$A$200=$A23),BallisticXGroups!$L$2:$L$200),"")</f>
        <v/>
      </c>
      <c r="J23" s="258">
        <f>IFERROR(LOOKUP(2,1/(BallisticXGroups!$A$2:$A$200=$A23),BallisticXGroups!$M$2:$M$200),"")</f>
        <v/>
      </c>
      <c r="K23" s="258">
        <f>IFERROR(LOOKUP(2,1/(BallisticXGroups!$A$2:$A$200=$A23),BallisticXGroups!$N$2:$N$200),"")</f>
        <v/>
      </c>
      <c r="L23" s="248">
        <f>IFERROR(LOOKUP(2,1/(BallisticXGroups!$A$2:$A$200=$A23),BallisticXGroups!$F$2:$F$200),"")</f>
        <v/>
      </c>
      <c r="M23" s="365" t="n"/>
    </row>
    <row r="24" ht="18.75" customHeight="1" s="141">
      <c r="A24" s="336" t="inlineStr">
        <is>
          <t>S8</t>
        </is>
      </c>
      <c r="B24" s="184">
        <f>IFERROR(LOOKUP(2,1/(BallisticXGroups!$A$2:$A$200=$A24),BallisticXGroups!$D$2:$D$200),"")</f>
        <v/>
      </c>
      <c r="C24" s="186">
        <f>IFERROR(LOOKUP(2,1/(BallisticXGroups!$A$2:$A$200=$A24),BallisticXGroups!$E$2:$E$200),"")</f>
        <v/>
      </c>
      <c r="D24" s="227">
        <f>IFERROR(LOOKUP(2,1/(BallisticXGroups!$A$2:$A$200=$A24),BallisticXGroups!$G$2:$G$200),"")</f>
        <v/>
      </c>
      <c r="E24" s="227">
        <f>IFERROR(LOOKUP(2,1/(BallisticXGroups!$A$2:$A$200=$A24),BallisticXGroups!$H$2:$H$200),"")</f>
        <v/>
      </c>
      <c r="F24" s="227">
        <f>IFERROR(LOOKUP(2,1/(BallisticXGroups!$A$2:$A$200=$A24),BallisticXGroups!$I$2:$I$200),"")</f>
        <v/>
      </c>
      <c r="G24" s="227">
        <f>IFERROR(LOOKUP(2,1/(BallisticXGroups!$A$2:$A$200=$A24),BallisticXGroups!$J$2:$J$200),"")</f>
        <v/>
      </c>
      <c r="H24" s="227">
        <f>IFERROR(LOOKUP(2,1/(BallisticXGroups!$A$2:$A$200=$A24),BallisticXGroups!$K$2:$K$200),"")</f>
        <v/>
      </c>
      <c r="I24" s="227">
        <f>IFERROR(LOOKUP(2,1/(BallisticXGroups!$A$2:$A$200=$A24),BallisticXGroups!$L$2:$L$200),"")</f>
        <v/>
      </c>
      <c r="J24" s="227">
        <f>IFERROR(LOOKUP(2,1/(BallisticXGroups!$A$2:$A$200=$A24),BallisticXGroups!$M$2:$M$200),"")</f>
        <v/>
      </c>
      <c r="K24" s="227">
        <f>IFERROR(LOOKUP(2,1/(BallisticXGroups!$A$2:$A$200=$A24),BallisticXGroups!$N$2:$N$200),"")</f>
        <v/>
      </c>
      <c r="L24" s="246">
        <f>IFERROR(LOOKUP(2,1/(BallisticXGroups!$A$2:$A$200=$A24),BallisticXGroups!$F$2:$F$200),"")</f>
        <v/>
      </c>
      <c r="M24" s="364" t="n"/>
    </row>
    <row r="25" ht="18.75" customHeight="1" s="141">
      <c r="A25" s="359" t="inlineStr">
        <is>
          <t>S9</t>
        </is>
      </c>
      <c r="B25" s="247">
        <f>IFERROR(LOOKUP(2,1/(BallisticXGroups!$A$2:$A$200=$A25),BallisticXGroups!$D$2:$D$200),"")</f>
        <v/>
      </c>
      <c r="C25" s="253">
        <f>IFERROR(LOOKUP(2,1/(BallisticXGroups!$A$2:$A$200=$A25),BallisticXGroups!$E$2:$E$200),"")</f>
        <v/>
      </c>
      <c r="D25" s="258">
        <f>IFERROR(LOOKUP(2,1/(BallisticXGroups!$A$2:$A$200=$A25),BallisticXGroups!$G$2:$G$200),"")</f>
        <v/>
      </c>
      <c r="E25" s="258">
        <f>IFERROR(LOOKUP(2,1/(BallisticXGroups!$A$2:$A$200=$A25),BallisticXGroups!$H$2:$H$200),"")</f>
        <v/>
      </c>
      <c r="F25" s="258">
        <f>IFERROR(LOOKUP(2,1/(BallisticXGroups!$A$2:$A$200=$A25),BallisticXGroups!$I$2:$I$200),"")</f>
        <v/>
      </c>
      <c r="G25" s="258">
        <f>IFERROR(LOOKUP(2,1/(BallisticXGroups!$A$2:$A$200=$A25),BallisticXGroups!$J$2:$J$200),"")</f>
        <v/>
      </c>
      <c r="H25" s="258">
        <f>IFERROR(LOOKUP(2,1/(BallisticXGroups!$A$2:$A$200=$A25),BallisticXGroups!$K$2:$K$200),"")</f>
        <v/>
      </c>
      <c r="I25" s="258">
        <f>IFERROR(LOOKUP(2,1/(BallisticXGroups!$A$2:$A$200=$A25),BallisticXGroups!$L$2:$L$200),"")</f>
        <v/>
      </c>
      <c r="J25" s="258">
        <f>IFERROR(LOOKUP(2,1/(BallisticXGroups!$A$2:$A$200=$A25),BallisticXGroups!$M$2:$M$200),"")</f>
        <v/>
      </c>
      <c r="K25" s="258">
        <f>IFERROR(LOOKUP(2,1/(BallisticXGroups!$A$2:$A$200=$A25),BallisticXGroups!$N$2:$N$200),"")</f>
        <v/>
      </c>
      <c r="L25" s="248">
        <f>IFERROR(LOOKUP(2,1/(BallisticXGroups!$A$2:$A$200=$A25),BallisticXGroups!$F$2:$F$200),"")</f>
        <v/>
      </c>
      <c r="M25" s="365" t="n"/>
    </row>
    <row r="26" ht="18.75" customHeight="1" s="141">
      <c r="A26" s="336" t="inlineStr">
        <is>
          <t>S10</t>
        </is>
      </c>
      <c r="B26" s="184">
        <f>IFERROR(LOOKUP(2,1/(BallisticXGroups!$A$2:$A$200=$A26),BallisticXGroups!$D$2:$D$200),"")</f>
        <v/>
      </c>
      <c r="C26" s="186">
        <f>IFERROR(LOOKUP(2,1/(BallisticXGroups!$A$2:$A$200=$A26),BallisticXGroups!$E$2:$E$200),"")</f>
        <v/>
      </c>
      <c r="D26" s="227">
        <f>IFERROR(LOOKUP(2,1/(BallisticXGroups!$A$2:$A$200=$A26),BallisticXGroups!$G$2:$G$200),"")</f>
        <v/>
      </c>
      <c r="E26" s="227">
        <f>IFERROR(LOOKUP(2,1/(BallisticXGroups!$A$2:$A$200=$A26),BallisticXGroups!$H$2:$H$200),"")</f>
        <v/>
      </c>
      <c r="F26" s="227">
        <f>IFERROR(LOOKUP(2,1/(BallisticXGroups!$A$2:$A$200=$A26),BallisticXGroups!$I$2:$I$200),"")</f>
        <v/>
      </c>
      <c r="G26" s="227">
        <f>IFERROR(LOOKUP(2,1/(BallisticXGroups!$A$2:$A$200=$A26),BallisticXGroups!$J$2:$J$200),"")</f>
        <v/>
      </c>
      <c r="H26" s="227">
        <f>IFERROR(LOOKUP(2,1/(BallisticXGroups!$A$2:$A$200=$A26),BallisticXGroups!$K$2:$K$200),"")</f>
        <v/>
      </c>
      <c r="I26" s="227">
        <f>IFERROR(LOOKUP(2,1/(BallisticXGroups!$A$2:$A$200=$A26),BallisticXGroups!$L$2:$L$200),"")</f>
        <v/>
      </c>
      <c r="J26" s="227">
        <f>IFERROR(LOOKUP(2,1/(BallisticXGroups!$A$2:$A$200=$A26),BallisticXGroups!$M$2:$M$200),"")</f>
        <v/>
      </c>
      <c r="K26" s="227">
        <f>IFERROR(LOOKUP(2,1/(BallisticXGroups!$A$2:$A$200=$A26),BallisticXGroups!$N$2:$N$200),"")</f>
        <v/>
      </c>
      <c r="L26" s="246">
        <f>IFERROR(LOOKUP(2,1/(BallisticXGroups!$A$2:$A$200=$A26),BallisticXGroups!$F$2:$F$200),"")</f>
        <v/>
      </c>
      <c r="M26" s="364" t="n"/>
    </row>
    <row r="27" ht="7.5" customHeight="1" s="141">
      <c r="A27" s="309" t="n"/>
      <c r="B27" s="309" t="n"/>
      <c r="C27" s="309" t="n"/>
      <c r="D27" s="309" t="n"/>
      <c r="E27" s="309" t="n"/>
      <c r="F27" s="309" t="n"/>
      <c r="G27" s="309" t="n"/>
      <c r="H27" s="309" t="n"/>
      <c r="I27" s="309" t="n"/>
      <c r="J27" s="309" t="n"/>
      <c r="K27" s="309" t="n"/>
      <c r="L27" s="309" t="n"/>
      <c r="M27" s="309" t="n"/>
    </row>
    <row r="28" ht="21.75" customHeight="1" s="141">
      <c r="A28" s="360" t="inlineStr">
        <is>
          <t>FREE-FORM GROUP LOG  (confirmation groups, calibration, etc.)</t>
        </is>
      </c>
      <c r="B28" s="309" t="n"/>
      <c r="C28" s="309" t="n"/>
      <c r="D28" s="309" t="n"/>
      <c r="E28" s="309" t="n"/>
      <c r="F28" s="309" t="n"/>
      <c r="G28" s="309" t="n"/>
      <c r="H28" s="309" t="n"/>
      <c r="I28" s="309" t="n"/>
      <c r="J28" s="309" t="n"/>
      <c r="K28" s="309" t="n"/>
      <c r="L28" s="309" t="n"/>
      <c r="M28" s="309" t="n"/>
    </row>
    <row r="29" ht="18.75" customHeight="1" s="141">
      <c r="A29" s="366" t="n"/>
      <c r="B29" s="259">
        <f>IFERROR(LOOKUP(2,1/(BallisticXGroups!$A$2:$A$200=$A29),BallisticXGroups!$D$2:$D$200),"")</f>
        <v/>
      </c>
      <c r="C29" s="260">
        <f>IFERROR(LOOKUP(2,1/(BallisticXGroups!$A$2:$A$200=$A29),BallisticXGroups!$E$2:$E$200),"")</f>
        <v/>
      </c>
      <c r="D29" s="261">
        <f>IFERROR(LOOKUP(2,1/(BallisticXGroups!$A$2:$A$200=$A29),BallisticXGroups!$G$2:$G$200),"")</f>
        <v/>
      </c>
      <c r="E29" s="261">
        <f>IFERROR(LOOKUP(2,1/(BallisticXGroups!$A$2:$A$200=$A29),BallisticXGroups!$H$2:$H$200),"")</f>
        <v/>
      </c>
      <c r="F29" s="261">
        <f>IFERROR(LOOKUP(2,1/(BallisticXGroups!$A$2:$A$200=$A29),BallisticXGroups!$I$2:$I$200),"")</f>
        <v/>
      </c>
      <c r="G29" s="261">
        <f>IFERROR(LOOKUP(2,1/(BallisticXGroups!$A$2:$A$200=$A29),BallisticXGroups!$J$2:$J$200),"")</f>
        <v/>
      </c>
      <c r="H29" s="261">
        <f>IFERROR(LOOKUP(2,1/(BallisticXGroups!$A$2:$A$200=$A29),BallisticXGroups!$K$2:$K$200),"")</f>
        <v/>
      </c>
      <c r="I29" s="261">
        <f>IFERROR(LOOKUP(2,1/(BallisticXGroups!$A$2:$A$200=$A29),BallisticXGroups!$L$2:$L$200),"")</f>
        <v/>
      </c>
      <c r="J29" s="261">
        <f>IFERROR(LOOKUP(2,1/(BallisticXGroups!$A$2:$A$200=$A29),BallisticXGroups!$M$2:$M$200),"")</f>
        <v/>
      </c>
      <c r="K29" s="261">
        <f>IFERROR(LOOKUP(2,1/(BallisticXGroups!$A$2:$A$200=$A29),BallisticXGroups!$N$2:$N$200),"")</f>
        <v/>
      </c>
      <c r="L29" s="262">
        <f>IFERROR(LOOKUP(2,1/(BallisticXGroups!$A$2:$A$200=$A29),BallisticXGroups!$F$2:$F$200),"")</f>
        <v/>
      </c>
      <c r="M29" s="367" t="n"/>
    </row>
    <row r="30" ht="18.75" customHeight="1" s="141">
      <c r="A30" s="336" t="n"/>
      <c r="B30" s="184">
        <f>IFERROR(LOOKUP(2,1/(BallisticXGroups!$A$2:$A$200=$A30),BallisticXGroups!$D$2:$D$200),"")</f>
        <v/>
      </c>
      <c r="C30" s="186">
        <f>IFERROR(LOOKUP(2,1/(BallisticXGroups!$A$2:$A$200=$A30),BallisticXGroups!$E$2:$E$200),"")</f>
        <v/>
      </c>
      <c r="D30" s="227">
        <f>IFERROR(LOOKUP(2,1/(BallisticXGroups!$A$2:$A$200=$A30),BallisticXGroups!$G$2:$G$200),"")</f>
        <v/>
      </c>
      <c r="E30" s="227">
        <f>IFERROR(LOOKUP(2,1/(BallisticXGroups!$A$2:$A$200=$A30),BallisticXGroups!$H$2:$H$200),"")</f>
        <v/>
      </c>
      <c r="F30" s="227">
        <f>IFERROR(LOOKUP(2,1/(BallisticXGroups!$A$2:$A$200=$A30),BallisticXGroups!$I$2:$I$200),"")</f>
        <v/>
      </c>
      <c r="G30" s="227">
        <f>IFERROR(LOOKUP(2,1/(BallisticXGroups!$A$2:$A$200=$A30),BallisticXGroups!$J$2:$J$200),"")</f>
        <v/>
      </c>
      <c r="H30" s="227">
        <f>IFERROR(LOOKUP(2,1/(BallisticXGroups!$A$2:$A$200=$A30),BallisticXGroups!$K$2:$K$200),"")</f>
        <v/>
      </c>
      <c r="I30" s="227">
        <f>IFERROR(LOOKUP(2,1/(BallisticXGroups!$A$2:$A$200=$A30),BallisticXGroups!$L$2:$L$200),"")</f>
        <v/>
      </c>
      <c r="J30" s="227">
        <f>IFERROR(LOOKUP(2,1/(BallisticXGroups!$A$2:$A$200=$A30),BallisticXGroups!$M$2:$M$200),"")</f>
        <v/>
      </c>
      <c r="K30" s="227">
        <f>IFERROR(LOOKUP(2,1/(BallisticXGroups!$A$2:$A$200=$A30),BallisticXGroups!$N$2:$N$200),"")</f>
        <v/>
      </c>
      <c r="L30" s="246">
        <f>IFERROR(LOOKUP(2,1/(BallisticXGroups!$A$2:$A$200=$A30),BallisticXGroups!$F$2:$F$200),"")</f>
        <v/>
      </c>
      <c r="M30" s="364" t="n"/>
    </row>
    <row r="31" ht="18.75" customHeight="1" s="141">
      <c r="A31" s="366" t="n"/>
      <c r="B31" s="259">
        <f>IFERROR(LOOKUP(2,1/(BallisticXGroups!$A$2:$A$200=$A31),BallisticXGroups!$D$2:$D$200),"")</f>
        <v/>
      </c>
      <c r="C31" s="260">
        <f>IFERROR(LOOKUP(2,1/(BallisticXGroups!$A$2:$A$200=$A31),BallisticXGroups!$E$2:$E$200),"")</f>
        <v/>
      </c>
      <c r="D31" s="261">
        <f>IFERROR(LOOKUP(2,1/(BallisticXGroups!$A$2:$A$200=$A31),BallisticXGroups!$G$2:$G$200),"")</f>
        <v/>
      </c>
      <c r="E31" s="261">
        <f>IFERROR(LOOKUP(2,1/(BallisticXGroups!$A$2:$A$200=$A31),BallisticXGroups!$H$2:$H$200),"")</f>
        <v/>
      </c>
      <c r="F31" s="261">
        <f>IFERROR(LOOKUP(2,1/(BallisticXGroups!$A$2:$A$200=$A31),BallisticXGroups!$I$2:$I$200),"")</f>
        <v/>
      </c>
      <c r="G31" s="261">
        <f>IFERROR(LOOKUP(2,1/(BallisticXGroups!$A$2:$A$200=$A31),BallisticXGroups!$J$2:$J$200),"")</f>
        <v/>
      </c>
      <c r="H31" s="261">
        <f>IFERROR(LOOKUP(2,1/(BallisticXGroups!$A$2:$A$200=$A31),BallisticXGroups!$K$2:$K$200),"")</f>
        <v/>
      </c>
      <c r="I31" s="261">
        <f>IFERROR(LOOKUP(2,1/(BallisticXGroups!$A$2:$A$200=$A31),BallisticXGroups!$L$2:$L$200),"")</f>
        <v/>
      </c>
      <c r="J31" s="261">
        <f>IFERROR(LOOKUP(2,1/(BallisticXGroups!$A$2:$A$200=$A31),BallisticXGroups!$M$2:$M$200),"")</f>
        <v/>
      </c>
      <c r="K31" s="261">
        <f>IFERROR(LOOKUP(2,1/(BallisticXGroups!$A$2:$A$200=$A31),BallisticXGroups!$N$2:$N$200),"")</f>
        <v/>
      </c>
      <c r="L31" s="262">
        <f>IFERROR(LOOKUP(2,1/(BallisticXGroups!$A$2:$A$200=$A31),BallisticXGroups!$F$2:$F$200),"")</f>
        <v/>
      </c>
      <c r="M31" s="367" t="n"/>
    </row>
    <row r="32" ht="18.75" customHeight="1" s="141">
      <c r="A32" s="336" t="n"/>
      <c r="B32" s="184">
        <f>IFERROR(LOOKUP(2,1/(BallisticXGroups!$A$2:$A$200=$A32),BallisticXGroups!$D$2:$D$200),"")</f>
        <v/>
      </c>
      <c r="C32" s="186">
        <f>IFERROR(LOOKUP(2,1/(BallisticXGroups!$A$2:$A$200=$A32),BallisticXGroups!$E$2:$E$200),"")</f>
        <v/>
      </c>
      <c r="D32" s="227">
        <f>IFERROR(LOOKUP(2,1/(BallisticXGroups!$A$2:$A$200=$A32),BallisticXGroups!$G$2:$G$200),"")</f>
        <v/>
      </c>
      <c r="E32" s="227">
        <f>IFERROR(LOOKUP(2,1/(BallisticXGroups!$A$2:$A$200=$A32),BallisticXGroups!$H$2:$H$200),"")</f>
        <v/>
      </c>
      <c r="F32" s="227">
        <f>IFERROR(LOOKUP(2,1/(BallisticXGroups!$A$2:$A$200=$A32),BallisticXGroups!$I$2:$I$200),"")</f>
        <v/>
      </c>
      <c r="G32" s="227">
        <f>IFERROR(LOOKUP(2,1/(BallisticXGroups!$A$2:$A$200=$A32),BallisticXGroups!$J$2:$J$200),"")</f>
        <v/>
      </c>
      <c r="H32" s="227">
        <f>IFERROR(LOOKUP(2,1/(BallisticXGroups!$A$2:$A$200=$A32),BallisticXGroups!$K$2:$K$200),"")</f>
        <v/>
      </c>
      <c r="I32" s="227">
        <f>IFERROR(LOOKUP(2,1/(BallisticXGroups!$A$2:$A$200=$A32),BallisticXGroups!$L$2:$L$200),"")</f>
        <v/>
      </c>
      <c r="J32" s="227">
        <f>IFERROR(LOOKUP(2,1/(BallisticXGroups!$A$2:$A$200=$A32),BallisticXGroups!$M$2:$M$200),"")</f>
        <v/>
      </c>
      <c r="K32" s="227">
        <f>IFERROR(LOOKUP(2,1/(BallisticXGroups!$A$2:$A$200=$A32),BallisticXGroups!$N$2:$N$200),"")</f>
        <v/>
      </c>
      <c r="L32" s="246">
        <f>IFERROR(LOOKUP(2,1/(BallisticXGroups!$A$2:$A$200=$A32),BallisticXGroups!$F$2:$F$200),"")</f>
        <v/>
      </c>
      <c r="M32" s="364" t="n"/>
    </row>
    <row r="33" ht="18.75" customHeight="1" s="141">
      <c r="A33" s="366" t="n"/>
      <c r="B33" s="259">
        <f>IFERROR(LOOKUP(2,1/(BallisticXGroups!$A$2:$A$200=$A33),BallisticXGroups!$D$2:$D$200),"")</f>
        <v/>
      </c>
      <c r="C33" s="260">
        <f>IFERROR(LOOKUP(2,1/(BallisticXGroups!$A$2:$A$200=$A33),BallisticXGroups!$E$2:$E$200),"")</f>
        <v/>
      </c>
      <c r="D33" s="261">
        <f>IFERROR(LOOKUP(2,1/(BallisticXGroups!$A$2:$A$200=$A33),BallisticXGroups!$G$2:$G$200),"")</f>
        <v/>
      </c>
      <c r="E33" s="261">
        <f>IFERROR(LOOKUP(2,1/(BallisticXGroups!$A$2:$A$200=$A33),BallisticXGroups!$H$2:$H$200),"")</f>
        <v/>
      </c>
      <c r="F33" s="261">
        <f>IFERROR(LOOKUP(2,1/(BallisticXGroups!$A$2:$A$200=$A33),BallisticXGroups!$I$2:$I$200),"")</f>
        <v/>
      </c>
      <c r="G33" s="261">
        <f>IFERROR(LOOKUP(2,1/(BallisticXGroups!$A$2:$A$200=$A33),BallisticXGroups!$J$2:$J$200),"")</f>
        <v/>
      </c>
      <c r="H33" s="261">
        <f>IFERROR(LOOKUP(2,1/(BallisticXGroups!$A$2:$A$200=$A33),BallisticXGroups!$K$2:$K$200),"")</f>
        <v/>
      </c>
      <c r="I33" s="261">
        <f>IFERROR(LOOKUP(2,1/(BallisticXGroups!$A$2:$A$200=$A33),BallisticXGroups!$L$2:$L$200),"")</f>
        <v/>
      </c>
      <c r="J33" s="261">
        <f>IFERROR(LOOKUP(2,1/(BallisticXGroups!$A$2:$A$200=$A33),BallisticXGroups!$M$2:$M$200),"")</f>
        <v/>
      </c>
      <c r="K33" s="261">
        <f>IFERROR(LOOKUP(2,1/(BallisticXGroups!$A$2:$A$200=$A33),BallisticXGroups!$N$2:$N$200),"")</f>
        <v/>
      </c>
      <c r="L33" s="262">
        <f>IFERROR(LOOKUP(2,1/(BallisticXGroups!$A$2:$A$200=$A33),BallisticXGroups!$F$2:$F$200),"")</f>
        <v/>
      </c>
      <c r="M33" s="367" t="n"/>
    </row>
    <row r="34" ht="18.75" customHeight="1" s="141">
      <c r="A34" s="336" t="n"/>
      <c r="B34" s="184">
        <f>IFERROR(LOOKUP(2,1/(BallisticXGroups!$A$2:$A$200=$A34),BallisticXGroups!$D$2:$D$200),"")</f>
        <v/>
      </c>
      <c r="C34" s="186">
        <f>IFERROR(LOOKUP(2,1/(BallisticXGroups!$A$2:$A$200=$A34),BallisticXGroups!$E$2:$E$200),"")</f>
        <v/>
      </c>
      <c r="D34" s="227">
        <f>IFERROR(LOOKUP(2,1/(BallisticXGroups!$A$2:$A$200=$A34),BallisticXGroups!$G$2:$G$200),"")</f>
        <v/>
      </c>
      <c r="E34" s="227">
        <f>IFERROR(LOOKUP(2,1/(BallisticXGroups!$A$2:$A$200=$A34),BallisticXGroups!$H$2:$H$200),"")</f>
        <v/>
      </c>
      <c r="F34" s="227">
        <f>IFERROR(LOOKUP(2,1/(BallisticXGroups!$A$2:$A$200=$A34),BallisticXGroups!$I$2:$I$200),"")</f>
        <v/>
      </c>
      <c r="G34" s="227">
        <f>IFERROR(LOOKUP(2,1/(BallisticXGroups!$A$2:$A$200=$A34),BallisticXGroups!$J$2:$J$200),"")</f>
        <v/>
      </c>
      <c r="H34" s="227">
        <f>IFERROR(LOOKUP(2,1/(BallisticXGroups!$A$2:$A$200=$A34),BallisticXGroups!$K$2:$K$200),"")</f>
        <v/>
      </c>
      <c r="I34" s="227">
        <f>IFERROR(LOOKUP(2,1/(BallisticXGroups!$A$2:$A$200=$A34),BallisticXGroups!$L$2:$L$200),"")</f>
        <v/>
      </c>
      <c r="J34" s="227">
        <f>IFERROR(LOOKUP(2,1/(BallisticXGroups!$A$2:$A$200=$A34),BallisticXGroups!$M$2:$M$200),"")</f>
        <v/>
      </c>
      <c r="K34" s="227">
        <f>IFERROR(LOOKUP(2,1/(BallisticXGroups!$A$2:$A$200=$A34),BallisticXGroups!$N$2:$N$200),"")</f>
        <v/>
      </c>
      <c r="L34" s="246">
        <f>IFERROR(LOOKUP(2,1/(BallisticXGroups!$A$2:$A$200=$A34),BallisticXGroups!$F$2:$F$200),"")</f>
        <v/>
      </c>
      <c r="M34" s="364" t="n"/>
    </row>
    <row r="35" ht="18.75" customHeight="1" s="141">
      <c r="A35" s="366" t="n"/>
      <c r="B35" s="259">
        <f>IFERROR(LOOKUP(2,1/(BallisticXGroups!$A$2:$A$200=$A35),BallisticXGroups!$D$2:$D$200),"")</f>
        <v/>
      </c>
      <c r="C35" s="260">
        <f>IFERROR(LOOKUP(2,1/(BallisticXGroups!$A$2:$A$200=$A35),BallisticXGroups!$E$2:$E$200),"")</f>
        <v/>
      </c>
      <c r="D35" s="261">
        <f>IFERROR(LOOKUP(2,1/(BallisticXGroups!$A$2:$A$200=$A35),BallisticXGroups!$G$2:$G$200),"")</f>
        <v/>
      </c>
      <c r="E35" s="261">
        <f>IFERROR(LOOKUP(2,1/(BallisticXGroups!$A$2:$A$200=$A35),BallisticXGroups!$H$2:$H$200),"")</f>
        <v/>
      </c>
      <c r="F35" s="261">
        <f>IFERROR(LOOKUP(2,1/(BallisticXGroups!$A$2:$A$200=$A35),BallisticXGroups!$I$2:$I$200),"")</f>
        <v/>
      </c>
      <c r="G35" s="261">
        <f>IFERROR(LOOKUP(2,1/(BallisticXGroups!$A$2:$A$200=$A35),BallisticXGroups!$J$2:$J$200),"")</f>
        <v/>
      </c>
      <c r="H35" s="261">
        <f>IFERROR(LOOKUP(2,1/(BallisticXGroups!$A$2:$A$200=$A35),BallisticXGroups!$K$2:$K$200),"")</f>
        <v/>
      </c>
      <c r="I35" s="261">
        <f>IFERROR(LOOKUP(2,1/(BallisticXGroups!$A$2:$A$200=$A35),BallisticXGroups!$L$2:$L$200),"")</f>
        <v/>
      </c>
      <c r="J35" s="261">
        <f>IFERROR(LOOKUP(2,1/(BallisticXGroups!$A$2:$A$200=$A35),BallisticXGroups!$M$2:$M$200),"")</f>
        <v/>
      </c>
      <c r="K35" s="261">
        <f>IFERROR(LOOKUP(2,1/(BallisticXGroups!$A$2:$A$200=$A35),BallisticXGroups!$N$2:$N$200),"")</f>
        <v/>
      </c>
      <c r="L35" s="262">
        <f>IFERROR(LOOKUP(2,1/(BallisticXGroups!$A$2:$A$200=$A35),BallisticXGroups!$F$2:$F$200),"")</f>
        <v/>
      </c>
      <c r="M35" s="367" t="n"/>
    </row>
    <row r="36" ht="18.75" customHeight="1" s="141">
      <c r="A36" s="336" t="n"/>
      <c r="B36" s="184">
        <f>IFERROR(LOOKUP(2,1/(BallisticXGroups!$A$2:$A$200=$A36),BallisticXGroups!$D$2:$D$200),"")</f>
        <v/>
      </c>
      <c r="C36" s="186">
        <f>IFERROR(LOOKUP(2,1/(BallisticXGroups!$A$2:$A$200=$A36),BallisticXGroups!$E$2:$E$200),"")</f>
        <v/>
      </c>
      <c r="D36" s="227">
        <f>IFERROR(LOOKUP(2,1/(BallisticXGroups!$A$2:$A$200=$A36),BallisticXGroups!$G$2:$G$200),"")</f>
        <v/>
      </c>
      <c r="E36" s="227">
        <f>IFERROR(LOOKUP(2,1/(BallisticXGroups!$A$2:$A$200=$A36),BallisticXGroups!$H$2:$H$200),"")</f>
        <v/>
      </c>
      <c r="F36" s="227">
        <f>IFERROR(LOOKUP(2,1/(BallisticXGroups!$A$2:$A$200=$A36),BallisticXGroups!$I$2:$I$200),"")</f>
        <v/>
      </c>
      <c r="G36" s="227">
        <f>IFERROR(LOOKUP(2,1/(BallisticXGroups!$A$2:$A$200=$A36),BallisticXGroups!$J$2:$J$200),"")</f>
        <v/>
      </c>
      <c r="H36" s="227">
        <f>IFERROR(LOOKUP(2,1/(BallisticXGroups!$A$2:$A$200=$A36),BallisticXGroups!$K$2:$K$200),"")</f>
        <v/>
      </c>
      <c r="I36" s="227">
        <f>IFERROR(LOOKUP(2,1/(BallisticXGroups!$A$2:$A$200=$A36),BallisticXGroups!$L$2:$L$200),"")</f>
        <v/>
      </c>
      <c r="J36" s="227">
        <f>IFERROR(LOOKUP(2,1/(BallisticXGroups!$A$2:$A$200=$A36),BallisticXGroups!$M$2:$M$200),"")</f>
        <v/>
      </c>
      <c r="K36" s="227">
        <f>IFERROR(LOOKUP(2,1/(BallisticXGroups!$A$2:$A$200=$A36),BallisticXGroups!$N$2:$N$200),"")</f>
        <v/>
      </c>
      <c r="L36" s="246">
        <f>IFERROR(LOOKUP(2,1/(BallisticXGroups!$A$2:$A$200=$A36),BallisticXGroups!$F$2:$F$200),"")</f>
        <v/>
      </c>
      <c r="M36" s="364" t="n"/>
    </row>
    <row r="37" ht="18.75" customHeight="1" s="141">
      <c r="A37" s="366" t="n"/>
      <c r="B37" s="259">
        <f>IFERROR(LOOKUP(2,1/(BallisticXGroups!$A$2:$A$200=$A37),BallisticXGroups!$D$2:$D$200),"")</f>
        <v/>
      </c>
      <c r="C37" s="260">
        <f>IFERROR(LOOKUP(2,1/(BallisticXGroups!$A$2:$A$200=$A37),BallisticXGroups!$E$2:$E$200),"")</f>
        <v/>
      </c>
      <c r="D37" s="261">
        <f>IFERROR(LOOKUP(2,1/(BallisticXGroups!$A$2:$A$200=$A37),BallisticXGroups!$G$2:$G$200),"")</f>
        <v/>
      </c>
      <c r="E37" s="261">
        <f>IFERROR(LOOKUP(2,1/(BallisticXGroups!$A$2:$A$200=$A37),BallisticXGroups!$H$2:$H$200),"")</f>
        <v/>
      </c>
      <c r="F37" s="261">
        <f>IFERROR(LOOKUP(2,1/(BallisticXGroups!$A$2:$A$200=$A37),BallisticXGroups!$I$2:$I$200),"")</f>
        <v/>
      </c>
      <c r="G37" s="261">
        <f>IFERROR(LOOKUP(2,1/(BallisticXGroups!$A$2:$A$200=$A37),BallisticXGroups!$J$2:$J$200),"")</f>
        <v/>
      </c>
      <c r="H37" s="261">
        <f>IFERROR(LOOKUP(2,1/(BallisticXGroups!$A$2:$A$200=$A37),BallisticXGroups!$K$2:$K$200),"")</f>
        <v/>
      </c>
      <c r="I37" s="261">
        <f>IFERROR(LOOKUP(2,1/(BallisticXGroups!$A$2:$A$200=$A37),BallisticXGroups!$L$2:$L$200),"")</f>
        <v/>
      </c>
      <c r="J37" s="261">
        <f>IFERROR(LOOKUP(2,1/(BallisticXGroups!$A$2:$A$200=$A37),BallisticXGroups!$M$2:$M$200),"")</f>
        <v/>
      </c>
      <c r="K37" s="261">
        <f>IFERROR(LOOKUP(2,1/(BallisticXGroups!$A$2:$A$200=$A37),BallisticXGroups!$N$2:$N$200),"")</f>
        <v/>
      </c>
      <c r="L37" s="262">
        <f>IFERROR(LOOKUP(2,1/(BallisticXGroups!$A$2:$A$200=$A37),BallisticXGroups!$F$2:$F$200),"")</f>
        <v/>
      </c>
      <c r="M37" s="367" t="n"/>
    </row>
    <row r="38" ht="18.75" customHeight="1" s="141">
      <c r="A38" s="336" t="n"/>
      <c r="B38" s="184">
        <f>IFERROR(LOOKUP(2,1/(BallisticXGroups!$A$2:$A$200=$A38),BallisticXGroups!$D$2:$D$200),"")</f>
        <v/>
      </c>
      <c r="C38" s="186">
        <f>IFERROR(LOOKUP(2,1/(BallisticXGroups!$A$2:$A$200=$A38),BallisticXGroups!$E$2:$E$200),"")</f>
        <v/>
      </c>
      <c r="D38" s="227">
        <f>IFERROR(LOOKUP(2,1/(BallisticXGroups!$A$2:$A$200=$A38),BallisticXGroups!$G$2:$G$200),"")</f>
        <v/>
      </c>
      <c r="E38" s="227">
        <f>IFERROR(LOOKUP(2,1/(BallisticXGroups!$A$2:$A$200=$A38),BallisticXGroups!$H$2:$H$200),"")</f>
        <v/>
      </c>
      <c r="F38" s="227">
        <f>IFERROR(LOOKUP(2,1/(BallisticXGroups!$A$2:$A$200=$A38),BallisticXGroups!$I$2:$I$200),"")</f>
        <v/>
      </c>
      <c r="G38" s="227">
        <f>IFERROR(LOOKUP(2,1/(BallisticXGroups!$A$2:$A$200=$A38),BallisticXGroups!$J$2:$J$200),"")</f>
        <v/>
      </c>
      <c r="H38" s="227">
        <f>IFERROR(LOOKUP(2,1/(BallisticXGroups!$A$2:$A$200=$A38),BallisticXGroups!$K$2:$K$200),"")</f>
        <v/>
      </c>
      <c r="I38" s="227">
        <f>IFERROR(LOOKUP(2,1/(BallisticXGroups!$A$2:$A$200=$A38),BallisticXGroups!$L$2:$L$200),"")</f>
        <v/>
      </c>
      <c r="J38" s="227">
        <f>IFERROR(LOOKUP(2,1/(BallisticXGroups!$A$2:$A$200=$A38),BallisticXGroups!$M$2:$M$200),"")</f>
        <v/>
      </c>
      <c r="K38" s="227">
        <f>IFERROR(LOOKUP(2,1/(BallisticXGroups!$A$2:$A$200=$A38),BallisticXGroups!$N$2:$N$200),"")</f>
        <v/>
      </c>
      <c r="L38" s="246">
        <f>IFERROR(LOOKUP(2,1/(BallisticXGroups!$A$2:$A$200=$A38),BallisticXGroups!$F$2:$F$200),"")</f>
        <v/>
      </c>
      <c r="M38" s="364" t="n"/>
    </row>
    <row r="39" ht="18.75" customHeight="1" s="141">
      <c r="A39" s="366" t="n"/>
      <c r="B39" s="259">
        <f>IFERROR(LOOKUP(2,1/(BallisticXGroups!$A$2:$A$200=$A39),BallisticXGroups!$D$2:$D$200),"")</f>
        <v/>
      </c>
      <c r="C39" s="260">
        <f>IFERROR(LOOKUP(2,1/(BallisticXGroups!$A$2:$A$200=$A39),BallisticXGroups!$E$2:$E$200),"")</f>
        <v/>
      </c>
      <c r="D39" s="261">
        <f>IFERROR(LOOKUP(2,1/(BallisticXGroups!$A$2:$A$200=$A39),BallisticXGroups!$G$2:$G$200),"")</f>
        <v/>
      </c>
      <c r="E39" s="261">
        <f>IFERROR(LOOKUP(2,1/(BallisticXGroups!$A$2:$A$200=$A39),BallisticXGroups!$H$2:$H$200),"")</f>
        <v/>
      </c>
      <c r="F39" s="261">
        <f>IFERROR(LOOKUP(2,1/(BallisticXGroups!$A$2:$A$200=$A39),BallisticXGroups!$I$2:$I$200),"")</f>
        <v/>
      </c>
      <c r="G39" s="261">
        <f>IFERROR(LOOKUP(2,1/(BallisticXGroups!$A$2:$A$200=$A39),BallisticXGroups!$J$2:$J$200),"")</f>
        <v/>
      </c>
      <c r="H39" s="261">
        <f>IFERROR(LOOKUP(2,1/(BallisticXGroups!$A$2:$A$200=$A39),BallisticXGroups!$K$2:$K$200),"")</f>
        <v/>
      </c>
      <c r="I39" s="261">
        <f>IFERROR(LOOKUP(2,1/(BallisticXGroups!$A$2:$A$200=$A39),BallisticXGroups!$L$2:$L$200),"")</f>
        <v/>
      </c>
      <c r="J39" s="261">
        <f>IFERROR(LOOKUP(2,1/(BallisticXGroups!$A$2:$A$200=$A39),BallisticXGroups!$M$2:$M$200),"")</f>
        <v/>
      </c>
      <c r="K39" s="261">
        <f>IFERROR(LOOKUP(2,1/(BallisticXGroups!$A$2:$A$200=$A39),BallisticXGroups!$N$2:$N$200),"")</f>
        <v/>
      </c>
      <c r="L39" s="262">
        <f>IFERROR(LOOKUP(2,1/(BallisticXGroups!$A$2:$A$200=$A39),BallisticXGroups!$F$2:$F$200),"")</f>
        <v/>
      </c>
      <c r="M39" s="367" t="n"/>
    </row>
    <row r="40" ht="18.75" customHeight="1" s="141">
      <c r="A40" s="336" t="n"/>
      <c r="B40" s="184">
        <f>IFERROR(LOOKUP(2,1/(BallisticXGroups!$A$2:$A$200=$A40),BallisticXGroups!$D$2:$D$200),"")</f>
        <v/>
      </c>
      <c r="C40" s="186">
        <f>IFERROR(LOOKUP(2,1/(BallisticXGroups!$A$2:$A$200=$A40),BallisticXGroups!$E$2:$E$200),"")</f>
        <v/>
      </c>
      <c r="D40" s="227">
        <f>IFERROR(LOOKUP(2,1/(BallisticXGroups!$A$2:$A$200=$A40),BallisticXGroups!$G$2:$G$200),"")</f>
        <v/>
      </c>
      <c r="E40" s="227">
        <f>IFERROR(LOOKUP(2,1/(BallisticXGroups!$A$2:$A$200=$A40),BallisticXGroups!$H$2:$H$200),"")</f>
        <v/>
      </c>
      <c r="F40" s="227">
        <f>IFERROR(LOOKUP(2,1/(BallisticXGroups!$A$2:$A$200=$A40),BallisticXGroups!$I$2:$I$200),"")</f>
        <v/>
      </c>
      <c r="G40" s="227">
        <f>IFERROR(LOOKUP(2,1/(BallisticXGroups!$A$2:$A$200=$A40),BallisticXGroups!$J$2:$J$200),"")</f>
        <v/>
      </c>
      <c r="H40" s="227">
        <f>IFERROR(LOOKUP(2,1/(BallisticXGroups!$A$2:$A$200=$A40),BallisticXGroups!$K$2:$K$200),"")</f>
        <v/>
      </c>
      <c r="I40" s="227">
        <f>IFERROR(LOOKUP(2,1/(BallisticXGroups!$A$2:$A$200=$A40),BallisticXGroups!$L$2:$L$200),"")</f>
        <v/>
      </c>
      <c r="J40" s="227">
        <f>IFERROR(LOOKUP(2,1/(BallisticXGroups!$A$2:$A$200=$A40),BallisticXGroups!$M$2:$M$200),"")</f>
        <v/>
      </c>
      <c r="K40" s="227">
        <f>IFERROR(LOOKUP(2,1/(BallisticXGroups!$A$2:$A$200=$A40),BallisticXGroups!$N$2:$N$200),"")</f>
        <v/>
      </c>
      <c r="L40" s="246">
        <f>IFERROR(LOOKUP(2,1/(BallisticXGroups!$A$2:$A$200=$A40),BallisticXGroups!$F$2:$F$200),"")</f>
        <v/>
      </c>
      <c r="M40" s="364" t="n"/>
    </row>
    <row r="41" ht="18.75" customHeight="1" s="141">
      <c r="A41" s="366" t="n"/>
      <c r="B41" s="259">
        <f>IFERROR(LOOKUP(2,1/(BallisticXGroups!$A$2:$A$200=$A41),BallisticXGroups!$D$2:$D$200),"")</f>
        <v/>
      </c>
      <c r="C41" s="260">
        <f>IFERROR(LOOKUP(2,1/(BallisticXGroups!$A$2:$A$200=$A41),BallisticXGroups!$E$2:$E$200),"")</f>
        <v/>
      </c>
      <c r="D41" s="261">
        <f>IFERROR(LOOKUP(2,1/(BallisticXGroups!$A$2:$A$200=$A41),BallisticXGroups!$G$2:$G$200),"")</f>
        <v/>
      </c>
      <c r="E41" s="261">
        <f>IFERROR(LOOKUP(2,1/(BallisticXGroups!$A$2:$A$200=$A41),BallisticXGroups!$H$2:$H$200),"")</f>
        <v/>
      </c>
      <c r="F41" s="261">
        <f>IFERROR(LOOKUP(2,1/(BallisticXGroups!$A$2:$A$200=$A41),BallisticXGroups!$I$2:$I$200),"")</f>
        <v/>
      </c>
      <c r="G41" s="261">
        <f>IFERROR(LOOKUP(2,1/(BallisticXGroups!$A$2:$A$200=$A41),BallisticXGroups!$J$2:$J$200),"")</f>
        <v/>
      </c>
      <c r="H41" s="261">
        <f>IFERROR(LOOKUP(2,1/(BallisticXGroups!$A$2:$A$200=$A41),BallisticXGroups!$K$2:$K$200),"")</f>
        <v/>
      </c>
      <c r="I41" s="261">
        <f>IFERROR(LOOKUP(2,1/(BallisticXGroups!$A$2:$A$200=$A41),BallisticXGroups!$L$2:$L$200),"")</f>
        <v/>
      </c>
      <c r="J41" s="261">
        <f>IFERROR(LOOKUP(2,1/(BallisticXGroups!$A$2:$A$200=$A41),BallisticXGroups!$M$2:$M$200),"")</f>
        <v/>
      </c>
      <c r="K41" s="261">
        <f>IFERROR(LOOKUP(2,1/(BallisticXGroups!$A$2:$A$200=$A41),BallisticXGroups!$N$2:$N$200),"")</f>
        <v/>
      </c>
      <c r="L41" s="262">
        <f>IFERROR(LOOKUP(2,1/(BallisticXGroups!$A$2:$A$200=$A41),BallisticXGroups!$F$2:$F$200),"")</f>
        <v/>
      </c>
      <c r="M41" s="367" t="n"/>
    </row>
    <row r="42" ht="18.75" customHeight="1" s="141">
      <c r="A42" s="336" t="n"/>
      <c r="B42" s="184">
        <f>IFERROR(LOOKUP(2,1/(BallisticXGroups!$A$2:$A$200=$A42),BallisticXGroups!$D$2:$D$200),"")</f>
        <v/>
      </c>
      <c r="C42" s="186">
        <f>IFERROR(LOOKUP(2,1/(BallisticXGroups!$A$2:$A$200=$A42),BallisticXGroups!$E$2:$E$200),"")</f>
        <v/>
      </c>
      <c r="D42" s="227">
        <f>IFERROR(LOOKUP(2,1/(BallisticXGroups!$A$2:$A$200=$A42),BallisticXGroups!$G$2:$G$200),"")</f>
        <v/>
      </c>
      <c r="E42" s="227">
        <f>IFERROR(LOOKUP(2,1/(BallisticXGroups!$A$2:$A$200=$A42),BallisticXGroups!$H$2:$H$200),"")</f>
        <v/>
      </c>
      <c r="F42" s="227">
        <f>IFERROR(LOOKUP(2,1/(BallisticXGroups!$A$2:$A$200=$A42),BallisticXGroups!$I$2:$I$200),"")</f>
        <v/>
      </c>
      <c r="G42" s="227">
        <f>IFERROR(LOOKUP(2,1/(BallisticXGroups!$A$2:$A$200=$A42),BallisticXGroups!$J$2:$J$200),"")</f>
        <v/>
      </c>
      <c r="H42" s="227">
        <f>IFERROR(LOOKUP(2,1/(BallisticXGroups!$A$2:$A$200=$A42),BallisticXGroups!$K$2:$K$200),"")</f>
        <v/>
      </c>
      <c r="I42" s="227">
        <f>IFERROR(LOOKUP(2,1/(BallisticXGroups!$A$2:$A$200=$A42),BallisticXGroups!$L$2:$L$200),"")</f>
        <v/>
      </c>
      <c r="J42" s="227">
        <f>IFERROR(LOOKUP(2,1/(BallisticXGroups!$A$2:$A$200=$A42),BallisticXGroups!$M$2:$M$200),"")</f>
        <v/>
      </c>
      <c r="K42" s="227">
        <f>IFERROR(LOOKUP(2,1/(BallisticXGroups!$A$2:$A$200=$A42),BallisticXGroups!$N$2:$N$200),"")</f>
        <v/>
      </c>
      <c r="L42" s="246">
        <f>IFERROR(LOOKUP(2,1/(BallisticXGroups!$A$2:$A$200=$A42),BallisticXGroups!$F$2:$F$200),"")</f>
        <v/>
      </c>
      <c r="M42" s="364" t="n"/>
    </row>
    <row r="43" ht="18.75" customHeight="1" s="141">
      <c r="A43" s="366" t="n"/>
      <c r="B43" s="259">
        <f>IFERROR(LOOKUP(2,1/(BallisticXGroups!$A$2:$A$200=$A43),BallisticXGroups!$D$2:$D$200),"")</f>
        <v/>
      </c>
      <c r="C43" s="260">
        <f>IFERROR(LOOKUP(2,1/(BallisticXGroups!$A$2:$A$200=$A43),BallisticXGroups!$E$2:$E$200),"")</f>
        <v/>
      </c>
      <c r="D43" s="261">
        <f>IFERROR(LOOKUP(2,1/(BallisticXGroups!$A$2:$A$200=$A43),BallisticXGroups!$G$2:$G$200),"")</f>
        <v/>
      </c>
      <c r="E43" s="261">
        <f>IFERROR(LOOKUP(2,1/(BallisticXGroups!$A$2:$A$200=$A43),BallisticXGroups!$H$2:$H$200),"")</f>
        <v/>
      </c>
      <c r="F43" s="261">
        <f>IFERROR(LOOKUP(2,1/(BallisticXGroups!$A$2:$A$200=$A43),BallisticXGroups!$I$2:$I$200),"")</f>
        <v/>
      </c>
      <c r="G43" s="261">
        <f>IFERROR(LOOKUP(2,1/(BallisticXGroups!$A$2:$A$200=$A43),BallisticXGroups!$J$2:$J$200),"")</f>
        <v/>
      </c>
      <c r="H43" s="261">
        <f>IFERROR(LOOKUP(2,1/(BallisticXGroups!$A$2:$A$200=$A43),BallisticXGroups!$K$2:$K$200),"")</f>
        <v/>
      </c>
      <c r="I43" s="261">
        <f>IFERROR(LOOKUP(2,1/(BallisticXGroups!$A$2:$A$200=$A43),BallisticXGroups!$L$2:$L$200),"")</f>
        <v/>
      </c>
      <c r="J43" s="261">
        <f>IFERROR(LOOKUP(2,1/(BallisticXGroups!$A$2:$A$200=$A43),BallisticXGroups!$M$2:$M$200),"")</f>
        <v/>
      </c>
      <c r="K43" s="261">
        <f>IFERROR(LOOKUP(2,1/(BallisticXGroups!$A$2:$A$200=$A43),BallisticXGroups!$N$2:$N$200),"")</f>
        <v/>
      </c>
      <c r="L43" s="262">
        <f>IFERROR(LOOKUP(2,1/(BallisticXGroups!$A$2:$A$200=$A43),BallisticXGroups!$F$2:$F$200),"")</f>
        <v/>
      </c>
      <c r="M43" s="367" t="n"/>
    </row>
    <row r="44">
      <c r="A44" s="309" t="n"/>
      <c r="B44" s="309" t="n"/>
      <c r="C44" s="309" t="n"/>
      <c r="D44" s="309" t="n"/>
      <c r="E44" s="309" t="n"/>
      <c r="F44" s="309" t="n"/>
      <c r="G44" s="309" t="n"/>
      <c r="H44" s="309" t="n"/>
      <c r="I44" s="309" t="n"/>
      <c r="J44" s="309" t="n"/>
      <c r="K44" s="309" t="n"/>
      <c r="L44" s="309" t="n"/>
      <c r="M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row>
    <row r="46" ht="21.75" customHeight="1" s="141">
      <c r="A46" s="362" t="inlineStr">
        <is>
          <r>
            <rPr>
              <i/>
              <color rgb="FF595959"/>
              <sz val="12"/>
              <rFont val="Calibri"/>
              <family val="2"/>
            </rPr>
            <t xml:space="preserve">After Power Query setup, this sheet pulls every group from your BallisticX CSVs.
Workflow:
  1. After shooting, in BallisticX, label each group with its tag (P1–P10 for powder ladder, S1–S10 for seating depth, anything for confirmation groups).
  2. Export BallisticX history as CSV → save into ~/Documents/Claude/Projects/Rifle Load Data/BallisticX Imports/
  3. In Excel: Data → Refresh All. This sheet auto-populates.
  4. Copy the Group, Mean Radius, and Height values from this sheet into the matching Load Log / Seating Depth row.
If you run "do phase 2" later, the Group / MR / Height cells on Load Log + SD will pull from this tab automatically by tag.</t>
          </r>
        </is>
      </c>
      <c r="B46" s="309" t="n"/>
      <c r="C46" s="309" t="n"/>
      <c r="D46" s="309" t="n"/>
      <c r="E46" s="309" t="n"/>
      <c r="F46" s="309" t="n"/>
      <c r="G46" s="309" t="n"/>
      <c r="H46" s="309" t="n"/>
      <c r="I46" s="309" t="n"/>
      <c r="J46" s="309" t="n"/>
      <c r="K46" s="309" t="n"/>
      <c r="L46" s="309" t="n"/>
      <c r="M46" s="309" t="n"/>
    </row>
    <row r="47" ht="21.75" customHeight="1" s="141">
      <c r="A47" s="309" t="n"/>
      <c r="B47" s="309" t="n"/>
      <c r="C47" s="309" t="n"/>
      <c r="D47" s="309" t="n"/>
      <c r="E47" s="309" t="n"/>
      <c r="F47" s="309" t="n"/>
      <c r="G47" s="309" t="n"/>
      <c r="H47" s="309" t="n"/>
      <c r="I47" s="309" t="n"/>
      <c r="J47" s="309" t="n"/>
      <c r="K47" s="309" t="n"/>
      <c r="L47" s="309" t="n"/>
      <c r="M47" s="309" t="n"/>
    </row>
    <row r="48" ht="21.75" customHeight="1" s="141">
      <c r="A48" s="309" t="n"/>
      <c r="B48" s="309" t="n"/>
      <c r="C48" s="309" t="n"/>
      <c r="D48" s="309" t="n"/>
      <c r="E48" s="309" t="n"/>
      <c r="F48" s="309" t="n"/>
      <c r="G48" s="309" t="n"/>
      <c r="H48" s="309" t="n"/>
      <c r="I48" s="309" t="n"/>
      <c r="J48" s="309" t="n"/>
      <c r="K48" s="309" t="n"/>
      <c r="L48" s="309" t="n"/>
      <c r="M48" s="309" t="n"/>
    </row>
    <row r="49" ht="21.75" customHeight="1" s="141">
      <c r="A49" s="309" t="n"/>
      <c r="B49" s="309" t="n"/>
      <c r="C49" s="309" t="n"/>
      <c r="D49" s="309" t="n"/>
      <c r="E49" s="309" t="n"/>
      <c r="F49" s="309" t="n"/>
      <c r="G49" s="309" t="n"/>
      <c r="H49" s="309" t="n"/>
      <c r="I49" s="309" t="n"/>
      <c r="J49" s="309" t="n"/>
      <c r="K49" s="309" t="n"/>
      <c r="L49" s="309" t="n"/>
      <c r="M49" s="309" t="n"/>
    </row>
    <row r="50" ht="21.75" customHeight="1" s="141">
      <c r="A50" s="309" t="n"/>
      <c r="B50" s="309" t="n"/>
      <c r="C50" s="309" t="n"/>
      <c r="D50" s="309" t="n"/>
      <c r="E50" s="309" t="n"/>
      <c r="F50" s="309" t="n"/>
      <c r="G50" s="309" t="n"/>
      <c r="H50" s="309" t="n"/>
      <c r="I50" s="309" t="n"/>
      <c r="J50" s="309" t="n"/>
      <c r="K50" s="309" t="n"/>
      <c r="L50" s="309" t="n"/>
      <c r="M50" s="309" t="n"/>
    </row>
    <row r="51" ht="21.75" customHeight="1" s="141">
      <c r="A51" s="309" t="n"/>
      <c r="B51" s="309" t="n"/>
      <c r="C51" s="309" t="n"/>
      <c r="D51" s="309" t="n"/>
      <c r="E51" s="309" t="n"/>
      <c r="F51" s="309" t="n"/>
      <c r="G51" s="309" t="n"/>
      <c r="H51" s="309" t="n"/>
      <c r="I51" s="309" t="n"/>
      <c r="J51" s="309" t="n"/>
      <c r="K51" s="309" t="n"/>
      <c r="L51" s="309" t="n"/>
      <c r="M51" s="309" t="n"/>
    </row>
    <row r="52" ht="21.75" customHeight="1" s="141">
      <c r="A52" s="309" t="n"/>
      <c r="B52" s="309" t="n"/>
      <c r="C52" s="309" t="n"/>
      <c r="D52" s="309" t="n"/>
      <c r="E52" s="309" t="n"/>
      <c r="F52" s="309" t="n"/>
      <c r="G52" s="309" t="n"/>
      <c r="H52" s="309" t="n"/>
      <c r="I52" s="309" t="n"/>
      <c r="J52" s="309" t="n"/>
      <c r="K52" s="309" t="n"/>
      <c r="L52" s="309" t="n"/>
      <c r="M52" s="309" t="n"/>
    </row>
    <row r="53" ht="21.75" customHeight="1" s="141">
      <c r="A53" s="309" t="n"/>
      <c r="B53" s="309" t="n"/>
      <c r="C53" s="309" t="n"/>
      <c r="D53" s="309" t="n"/>
      <c r="E53" s="309" t="n"/>
      <c r="F53" s="309" t="n"/>
      <c r="G53" s="309" t="n"/>
      <c r="H53" s="309" t="n"/>
      <c r="I53" s="309" t="n"/>
      <c r="J53" s="309" t="n"/>
      <c r="K53" s="309" t="n"/>
      <c r="L53" s="309" t="n"/>
      <c r="M53" s="309" t="n"/>
    </row>
    <row r="54" ht="21.75" customHeight="1" s="141">
      <c r="A54" s="309" t="n"/>
      <c r="B54" s="309" t="n"/>
      <c r="C54" s="309" t="n"/>
      <c r="D54" s="309" t="n"/>
      <c r="E54" s="309" t="n"/>
      <c r="F54" s="309" t="n"/>
      <c r="G54" s="309" t="n"/>
      <c r="H54" s="309" t="n"/>
      <c r="I54" s="309" t="n"/>
      <c r="J54" s="309" t="n"/>
      <c r="K54" s="309" t="n"/>
      <c r="L54" s="309" t="n"/>
      <c r="M54" s="309" t="n"/>
    </row>
    <row r="55" ht="21.75" customHeight="1" s="141">
      <c r="A55" s="309" t="n"/>
      <c r="B55" s="309" t="n"/>
      <c r="C55" s="309" t="n"/>
      <c r="D55" s="309" t="n"/>
      <c r="E55" s="309" t="n"/>
      <c r="F55" s="309" t="n"/>
      <c r="G55" s="309" t="n"/>
      <c r="H55" s="309" t="n"/>
      <c r="I55" s="309" t="n"/>
      <c r="J55" s="309" t="n"/>
      <c r="K55" s="309" t="n"/>
      <c r="L55" s="309" t="n"/>
      <c r="M55" s="309" t="n"/>
    </row>
    <row r="56" ht="21.75" customHeight="1" s="141">
      <c r="A56" s="309" t="n"/>
      <c r="B56" s="309" t="n"/>
      <c r="C56" s="309" t="n"/>
      <c r="D56" s="309" t="n"/>
      <c r="E56" s="309" t="n"/>
      <c r="F56" s="309" t="n"/>
      <c r="G56" s="309" t="n"/>
      <c r="H56" s="309" t="n"/>
      <c r="I56" s="309" t="n"/>
      <c r="J56" s="309" t="n"/>
      <c r="K56" s="309" t="n"/>
      <c r="L56" s="309" t="n"/>
      <c r="M56"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45:M45"/>
    <mergeCell ref="A1:M1"/>
    <mergeCell ref="A3:M3"/>
    <mergeCell ref="A46:M56"/>
    <mergeCell ref="A2:M2"/>
    <mergeCell ref="A16:M16"/>
    <mergeCell ref="A28:M28"/>
  </mergeCells>
  <printOptions horizontalCentered="1" verticalCentered="0" headings="0" gridLines="0" gridLinesSet="1"/>
  <pageMargins left="0.75" right="0.75" top="1" bottom="1" header="0.511811023622047" footer="0.511811023622047"/>
  <pageSetup fitToHeight="1" orientation="landscape" paperSize="1" scale="10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outlinePr summaryBelow="1" summaryRight="1"/>
    <pageSetUpPr fitToPage="1"/>
  </sheetPr>
  <dimension ref="A1:Z19"/>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5" customWidth="1" style="140" min="1" max="1"/>
    <col width="12" customWidth="1" style="140" min="2" max="2"/>
    <col width="36" customWidth="1" style="140" min="3" max="3"/>
    <col width="22" customWidth="1" style="140" min="4" max="5"/>
    <col width="11" customWidth="1" style="140" min="6" max="6"/>
    <col width="9" customWidth="1" style="140" min="7" max="7"/>
    <col width="11" customWidth="1" style="140" min="8" max="8"/>
    <col width="12" customWidth="1" style="140" min="9" max="10"/>
    <col width="22" customWidth="1" style="140" min="11" max="11"/>
    <col width="11" customWidth="1" style="140" min="12" max="13"/>
    <col width="12" customWidth="1" style="140" min="14" max="14"/>
    <col width="9" customWidth="1" style="140" min="15" max="16"/>
    <col width="12" customWidth="1" style="140" min="17" max="17"/>
    <col width="8.43" customWidth="1" style="140" min="18" max="29"/>
  </cols>
  <sheetData>
    <row r="1" ht="31.5" customHeight="1" s="141">
      <c r="A1" s="316" t="inlineStr">
        <is>
          <t>Load Library — Confirmed Loads</t>
        </is>
      </c>
      <c r="B1" s="309" t="n"/>
      <c r="C1" s="309" t="n"/>
      <c r="D1" s="309" t="n"/>
      <c r="E1" s="309" t="n"/>
      <c r="F1" s="309" t="n"/>
      <c r="G1" s="309" t="n"/>
      <c r="H1" s="309" t="n"/>
      <c r="I1" s="309" t="n"/>
      <c r="J1" s="309" t="n"/>
      <c r="K1" s="309" t="n"/>
      <c r="L1" s="309" t="n"/>
      <c r="M1" s="309" t="n"/>
      <c r="N1" s="309" t="n"/>
      <c r="O1" s="309" t="n"/>
      <c r="P1" s="309" t="n"/>
      <c r="Q1" s="309" t="n"/>
      <c r="R1" s="317" t="n"/>
      <c r="S1" s="317" t="n"/>
      <c r="T1" s="317" t="n"/>
      <c r="U1" s="317" t="n"/>
      <c r="V1" s="317" t="n"/>
      <c r="W1" s="317" t="n"/>
      <c r="X1" s="317" t="n"/>
      <c r="Y1" s="317" t="n"/>
      <c r="Z1" s="317" t="n"/>
    </row>
    <row r="2" ht="27.75" customHeight="1" s="141">
      <c r="A2" s="356" t="inlineStr">
        <is>
          <r>
            <rPr>
              <i/>
              <color rgb="FF595959"/>
              <sz val="12"/>
              <rFont val="Calibri"/>
              <family val="2"/>
            </rPr>
            <t xml:space="preserve">CONFIRMED LOADS ONLY. After Load Log + Seating Depth produce a winner and you've shot a 5–10 shot confirmation group, fill in one row here. Hover any header for what to enter.</t>
          </r>
        </is>
      </c>
      <c r="B2" s="309" t="n"/>
      <c r="C2" s="309" t="n"/>
      <c r="D2" s="309" t="n"/>
      <c r="E2" s="309" t="n"/>
      <c r="F2" s="309" t="n"/>
      <c r="G2" s="309" t="n"/>
      <c r="H2" s="309" t="n"/>
      <c r="I2" s="309" t="n"/>
      <c r="J2" s="309" t="n"/>
      <c r="K2" s="309" t="n"/>
      <c r="L2" s="309" t="n"/>
      <c r="M2" s="309" t="n"/>
      <c r="N2" s="309" t="n"/>
      <c r="O2" s="309" t="n"/>
      <c r="P2" s="309" t="n"/>
      <c r="Q2" s="309" t="n"/>
      <c r="R2" s="317" t="n"/>
      <c r="S2" s="317" t="n"/>
      <c r="T2" s="317" t="n"/>
      <c r="U2" s="317" t="n"/>
      <c r="V2" s="317" t="n"/>
      <c r="W2" s="317" t="n"/>
      <c r="X2" s="317" t="n"/>
      <c r="Y2" s="317" t="n"/>
      <c r="Z2" s="317" t="n"/>
    </row>
    <row r="3" ht="21.75" customHeight="1" s="141">
      <c r="A3" s="368" t="inlineStr">
        <is>
          <t>IDENTIFICATION</t>
        </is>
      </c>
      <c r="B3" s="309" t="n"/>
      <c r="C3" s="309" t="n"/>
      <c r="D3" s="309" t="n"/>
      <c r="E3" s="369" t="inlineStr">
        <is>
          <t>RECIPE</t>
        </is>
      </c>
      <c r="F3" s="309" t="n"/>
      <c r="G3" s="309" t="n"/>
      <c r="H3" s="309" t="n"/>
      <c r="I3" s="309" t="n"/>
      <c r="J3" s="309" t="n"/>
      <c r="K3" s="309" t="n"/>
      <c r="L3" s="309" t="n"/>
      <c r="M3" s="370" t="inlineStr">
        <is>
          <t>PERFORMANCE</t>
        </is>
      </c>
      <c r="N3" s="309" t="n"/>
      <c r="O3" s="309" t="n"/>
      <c r="P3" s="309" t="n"/>
      <c r="Q3" s="368" t="inlineStr">
        <is>
          <t>NOTES</t>
        </is>
      </c>
      <c r="R3" s="317" t="n"/>
      <c r="S3" s="317" t="n"/>
      <c r="T3" s="317" t="n"/>
      <c r="U3" s="317" t="n"/>
      <c r="V3" s="317" t="n"/>
      <c r="W3" s="317" t="n"/>
      <c r="X3" s="317" t="n"/>
      <c r="Y3" s="317" t="n"/>
      <c r="Z3" s="317" t="n"/>
    </row>
    <row r="4" ht="42" customHeight="1" s="141">
      <c r="A4" s="333" t="inlineStr">
        <is>
          <t>#</t>
        </is>
      </c>
      <c r="B4" s="333" t="inlineStr">
        <is>
          <t>Date Added</t>
        </is>
      </c>
      <c r="C4" s="333" t="inlineStr">
        <is>
          <t>Load Name</t>
        </is>
      </c>
      <c r="D4" s="333" t="inlineStr">
        <is>
          <t>Rifle</t>
        </is>
      </c>
      <c r="E4" s="333" t="inlineStr">
        <is>
          <t>Bullet</t>
        </is>
      </c>
      <c r="F4" s="333" t="inlineStr">
        <is>
          <t>Bullet Wt (gr)</t>
        </is>
      </c>
      <c r="G4" s="333" t="inlineStr">
        <is>
          <t>Powder</t>
        </is>
      </c>
      <c r="H4" s="333" t="inlineStr">
        <is>
          <t>Charge (gr)</t>
        </is>
      </c>
      <c r="I4" s="333" t="inlineStr">
        <is>
          <t>Primer</t>
        </is>
      </c>
      <c r="J4" s="333" t="inlineStr">
        <is>
          <t>Brass</t>
        </is>
      </c>
      <c r="K4" s="333" t="inlineStr">
        <is>
          <t>CBTO (in)</t>
        </is>
      </c>
      <c r="L4" s="333" t="inlineStr">
        <is>
          <t>Jump (in)</t>
        </is>
      </c>
      <c r="M4" s="333" t="inlineStr">
        <is>
          <t>Avg Vel (fps)</t>
        </is>
      </c>
      <c r="N4" s="333" t="inlineStr">
        <is>
          <t>SD (fps)</t>
        </is>
      </c>
      <c r="O4" s="333" t="inlineStr">
        <is>
          <t>Group (MOA)</t>
        </is>
      </c>
      <c r="P4" s="333" t="inlineStr">
        <is>
          <t>MR (MOA)</t>
        </is>
      </c>
      <c r="Q4" s="333" t="inlineStr">
        <is>
          <t>Notes / Conditions</t>
        </is>
      </c>
      <c r="R4" s="317" t="n"/>
      <c r="S4" s="317" t="n"/>
      <c r="T4" s="317" t="n"/>
      <c r="U4" s="317" t="n"/>
      <c r="V4" s="317" t="n"/>
      <c r="W4" s="317" t="n"/>
      <c r="X4" s="317" t="n"/>
      <c r="Y4" s="317" t="n"/>
      <c r="Z4" s="317" t="n"/>
    </row>
    <row r="5" ht="21.75" customHeight="1" s="141">
      <c r="A5" s="359" t="n"/>
      <c r="B5" s="359" t="n"/>
      <c r="C5" s="359" t="n"/>
      <c r="D5" s="359" t="n"/>
      <c r="E5" s="358" t="n"/>
      <c r="F5" s="371" t="n"/>
      <c r="G5" s="358" t="n"/>
      <c r="H5" s="372" t="n"/>
      <c r="I5" s="358" t="n"/>
      <c r="J5" s="358" t="n"/>
      <c r="K5" s="373" t="n"/>
      <c r="L5" s="373" t="n"/>
      <c r="M5" s="374" t="n"/>
      <c r="N5" s="375" t="n"/>
      <c r="O5" s="376" t="n"/>
      <c r="P5" s="376" t="n"/>
      <c r="Q5" s="359" t="n"/>
      <c r="R5" s="317" t="n"/>
      <c r="S5" s="317" t="n"/>
      <c r="T5" s="317" t="n"/>
      <c r="U5" s="317" t="n"/>
      <c r="V5" s="317" t="n"/>
      <c r="W5" s="317" t="n"/>
      <c r="X5" s="317" t="n"/>
      <c r="Y5" s="317" t="n"/>
      <c r="Z5" s="317" t="n"/>
    </row>
    <row r="6" ht="21.75" customHeight="1" s="141">
      <c r="A6" s="336" t="n"/>
      <c r="B6" s="336" t="n"/>
      <c r="C6" s="336" t="n"/>
      <c r="D6" s="336" t="n"/>
      <c r="E6" s="336" t="n"/>
      <c r="F6" s="377" t="n"/>
      <c r="G6" s="336" t="n"/>
      <c r="H6" s="378" t="n"/>
      <c r="I6" s="336" t="n"/>
      <c r="J6" s="336" t="n"/>
      <c r="K6" s="379" t="n"/>
      <c r="L6" s="379" t="n"/>
      <c r="M6" s="377" t="n"/>
      <c r="N6" s="378" t="n"/>
      <c r="O6" s="380" t="n"/>
      <c r="P6" s="380" t="n"/>
      <c r="Q6" s="336" t="n"/>
      <c r="R6" s="317" t="n"/>
      <c r="S6" s="317" t="n"/>
      <c r="T6" s="317" t="n"/>
      <c r="U6" s="317" t="n"/>
      <c r="V6" s="317" t="n"/>
      <c r="W6" s="317" t="n"/>
      <c r="X6" s="317" t="n"/>
      <c r="Y6" s="317" t="n"/>
      <c r="Z6" s="317" t="n"/>
    </row>
    <row r="7" ht="21.75" customHeight="1" s="141">
      <c r="A7" s="359" t="n"/>
      <c r="B7" s="359" t="n"/>
      <c r="C7" s="359" t="n"/>
      <c r="D7" s="359" t="n"/>
      <c r="E7" s="358" t="n"/>
      <c r="F7" s="371" t="n"/>
      <c r="G7" s="358" t="n"/>
      <c r="H7" s="372" t="n"/>
      <c r="I7" s="358" t="n"/>
      <c r="J7" s="358" t="n"/>
      <c r="K7" s="373" t="n"/>
      <c r="L7" s="373" t="n"/>
      <c r="M7" s="374" t="n"/>
      <c r="N7" s="375" t="n"/>
      <c r="O7" s="376" t="n"/>
      <c r="P7" s="376" t="n"/>
      <c r="Q7" s="359" t="n"/>
      <c r="R7" s="317" t="n"/>
      <c r="S7" s="317" t="n"/>
      <c r="T7" s="317" t="n"/>
      <c r="U7" s="317" t="n"/>
      <c r="V7" s="317" t="n"/>
      <c r="W7" s="317" t="n"/>
      <c r="X7" s="317" t="n"/>
      <c r="Y7" s="317" t="n"/>
      <c r="Z7" s="317" t="n"/>
    </row>
    <row r="8" ht="21.75" customHeight="1" s="141">
      <c r="A8" s="336" t="n"/>
      <c r="B8" s="336" t="n"/>
      <c r="C8" s="336" t="n"/>
      <c r="D8" s="336" t="n"/>
      <c r="E8" s="336" t="n"/>
      <c r="F8" s="377" t="n"/>
      <c r="G8" s="336" t="n"/>
      <c r="H8" s="378" t="n"/>
      <c r="I8" s="336" t="n"/>
      <c r="J8" s="336" t="n"/>
      <c r="K8" s="379" t="n"/>
      <c r="L8" s="379" t="n"/>
      <c r="M8" s="377" t="n"/>
      <c r="N8" s="378" t="n"/>
      <c r="O8" s="380" t="n"/>
      <c r="P8" s="380" t="n"/>
      <c r="Q8" s="336" t="n"/>
      <c r="R8" s="317" t="n"/>
      <c r="S8" s="317" t="n"/>
      <c r="T8" s="317" t="n"/>
      <c r="U8" s="317" t="n"/>
      <c r="V8" s="317" t="n"/>
      <c r="W8" s="317" t="n"/>
      <c r="X8" s="317" t="n"/>
      <c r="Y8" s="317" t="n"/>
      <c r="Z8" s="317" t="n"/>
    </row>
    <row r="9" ht="21.75" customHeight="1" s="141">
      <c r="A9" s="359" t="n"/>
      <c r="B9" s="359" t="n"/>
      <c r="C9" s="359" t="n"/>
      <c r="D9" s="359" t="n"/>
      <c r="E9" s="358" t="n"/>
      <c r="F9" s="371" t="n"/>
      <c r="G9" s="358" t="n"/>
      <c r="H9" s="372" t="n"/>
      <c r="I9" s="358" t="n"/>
      <c r="J9" s="358" t="n"/>
      <c r="K9" s="373" t="n"/>
      <c r="L9" s="373" t="n"/>
      <c r="M9" s="374" t="n"/>
      <c r="N9" s="375" t="n"/>
      <c r="O9" s="376" t="n"/>
      <c r="P9" s="376" t="n"/>
      <c r="Q9" s="359" t="n"/>
      <c r="R9" s="317" t="n"/>
      <c r="S9" s="317" t="n"/>
      <c r="T9" s="317" t="n"/>
      <c r="U9" s="317" t="n"/>
      <c r="V9" s="317" t="n"/>
      <c r="W9" s="317" t="n"/>
      <c r="X9" s="317" t="n"/>
      <c r="Y9" s="317" t="n"/>
      <c r="Z9" s="317" t="n"/>
    </row>
    <row r="10" ht="21.75" customHeight="1" s="141">
      <c r="A10" s="336" t="n"/>
      <c r="B10" s="336" t="n"/>
      <c r="C10" s="336" t="n"/>
      <c r="D10" s="336" t="n"/>
      <c r="E10" s="336" t="n"/>
      <c r="F10" s="377" t="n"/>
      <c r="G10" s="336" t="n"/>
      <c r="H10" s="378" t="n"/>
      <c r="I10" s="336" t="n"/>
      <c r="J10" s="336" t="n"/>
      <c r="K10" s="379" t="n"/>
      <c r="L10" s="379" t="n"/>
      <c r="M10" s="377" t="n"/>
      <c r="N10" s="378" t="n"/>
      <c r="O10" s="380" t="n"/>
      <c r="P10" s="380" t="n"/>
      <c r="Q10" s="336" t="n"/>
      <c r="R10" s="317" t="n"/>
      <c r="S10" s="317" t="n"/>
      <c r="T10" s="317" t="n"/>
      <c r="U10" s="317" t="n"/>
      <c r="V10" s="317" t="n"/>
      <c r="W10" s="317" t="n"/>
      <c r="X10" s="317" t="n"/>
      <c r="Y10" s="317" t="n"/>
      <c r="Z10" s="317" t="n"/>
    </row>
    <row r="11" ht="21.75" customHeight="1" s="141">
      <c r="A11" s="359" t="n"/>
      <c r="B11" s="359" t="n"/>
      <c r="C11" s="359" t="n"/>
      <c r="D11" s="359" t="n"/>
      <c r="E11" s="358" t="n"/>
      <c r="F11" s="371" t="n"/>
      <c r="G11" s="358" t="n"/>
      <c r="H11" s="372" t="n"/>
      <c r="I11" s="358" t="n"/>
      <c r="J11" s="358" t="n"/>
      <c r="K11" s="373" t="n"/>
      <c r="L11" s="373" t="n"/>
      <c r="M11" s="374" t="n"/>
      <c r="N11" s="375" t="n"/>
      <c r="O11" s="376" t="n"/>
      <c r="P11" s="376" t="n"/>
      <c r="Q11" s="359" t="n"/>
      <c r="R11" s="317" t="n"/>
      <c r="S11" s="317" t="n"/>
      <c r="T11" s="317" t="n"/>
      <c r="U11" s="317" t="n"/>
      <c r="V11" s="317" t="n"/>
      <c r="W11" s="317" t="n"/>
      <c r="X11" s="317" t="n"/>
      <c r="Y11" s="317" t="n"/>
      <c r="Z11" s="317" t="n"/>
    </row>
    <row r="12" ht="21.75" customHeight="1" s="141">
      <c r="A12" s="336" t="n"/>
      <c r="B12" s="336" t="n"/>
      <c r="C12" s="336" t="n"/>
      <c r="D12" s="336" t="n"/>
      <c r="E12" s="336" t="n"/>
      <c r="F12" s="377" t="n"/>
      <c r="G12" s="336" t="n"/>
      <c r="H12" s="378" t="n"/>
      <c r="I12" s="336" t="n"/>
      <c r="J12" s="336" t="n"/>
      <c r="K12" s="379" t="n"/>
      <c r="L12" s="379" t="n"/>
      <c r="M12" s="377" t="n"/>
      <c r="N12" s="378" t="n"/>
      <c r="O12" s="380" t="n"/>
      <c r="P12" s="380" t="n"/>
      <c r="Q12" s="336" t="n"/>
      <c r="R12" s="317" t="n"/>
      <c r="S12" s="317" t="n"/>
      <c r="T12" s="317" t="n"/>
      <c r="U12" s="317" t="n"/>
      <c r="V12" s="317" t="n"/>
      <c r="W12" s="317" t="n"/>
      <c r="X12" s="317" t="n"/>
      <c r="Y12" s="317" t="n"/>
      <c r="Z12" s="317" t="n"/>
    </row>
    <row r="13" ht="21.75" customHeight="1" s="141">
      <c r="A13" s="359" t="n"/>
      <c r="B13" s="359" t="n"/>
      <c r="C13" s="359" t="n"/>
      <c r="D13" s="359" t="n"/>
      <c r="E13" s="358" t="n"/>
      <c r="F13" s="371" t="n"/>
      <c r="G13" s="358" t="n"/>
      <c r="H13" s="372" t="n"/>
      <c r="I13" s="358" t="n"/>
      <c r="J13" s="358" t="n"/>
      <c r="K13" s="373" t="n"/>
      <c r="L13" s="373" t="n"/>
      <c r="M13" s="374" t="n"/>
      <c r="N13" s="375" t="n"/>
      <c r="O13" s="376" t="n"/>
      <c r="P13" s="376" t="n"/>
      <c r="Q13" s="359" t="n"/>
      <c r="R13" s="317" t="n"/>
      <c r="S13" s="317" t="n"/>
      <c r="T13" s="317" t="n"/>
      <c r="U13" s="317" t="n"/>
      <c r="V13" s="317" t="n"/>
      <c r="W13" s="317" t="n"/>
      <c r="X13" s="317" t="n"/>
      <c r="Y13" s="317" t="n"/>
      <c r="Z13" s="317" t="n"/>
    </row>
    <row r="14" ht="21.75" customHeight="1" s="141">
      <c r="A14" s="336" t="n"/>
      <c r="B14" s="336" t="n"/>
      <c r="C14" s="336" t="n"/>
      <c r="D14" s="336" t="n"/>
      <c r="E14" s="336" t="n"/>
      <c r="F14" s="377" t="n"/>
      <c r="G14" s="336" t="n"/>
      <c r="H14" s="378" t="n"/>
      <c r="I14" s="336" t="n"/>
      <c r="J14" s="336" t="n"/>
      <c r="K14" s="379" t="n"/>
      <c r="L14" s="379" t="n"/>
      <c r="M14" s="377" t="n"/>
      <c r="N14" s="378" t="n"/>
      <c r="O14" s="380" t="n"/>
      <c r="P14" s="380" t="n"/>
      <c r="Q14" s="336" t="n"/>
      <c r="R14" s="317" t="n"/>
      <c r="S14" s="317" t="n"/>
      <c r="T14" s="317" t="n"/>
      <c r="U14" s="317" t="n"/>
      <c r="V14" s="317" t="n"/>
      <c r="W14" s="317" t="n"/>
      <c r="X14" s="317" t="n"/>
      <c r="Y14" s="317" t="n"/>
      <c r="Z14" s="317" t="n"/>
    </row>
    <row r="15" ht="15" customHeight="1" s="141">
      <c r="A15" s="309" t="n"/>
      <c r="B15" s="309" t="n"/>
      <c r="C15" s="309" t="n"/>
      <c r="D15" s="309" t="n"/>
      <c r="E15" s="309" t="n"/>
      <c r="F15" s="309" t="n"/>
      <c r="G15" s="309" t="n"/>
      <c r="H15" s="309" t="n"/>
      <c r="I15" s="309" t="n"/>
      <c r="J15" s="309" t="n"/>
      <c r="K15" s="309" t="n"/>
      <c r="L15" s="309" t="n"/>
      <c r="M15" s="309" t="n"/>
      <c r="N15" s="309" t="n"/>
      <c r="O15" s="309" t="n"/>
      <c r="P15" s="309" t="n"/>
      <c r="Q15" s="309" t="n"/>
      <c r="R15" s="317" t="n"/>
      <c r="S15" s="317" t="n"/>
      <c r="T15" s="317" t="n"/>
      <c r="U15" s="317" t="n"/>
      <c r="V15" s="317" t="n"/>
      <c r="W15" s="317" t="n"/>
      <c r="X15" s="317" t="n"/>
      <c r="Y15" s="317" t="n"/>
      <c r="Z15" s="317" t="n"/>
    </row>
    <row r="16" ht="15" customHeight="1" s="141">
      <c r="A16" s="309" t="n"/>
      <c r="B16" s="309" t="n"/>
      <c r="C16" s="309" t="n"/>
      <c r="D16" s="309" t="n"/>
      <c r="E16" s="309" t="n"/>
      <c r="F16" s="309" t="n"/>
      <c r="G16" s="309" t="n"/>
      <c r="H16" s="309" t="n"/>
      <c r="I16" s="309" t="n"/>
      <c r="J16" s="309" t="n"/>
      <c r="K16" s="309" t="n"/>
      <c r="L16" s="309" t="n"/>
      <c r="M16" s="309" t="n"/>
      <c r="N16" s="309" t="n"/>
      <c r="O16" s="309" t="n"/>
      <c r="P16" s="309" t="n"/>
      <c r="Q16" s="309" t="n"/>
      <c r="R16" s="317" t="n"/>
      <c r="S16" s="317" t="n"/>
      <c r="T16" s="317" t="n"/>
      <c r="U16" s="317" t="n"/>
      <c r="V16" s="317" t="n"/>
      <c r="W16" s="317" t="n"/>
      <c r="X16" s="317" t="n"/>
      <c r="Y16" s="317" t="n"/>
      <c r="Z16" s="317" t="n"/>
    </row>
    <row r="17" ht="15" customHeight="1" s="141">
      <c r="A17" s="309" t="n"/>
      <c r="B17" s="309" t="n"/>
      <c r="C17" s="309" t="n"/>
      <c r="D17" s="309" t="n"/>
      <c r="E17" s="309" t="n"/>
      <c r="F17" s="309" t="n"/>
      <c r="G17" s="309" t="n"/>
      <c r="H17" s="309" t="n"/>
      <c r="I17" s="309" t="n"/>
      <c r="J17" s="309" t="n"/>
      <c r="K17" s="309" t="n"/>
      <c r="L17" s="309" t="n"/>
      <c r="M17" s="309" t="n"/>
      <c r="N17" s="309" t="n"/>
      <c r="O17" s="309" t="n"/>
      <c r="P17" s="309" t="n"/>
      <c r="Q17" s="309" t="n"/>
      <c r="R17" s="317" t="n"/>
      <c r="S17" s="317" t="n"/>
      <c r="T17" s="317" t="n"/>
      <c r="U17" s="317" t="n"/>
      <c r="V17" s="317" t="n"/>
      <c r="W17" s="317" t="n"/>
      <c r="X17" s="317" t="n"/>
      <c r="Y17" s="317" t="n"/>
      <c r="Z17" s="317" t="n"/>
    </row>
    <row r="18" ht="15" customHeight="1" s="141">
      <c r="A18" s="309" t="n"/>
      <c r="B18" s="309" t="n"/>
      <c r="C18" s="309" t="n"/>
      <c r="D18" s="309" t="n"/>
      <c r="E18" s="309" t="n"/>
      <c r="F18" s="309" t="n"/>
      <c r="G18" s="309" t="n"/>
      <c r="H18" s="309" t="n"/>
      <c r="I18" s="309" t="n"/>
      <c r="J18" s="309" t="n"/>
      <c r="K18" s="309" t="n"/>
      <c r="L18" s="309" t="n"/>
      <c r="M18" s="309" t="n"/>
      <c r="N18" s="309" t="n"/>
      <c r="O18" s="309" t="n"/>
      <c r="P18" s="309" t="n"/>
      <c r="Q18" s="309" t="n"/>
      <c r="R18" s="317" t="n"/>
      <c r="S18" s="317" t="n"/>
      <c r="T18" s="317" t="n"/>
      <c r="U18" s="317" t="n"/>
      <c r="V18" s="317" t="n"/>
      <c r="W18" s="317" t="n"/>
      <c r="X18" s="317" t="n"/>
      <c r="Y18" s="317" t="n"/>
      <c r="Z18" s="317" t="n"/>
    </row>
    <row r="19" ht="15" customHeight="1" s="141">
      <c r="A19" s="309" t="n"/>
      <c r="B19" s="309" t="n"/>
      <c r="C19" s="309" t="n"/>
      <c r="D19" s="309" t="n"/>
      <c r="E19" s="309" t="n"/>
      <c r="F19" s="309" t="n"/>
      <c r="G19" s="309" t="n"/>
      <c r="H19" s="309" t="n"/>
      <c r="I19" s="309" t="n"/>
      <c r="J19" s="309" t="n"/>
      <c r="K19" s="309" t="n"/>
      <c r="L19" s="309" t="n"/>
      <c r="M19" s="309" t="n"/>
      <c r="N19" s="309" t="n"/>
      <c r="O19" s="309" t="n"/>
      <c r="P19" s="309" t="n"/>
      <c r="Q19" s="309" t="n"/>
      <c r="R19" s="317" t="n"/>
      <c r="S19" s="317" t="n"/>
      <c r="T19" s="317" t="n"/>
      <c r="U19" s="317" t="n"/>
      <c r="V19" s="317" t="n"/>
      <c r="W19" s="317" t="n"/>
      <c r="X19" s="317" t="n"/>
      <c r="Y19" s="317" t="n"/>
      <c r="Z19" s="317" t="n"/>
    </row>
  </sheetData>
  <sheetProtection selectLockedCells="0" selectUnlockedCells="0" sheet="1" objects="0" insertRows="1" insertHyperlinks="1" autoFilter="0" scenarios="0" formatColumns="0" deleteColumns="1" insertColumns="1" pivotTables="1" deleteRows="1" formatCells="0" formatRows="0" sort="0"/>
  <mergeCells count="5">
    <mergeCell ref="E3:L3"/>
    <mergeCell ref="M3:P3"/>
    <mergeCell ref="A3:D3"/>
    <mergeCell ref="A2:Q2"/>
    <mergeCell ref="A1:Q1"/>
  </mergeCells>
  <conditionalFormatting sqref="N5:N14">
    <cfRule type="colorScale" priority="2">
      <colorScale>
        <cfvo type="min" val="0"/>
        <cfvo type="percentile" val="50"/>
        <cfvo type="max" val="0"/>
        <color rgb="FF63BE7B"/>
        <color rgb="FFFFEB84"/>
        <color rgb="FFF8696B"/>
      </colorScale>
    </cfRule>
  </conditionalFormatting>
  <conditionalFormatting sqref="O5:O14">
    <cfRule type="colorScale" priority="3">
      <colorScale>
        <cfvo type="min" val="0"/>
        <cfvo type="percentile" val="50"/>
        <cfvo type="max" val="0"/>
        <color rgb="FF63BE7B"/>
        <color rgb="FFFFEB84"/>
        <color rgb="FFF8696B"/>
      </colorScale>
    </cfRule>
  </conditionalFormatting>
  <conditionalFormatting sqref="P5:P14">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oddHeader>&amp;L&amp;"Calibri,Italic"&amp;8 &amp;"Calibri,Italic"&amp;8 &amp;F&amp;C&amp;"Calibri,Bold"&amp;10 &amp;"Calibri,Bold"&amp;10 &amp;A&amp;R&amp;"Calibri,Italic"&amp;8 &amp;"Calibri,Italic"&amp;8 Page &amp;P of &amp;N</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filterMode="0">
    <outlinePr summaryBelow="1" summaryRight="1"/>
    <pageSetUpPr fitToPage="1"/>
  </sheetPr>
  <dimension ref="A1:K9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11" customWidth="1" style="140" min="1" max="2"/>
    <col width="10" customWidth="1" style="140" min="3" max="3"/>
    <col width="11" customWidth="1" style="140" min="4" max="4"/>
    <col width="22" customWidth="1" style="140" min="5" max="5"/>
    <col width="13" customWidth="1" style="140" min="6" max="6"/>
    <col width="10" customWidth="1" style="140" min="7" max="7"/>
    <col width="16" customWidth="1" style="140" min="8" max="8"/>
    <col width="10" customWidth="1" style="140" min="9" max="10"/>
    <col width="40" customWidth="1" style="140" min="11" max="11"/>
  </cols>
  <sheetData>
    <row r="1" ht="31.5" customHeight="1" s="141">
      <c r="A1" s="316" t="inlineStr">
        <is>
          <t>Ballistics — DOPE / Range Card</t>
        </is>
      </c>
      <c r="B1" s="309" t="n"/>
      <c r="C1" s="309" t="n"/>
      <c r="D1" s="309" t="n"/>
      <c r="E1" s="309" t="n"/>
      <c r="F1" s="309" t="n"/>
      <c r="G1" s="309" t="n"/>
      <c r="H1" s="309" t="n"/>
      <c r="I1" s="309" t="n"/>
      <c r="J1" s="309" t="n"/>
      <c r="K1" s="309" t="n"/>
    </row>
    <row r="2" ht="30" customHeight="1" s="141">
      <c r="A2" s="201" t="inlineStr">
        <is>
          <t xml:space="preserve">→  Print Pocket Range Card  ←</t>
        </is>
      </c>
      <c r="B2" s="309" t="n"/>
      <c r="C2" s="309" t="n"/>
      <c r="D2" s="309" t="n"/>
      <c r="E2" s="309" t="n"/>
      <c r="F2" s="309" t="n"/>
      <c r="G2" s="309" t="n"/>
      <c r="H2" s="309" t="n"/>
      <c r="I2" s="309" t="n"/>
      <c r="J2" s="309" t="n"/>
      <c r="K2" s="309" t="n"/>
    </row>
    <row r="3" ht="6" customHeight="1" s="141">
      <c r="A3" s="309" t="n"/>
      <c r="B3" s="309" t="n"/>
      <c r="C3" s="309" t="n"/>
      <c r="D3" s="309" t="n"/>
      <c r="E3" s="309" t="n"/>
      <c r="F3" s="309" t="n"/>
      <c r="G3" s="309" t="n"/>
      <c r="H3" s="309" t="n"/>
      <c r="I3" s="309" t="n"/>
      <c r="J3" s="309" t="n"/>
      <c r="K3" s="309" t="n"/>
    </row>
    <row r="4" ht="24" customHeight="1" s="141">
      <c r="A4" s="215" t="inlineStr">
        <is>
          <r>
            <rPr>
              <i/>
              <color rgb="FF595959"/>
              <sz val="12"/>
              <rFont val="Calibri"/>
              <family val="2"/>
            </rPr>
            <t xml:space="preserve">Enter your DOPE values in MILS or MOA. Click counts auto-calculate based on your scope's click value (set on the Load Log tab — Click: dropdown).</t>
          </r>
        </is>
      </c>
    </row>
    <row r="5" ht="24" customHeight="1" s="141">
      <c r="A5" s="381" t="inlineStr">
        <is>
          <t>Rifle:</t>
        </is>
      </c>
      <c r="B5" s="270">
        <f>IF(IFERROR('Load Library'!D5,"")="","",'Load Library'!D5)</f>
        <v/>
      </c>
      <c r="C5" s="382" t="n"/>
      <c r="D5" s="381" t="inlineStr">
        <is>
          <t>Bullet:</t>
        </is>
      </c>
      <c r="E5" s="270">
        <f>IF(IFERROR('Load Library'!E5,"")="","",'Load Library'!E5&amp;" ("&amp;'Load Library'!F5&amp;"gr)")</f>
        <v/>
      </c>
      <c r="F5" s="382" t="n"/>
      <c r="G5" s="381" t="inlineStr">
        <is>
          <t>Charge:</t>
        </is>
      </c>
      <c r="H5" s="270">
        <f>IF(IFERROR('Load Library'!H5,"")="","",'Load Library'!H5&amp;" gr "&amp;'Load Library'!G5)</f>
        <v/>
      </c>
      <c r="I5" s="382" t="n"/>
      <c r="J5" s="381" t="inlineStr">
        <is>
          <t>Vel:</t>
        </is>
      </c>
      <c r="K5" s="270">
        <f>IF(IFERROR('Load Library'!M5,"")="","",'Load Library'!M5&amp;" fps")</f>
        <v/>
      </c>
    </row>
    <row r="6" ht="21.75" customHeight="1" s="141">
      <c r="A6" s="383" t="inlineStr">
        <is>
          <t>Scope:</t>
        </is>
      </c>
      <c r="B6" s="363" t="n"/>
      <c r="C6" s="384" t="n"/>
      <c r="D6" s="383" t="inlineStr">
        <is>
          <t>Zero (yd):</t>
        </is>
      </c>
      <c r="E6" s="385" t="n">
        <v>100</v>
      </c>
      <c r="F6" s="384" t="n"/>
      <c r="G6" s="383" t="inlineStr">
        <is>
          <t>Sight Ht (in):</t>
        </is>
      </c>
      <c r="H6" s="386" t="n">
        <v>1.75</v>
      </c>
      <c r="I6" s="384" t="n"/>
      <c r="J6" s="383" t="inlineStr">
        <is>
          <t>Twist:</t>
        </is>
      </c>
      <c r="K6" s="363" t="inlineStr">
        <is>
          <t>1:8 RH</t>
        </is>
      </c>
    </row>
    <row r="7" ht="6" customHeight="1" s="141">
      <c r="A7" s="309" t="n"/>
      <c r="B7" s="309" t="n"/>
      <c r="C7" s="309" t="n"/>
      <c r="D7" s="309" t="n"/>
      <c r="E7" s="309" t="n"/>
      <c r="F7" s="309" t="n"/>
      <c r="G7" s="309" t="n"/>
      <c r="H7" s="309" t="n"/>
      <c r="I7" s="309" t="n"/>
      <c r="J7" s="309" t="n"/>
      <c r="K7" s="309" t="n"/>
    </row>
    <row r="8" ht="36" customHeight="1" s="141">
      <c r="A8" s="333" t="inlineStr">
        <is>
          <t>Range (yd)</t>
        </is>
      </c>
      <c r="B8" s="333" t="inlineStr">
        <is>
          <t>Mils — Elev</t>
        </is>
      </c>
      <c r="C8" s="333" t="inlineStr">
        <is>
          <t>Mil Clicks</t>
        </is>
      </c>
      <c r="D8" s="333" t="inlineStr">
        <is>
          <t>MOA — Elev</t>
        </is>
      </c>
      <c r="E8" s="333" t="inlineStr">
        <is>
          <t>MOA Clicks</t>
        </is>
      </c>
      <c r="F8" s="333" t="inlineStr">
        <is>
          <t>Wind Mils / 10 mph</t>
        </is>
      </c>
      <c r="G8" s="333" t="inlineStr">
        <is>
          <t>Wind Mil Clk</t>
        </is>
      </c>
      <c r="H8" s="333" t="inlineStr">
        <is>
          <t>Wind MOA / 10 mph</t>
        </is>
      </c>
      <c r="I8" s="333" t="inlineStr">
        <is>
          <t>Wind MOA Clk</t>
        </is>
      </c>
      <c r="J8" s="333" t="inlineStr">
        <is>
          <t>TOF (sec)</t>
        </is>
      </c>
      <c r="K8" s="333" t="inlineStr">
        <is>
          <t>Notes</t>
        </is>
      </c>
    </row>
    <row r="9" ht="18.75" customHeight="1" s="141">
      <c r="A9" s="387" t="n">
        <v>100</v>
      </c>
      <c r="B9" s="388" t="n"/>
      <c r="C9" s="180">
        <f>IF(B9="","",IF('Powder Charge Log'!$G$7="0.1 Mil",B9*10,IF('Powder Charge Log'!$G$7="0.05 Mil",B9*20,"")))</f>
        <v/>
      </c>
      <c r="D9" s="388" t="n"/>
      <c r="E9" s="180">
        <f>IF(D9="","",IF('Powder Charge Log'!$G$7="1/4 MOA",D9*4,IF('Powder Charge Log'!$G$7="1/8 MOA",D9*8,"")))</f>
        <v/>
      </c>
      <c r="F9" s="388" t="n"/>
      <c r="G9" s="180">
        <f>IF(F9="","",IF('Powder Charge Log'!$G$7="0.1 Mil",F9*10,IF('Powder Charge Log'!$G$7="0.05 Mil",F9*20,"")))</f>
        <v/>
      </c>
      <c r="H9" s="388" t="n"/>
      <c r="I9" s="180">
        <f>IF(H9="","",IF('Powder Charge Log'!$G$7="1/4 MOA",H9*4,IF('Powder Charge Log'!$G$7="1/8 MOA",H9*8,"")))</f>
        <v/>
      </c>
      <c r="J9" s="389" t="n"/>
      <c r="K9" s="390" t="n"/>
    </row>
    <row r="10" ht="18.75" customHeight="1" s="141">
      <c r="A10" s="377" t="n">
        <v>200</v>
      </c>
      <c r="B10" s="378" t="n"/>
      <c r="C10" s="187">
        <f>IF(B10="","",IF('Powder Charge Log'!$G$7="0.1 Mil",B10*10,IF('Powder Charge Log'!$G$7="0.05 Mil",B10*20,"")))</f>
        <v/>
      </c>
      <c r="D10" s="378" t="n"/>
      <c r="E10" s="187">
        <f>IF(D10="","",IF('Powder Charge Log'!$G$7="1/4 MOA",D10*4,IF('Powder Charge Log'!$G$7="1/8 MOA",D10*8,"")))</f>
        <v/>
      </c>
      <c r="F10" s="378" t="n"/>
      <c r="G10" s="187">
        <f>IF(F10="","",IF('Powder Charge Log'!$G$7="0.1 Mil",F10*10,IF('Powder Charge Log'!$G$7="0.05 Mil",F10*20,"")))</f>
        <v/>
      </c>
      <c r="H10" s="378" t="n"/>
      <c r="I10" s="187">
        <f>IF(H10="","",IF('Powder Charge Log'!$G$7="1/4 MOA",H10*4,IF('Powder Charge Log'!$G$7="1/8 MOA",H10*8,"")))</f>
        <v/>
      </c>
      <c r="J10" s="380" t="n"/>
      <c r="K10" s="391" t="n"/>
    </row>
    <row r="11" ht="18.75" customHeight="1" s="141">
      <c r="A11" s="387" t="n">
        <v>300</v>
      </c>
      <c r="B11" s="388" t="n"/>
      <c r="C11" s="180">
        <f>IF(B11="","",IF('Powder Charge Log'!$G$7="0.1 Mil",B11*10,IF('Powder Charge Log'!$G$7="0.05 Mil",B11*20,"")))</f>
        <v/>
      </c>
      <c r="D11" s="388" t="n"/>
      <c r="E11" s="180">
        <f>IF(D11="","",IF('Powder Charge Log'!$G$7="1/4 MOA",D11*4,IF('Powder Charge Log'!$G$7="1/8 MOA",D11*8,"")))</f>
        <v/>
      </c>
      <c r="F11" s="388" t="n"/>
      <c r="G11" s="180">
        <f>IF(F11="","",IF('Powder Charge Log'!$G$7="0.1 Mil",F11*10,IF('Powder Charge Log'!$G$7="0.05 Mil",F11*20,"")))</f>
        <v/>
      </c>
      <c r="H11" s="388" t="n"/>
      <c r="I11" s="180">
        <f>IF(H11="","",IF('Powder Charge Log'!$G$7="1/4 MOA",H11*4,IF('Powder Charge Log'!$G$7="1/8 MOA",H11*8,"")))</f>
        <v/>
      </c>
      <c r="J11" s="389" t="n"/>
      <c r="K11" s="390" t="n"/>
    </row>
    <row r="12" ht="18.75" customHeight="1" s="141">
      <c r="A12" s="377" t="n">
        <v>400</v>
      </c>
      <c r="B12" s="378" t="n"/>
      <c r="C12" s="187">
        <f>IF(B12="","",IF('Powder Charge Log'!$G$7="0.1 Mil",B12*10,IF('Powder Charge Log'!$G$7="0.05 Mil",B12*20,"")))</f>
        <v/>
      </c>
      <c r="D12" s="378" t="n"/>
      <c r="E12" s="187">
        <f>IF(D12="","",IF('Powder Charge Log'!$G$7="1/4 MOA",D12*4,IF('Powder Charge Log'!$G$7="1/8 MOA",D12*8,"")))</f>
        <v/>
      </c>
      <c r="F12" s="378" t="n"/>
      <c r="G12" s="187">
        <f>IF(F12="","",IF('Powder Charge Log'!$G$7="0.1 Mil",F12*10,IF('Powder Charge Log'!$G$7="0.05 Mil",F12*20,"")))</f>
        <v/>
      </c>
      <c r="H12" s="378" t="n"/>
      <c r="I12" s="187">
        <f>IF(H12="","",IF('Powder Charge Log'!$G$7="1/4 MOA",H12*4,IF('Powder Charge Log'!$G$7="1/8 MOA",H12*8,"")))</f>
        <v/>
      </c>
      <c r="J12" s="380" t="n"/>
      <c r="K12" s="391" t="n"/>
    </row>
    <row r="13" ht="18.75" customHeight="1" s="141">
      <c r="A13" s="387" t="n">
        <v>500</v>
      </c>
      <c r="B13" s="388" t="n"/>
      <c r="C13" s="180">
        <f>IF(B13="","",IF('Powder Charge Log'!$G$7="0.1 Mil",B13*10,IF('Powder Charge Log'!$G$7="0.05 Mil",B13*20,"")))</f>
        <v/>
      </c>
      <c r="D13" s="388" t="n"/>
      <c r="E13" s="180">
        <f>IF(D13="","",IF('Powder Charge Log'!$G$7="1/4 MOA",D13*4,IF('Powder Charge Log'!$G$7="1/8 MOA",D13*8,"")))</f>
        <v/>
      </c>
      <c r="F13" s="388" t="n"/>
      <c r="G13" s="180">
        <f>IF(F13="","",IF('Powder Charge Log'!$G$7="0.1 Mil",F13*10,IF('Powder Charge Log'!$G$7="0.05 Mil",F13*20,"")))</f>
        <v/>
      </c>
      <c r="H13" s="388" t="n"/>
      <c r="I13" s="180">
        <f>IF(H13="","",IF('Powder Charge Log'!$G$7="1/4 MOA",H13*4,IF('Powder Charge Log'!$G$7="1/8 MOA",H13*8,"")))</f>
        <v/>
      </c>
      <c r="J13" s="389" t="n"/>
      <c r="K13" s="390" t="n"/>
    </row>
    <row r="14" ht="18.75" customHeight="1" s="141">
      <c r="A14" s="377" t="n">
        <v>600</v>
      </c>
      <c r="B14" s="378" t="n"/>
      <c r="C14" s="187">
        <f>IF(B14="","",IF('Powder Charge Log'!$G$7="0.1 Mil",B14*10,IF('Powder Charge Log'!$G$7="0.05 Mil",B14*20,"")))</f>
        <v/>
      </c>
      <c r="D14" s="378" t="n"/>
      <c r="E14" s="187">
        <f>IF(D14="","",IF('Powder Charge Log'!$G$7="1/4 MOA",D14*4,IF('Powder Charge Log'!$G$7="1/8 MOA",D14*8,"")))</f>
        <v/>
      </c>
      <c r="F14" s="378" t="n"/>
      <c r="G14" s="187">
        <f>IF(F14="","",IF('Powder Charge Log'!$G$7="0.1 Mil",F14*10,IF('Powder Charge Log'!$G$7="0.05 Mil",F14*20,"")))</f>
        <v/>
      </c>
      <c r="H14" s="378" t="n"/>
      <c r="I14" s="187">
        <f>IF(H14="","",IF('Powder Charge Log'!$G$7="1/4 MOA",H14*4,IF('Powder Charge Log'!$G$7="1/8 MOA",H14*8,"")))</f>
        <v/>
      </c>
      <c r="J14" s="380" t="n"/>
      <c r="K14" s="391" t="n"/>
    </row>
    <row r="15" ht="18.75" customHeight="1" s="141">
      <c r="A15" s="387" t="n">
        <v>700</v>
      </c>
      <c r="B15" s="388" t="n"/>
      <c r="C15" s="180">
        <f>IF(B15="","",IF('Powder Charge Log'!$G$7="0.1 Mil",B15*10,IF('Powder Charge Log'!$G$7="0.05 Mil",B15*20,"")))</f>
        <v/>
      </c>
      <c r="D15" s="388" t="n"/>
      <c r="E15" s="180">
        <f>IF(D15="","",IF('Powder Charge Log'!$G$7="1/4 MOA",D15*4,IF('Powder Charge Log'!$G$7="1/8 MOA",D15*8,"")))</f>
        <v/>
      </c>
      <c r="F15" s="388" t="n"/>
      <c r="G15" s="180">
        <f>IF(F15="","",IF('Powder Charge Log'!$G$7="0.1 Mil",F15*10,IF('Powder Charge Log'!$G$7="0.05 Mil",F15*20,"")))</f>
        <v/>
      </c>
      <c r="H15" s="388" t="n"/>
      <c r="I15" s="180">
        <f>IF(H15="","",IF('Powder Charge Log'!$G$7="1/4 MOA",H15*4,IF('Powder Charge Log'!$G$7="1/8 MOA",H15*8,"")))</f>
        <v/>
      </c>
      <c r="J15" s="389" t="n"/>
      <c r="K15" s="390" t="n"/>
    </row>
    <row r="16" ht="18.75" customHeight="1" s="141">
      <c r="A16" s="377" t="n">
        <v>800</v>
      </c>
      <c r="B16" s="378" t="n"/>
      <c r="C16" s="187">
        <f>IF(B16="","",IF('Powder Charge Log'!$G$7="0.1 Mil",B16*10,IF('Powder Charge Log'!$G$7="0.05 Mil",B16*20,"")))</f>
        <v/>
      </c>
      <c r="D16" s="378" t="n"/>
      <c r="E16" s="187">
        <f>IF(D16="","",IF('Powder Charge Log'!$G$7="1/4 MOA",D16*4,IF('Powder Charge Log'!$G$7="1/8 MOA",D16*8,"")))</f>
        <v/>
      </c>
      <c r="F16" s="378" t="n"/>
      <c r="G16" s="187">
        <f>IF(F16="","",IF('Powder Charge Log'!$G$7="0.1 Mil",F16*10,IF('Powder Charge Log'!$G$7="0.05 Mil",F16*20,"")))</f>
        <v/>
      </c>
      <c r="H16" s="378" t="n"/>
      <c r="I16" s="187">
        <f>IF(H16="","",IF('Powder Charge Log'!$G$7="1/4 MOA",H16*4,IF('Powder Charge Log'!$G$7="1/8 MOA",H16*8,"")))</f>
        <v/>
      </c>
      <c r="J16" s="380" t="n"/>
      <c r="K16" s="391" t="n"/>
    </row>
    <row r="17" ht="18.75" customHeight="1" s="141">
      <c r="A17" s="387" t="n">
        <v>900</v>
      </c>
      <c r="B17" s="388" t="n"/>
      <c r="C17" s="180">
        <f>IF(B17="","",IF('Powder Charge Log'!$G$7="0.1 Mil",B17*10,IF('Powder Charge Log'!$G$7="0.05 Mil",B17*20,"")))</f>
        <v/>
      </c>
      <c r="D17" s="388" t="n"/>
      <c r="E17" s="180">
        <f>IF(D17="","",IF('Powder Charge Log'!$G$7="1/4 MOA",D17*4,IF('Powder Charge Log'!$G$7="1/8 MOA",D17*8,"")))</f>
        <v/>
      </c>
      <c r="F17" s="388" t="n"/>
      <c r="G17" s="180">
        <f>IF(F17="","",IF('Powder Charge Log'!$G$7="0.1 Mil",F17*10,IF('Powder Charge Log'!$G$7="0.05 Mil",F17*20,"")))</f>
        <v/>
      </c>
      <c r="H17" s="388" t="n"/>
      <c r="I17" s="180">
        <f>IF(H17="","",IF('Powder Charge Log'!$G$7="1/4 MOA",H17*4,IF('Powder Charge Log'!$G$7="1/8 MOA",H17*8,"")))</f>
        <v/>
      </c>
      <c r="J17" s="389" t="n"/>
      <c r="K17" s="390" t="n"/>
    </row>
    <row r="18" ht="18.75" customHeight="1" s="141">
      <c r="A18" s="377" t="n">
        <v>1000</v>
      </c>
      <c r="B18" s="378" t="n"/>
      <c r="C18" s="187">
        <f>IF(B18="","",IF('Powder Charge Log'!$G$7="0.1 Mil",B18*10,IF('Powder Charge Log'!$G$7="0.05 Mil",B18*20,"")))</f>
        <v/>
      </c>
      <c r="D18" s="378" t="n"/>
      <c r="E18" s="187">
        <f>IF(D18="","",IF('Powder Charge Log'!$G$7="1/4 MOA",D18*4,IF('Powder Charge Log'!$G$7="1/8 MOA",D18*8,"")))</f>
        <v/>
      </c>
      <c r="F18" s="378" t="n"/>
      <c r="G18" s="187">
        <f>IF(F18="","",IF('Powder Charge Log'!$G$7="0.1 Mil",F18*10,IF('Powder Charge Log'!$G$7="0.05 Mil",F18*20,"")))</f>
        <v/>
      </c>
      <c r="H18" s="378" t="n"/>
      <c r="I18" s="187">
        <f>IF(H18="","",IF('Powder Charge Log'!$G$7="1/4 MOA",H18*4,IF('Powder Charge Log'!$G$7="1/8 MOA",H18*8,"")))</f>
        <v/>
      </c>
      <c r="J18" s="380" t="n"/>
      <c r="K18" s="391" t="n"/>
    </row>
    <row r="19" ht="12" customHeight="1" s="141">
      <c r="A19" s="309" t="n"/>
      <c r="B19" s="309" t="n"/>
      <c r="C19" s="309" t="n"/>
      <c r="D19" s="309" t="n"/>
      <c r="E19" s="309" t="n"/>
      <c r="F19" s="309" t="n"/>
      <c r="G19" s="309" t="n"/>
      <c r="H19" s="309" t="n"/>
      <c r="I19" s="309" t="n"/>
      <c r="J19" s="309" t="n"/>
      <c r="K19" s="309" t="n"/>
    </row>
    <row r="20">
      <c r="A20" s="309" t="n"/>
      <c r="B20" s="309" t="n"/>
      <c r="C20" s="309" t="n"/>
      <c r="D20" s="309" t="n"/>
      <c r="E20" s="309" t="n"/>
      <c r="F20" s="309" t="n"/>
      <c r="G20" s="309" t="n"/>
      <c r="H20" s="309" t="n"/>
      <c r="I20" s="309" t="n"/>
      <c r="J20" s="309" t="n"/>
      <c r="K20" s="309" t="n"/>
    </row>
    <row r="21">
      <c r="A21" s="309" t="n"/>
      <c r="B21" s="309" t="n"/>
      <c r="C21" s="309" t="n"/>
      <c r="D21" s="309" t="n"/>
      <c r="E21" s="309" t="n"/>
      <c r="F21" s="309" t="n"/>
      <c r="G21" s="309" t="n"/>
      <c r="H21" s="309" t="n"/>
      <c r="I21" s="309" t="n"/>
      <c r="J21" s="309" t="n"/>
      <c r="K21" s="309" t="n"/>
    </row>
    <row r="22" ht="24" customHeight="1" s="141">
      <c r="A22" s="191">
        <f>IF(IFERROR('Load Library'!C6,"")="","LOAD #2  —  (empty — fill in Load Library row 6)","LOAD #2  —  "&amp;'Load Library'!C6)</f>
        <v/>
      </c>
    </row>
    <row r="23" ht="24" customHeight="1" s="141">
      <c r="A23" s="381" t="inlineStr">
        <is>
          <t>Rifle:</t>
        </is>
      </c>
      <c r="B23" s="270">
        <f>IF(IFERROR('Load Library'!D6,"")="","",'Load Library'!D6)</f>
        <v/>
      </c>
      <c r="C23" s="382" t="n"/>
      <c r="D23" s="381" t="inlineStr">
        <is>
          <t>Bullet:</t>
        </is>
      </c>
      <c r="E23" s="270">
        <f>IF(IFERROR('Load Library'!E6,"")="","",'Load Library'!E6&amp;" ("&amp;'Load Library'!F6&amp;"gr)")</f>
        <v/>
      </c>
      <c r="F23" s="382" t="n"/>
      <c r="G23" s="381" t="inlineStr">
        <is>
          <t>Charge:</t>
        </is>
      </c>
      <c r="H23" s="270">
        <f>IF(IFERROR('Load Library'!H6,"")="","",'Load Library'!H6&amp;" gr "&amp;'Load Library'!G6)</f>
        <v/>
      </c>
      <c r="I23" s="382" t="n"/>
      <c r="J23" s="381" t="inlineStr">
        <is>
          <t>Vel:</t>
        </is>
      </c>
      <c r="K23" s="270">
        <f>IF(IFERROR('Load Library'!M6,"")="","",'Load Library'!M6&amp;" fps")</f>
        <v/>
      </c>
    </row>
    <row r="24" ht="21.75" customHeight="1" s="141">
      <c r="A24" s="383" t="inlineStr">
        <is>
          <t>Scope:</t>
        </is>
      </c>
      <c r="B24" s="363" t="n"/>
      <c r="C24" s="384" t="n"/>
      <c r="D24" s="383" t="inlineStr">
        <is>
          <t>Zero (yd):</t>
        </is>
      </c>
      <c r="E24" s="385" t="n">
        <v>100</v>
      </c>
      <c r="F24" s="384" t="n"/>
      <c r="G24" s="383" t="inlineStr">
        <is>
          <t>Sight Ht (in):</t>
        </is>
      </c>
      <c r="H24" s="386" t="n">
        <v>1.75</v>
      </c>
      <c r="I24" s="384" t="n"/>
      <c r="J24" s="383" t="inlineStr">
        <is>
          <t>Twist:</t>
        </is>
      </c>
      <c r="K24" s="363" t="inlineStr">
        <is>
          <t>1:8 RH</t>
        </is>
      </c>
    </row>
    <row r="25" ht="6" customHeight="1" s="141">
      <c r="A25" s="309" t="n"/>
      <c r="B25" s="309" t="n"/>
      <c r="C25" s="309" t="n"/>
      <c r="D25" s="309" t="n"/>
      <c r="E25" s="309" t="n"/>
      <c r="F25" s="309" t="n"/>
      <c r="G25" s="309" t="n"/>
      <c r="H25" s="309" t="n"/>
      <c r="I25" s="309" t="n"/>
      <c r="J25" s="309" t="n"/>
      <c r="K25" s="309" t="n"/>
    </row>
    <row r="26" ht="36" customHeight="1" s="141">
      <c r="A26" s="333" t="inlineStr">
        <is>
          <t>Range (yd)</t>
        </is>
      </c>
      <c r="B26" s="333" t="inlineStr">
        <is>
          <t>Mils — Elev</t>
        </is>
      </c>
      <c r="C26" s="333" t="inlineStr">
        <is>
          <t>Mil Clicks</t>
        </is>
      </c>
      <c r="D26" s="333" t="inlineStr">
        <is>
          <t>MOA — Elev</t>
        </is>
      </c>
      <c r="E26" s="333" t="inlineStr">
        <is>
          <t>MOA Clicks</t>
        </is>
      </c>
      <c r="F26" s="333" t="inlineStr">
        <is>
          <t>Wind Mils / 10 mph</t>
        </is>
      </c>
      <c r="G26" s="333" t="inlineStr">
        <is>
          <t>Wind Mil Clk</t>
        </is>
      </c>
      <c r="H26" s="333" t="inlineStr">
        <is>
          <t>Wind MOA / 10 mph</t>
        </is>
      </c>
      <c r="I26" s="333" t="inlineStr">
        <is>
          <t>Wind MOA Clk</t>
        </is>
      </c>
      <c r="J26" s="333" t="inlineStr">
        <is>
          <t>TOF (sec)</t>
        </is>
      </c>
      <c r="K26" s="333" t="inlineStr">
        <is>
          <t>Notes</t>
        </is>
      </c>
    </row>
    <row r="27" ht="18.75" customHeight="1" s="141">
      <c r="A27" s="387" t="n">
        <v>100</v>
      </c>
      <c r="B27" s="388" t="n"/>
      <c r="C27" s="180">
        <f>IF(B27="","",IF('Powder Charge Log'!$G$7="0.1 Mil",B27*10,IF('Powder Charge Log'!$G$7="0.05 Mil",B27*20,"")))</f>
        <v/>
      </c>
      <c r="D27" s="388" t="n"/>
      <c r="E27" s="180">
        <f>IF(D27="","",IF('Powder Charge Log'!$G$7="1/4 MOA",D27*4,IF('Powder Charge Log'!$G$7="1/8 MOA",D27*8,"")))</f>
        <v/>
      </c>
      <c r="F27" s="388" t="n"/>
      <c r="G27" s="180">
        <f>IF(F27="","",IF('Powder Charge Log'!$G$7="0.1 Mil",F27*10,IF('Powder Charge Log'!$G$7="0.05 Mil",F27*20,"")))</f>
        <v/>
      </c>
      <c r="H27" s="388" t="n"/>
      <c r="I27" s="180">
        <f>IF(H27="","",IF('Powder Charge Log'!$G$7="1/4 MOA",H27*4,IF('Powder Charge Log'!$G$7="1/8 MOA",H27*8,"")))</f>
        <v/>
      </c>
      <c r="J27" s="389" t="n"/>
      <c r="K27" s="390" t="n"/>
    </row>
    <row r="28" ht="18.75" customHeight="1" s="141">
      <c r="A28" s="377" t="n">
        <v>200</v>
      </c>
      <c r="B28" s="378" t="n"/>
      <c r="C28" s="187">
        <f>IF(B28="","",IF('Powder Charge Log'!$G$7="0.1 Mil",B28*10,IF('Powder Charge Log'!$G$7="0.05 Mil",B28*20,"")))</f>
        <v/>
      </c>
      <c r="D28" s="378" t="n"/>
      <c r="E28" s="187">
        <f>IF(D28="","",IF('Powder Charge Log'!$G$7="1/4 MOA",D28*4,IF('Powder Charge Log'!$G$7="1/8 MOA",D28*8,"")))</f>
        <v/>
      </c>
      <c r="F28" s="378" t="n"/>
      <c r="G28" s="187">
        <f>IF(F28="","",IF('Powder Charge Log'!$G$7="0.1 Mil",F28*10,IF('Powder Charge Log'!$G$7="0.05 Mil",F28*20,"")))</f>
        <v/>
      </c>
      <c r="H28" s="378" t="n"/>
      <c r="I28" s="187">
        <f>IF(H28="","",IF('Powder Charge Log'!$G$7="1/4 MOA",H28*4,IF('Powder Charge Log'!$G$7="1/8 MOA",H28*8,"")))</f>
        <v/>
      </c>
      <c r="J28" s="380" t="n"/>
      <c r="K28" s="391" t="n"/>
    </row>
    <row r="29" ht="18.75" customHeight="1" s="141">
      <c r="A29" s="387" t="n">
        <v>300</v>
      </c>
      <c r="B29" s="388" t="n"/>
      <c r="C29" s="180">
        <f>IF(B29="","",IF('Powder Charge Log'!$G$7="0.1 Mil",B29*10,IF('Powder Charge Log'!$G$7="0.05 Mil",B29*20,"")))</f>
        <v/>
      </c>
      <c r="D29" s="388" t="n"/>
      <c r="E29" s="180">
        <f>IF(D29="","",IF('Powder Charge Log'!$G$7="1/4 MOA",D29*4,IF('Powder Charge Log'!$G$7="1/8 MOA",D29*8,"")))</f>
        <v/>
      </c>
      <c r="F29" s="388" t="n"/>
      <c r="G29" s="180">
        <f>IF(F29="","",IF('Powder Charge Log'!$G$7="0.1 Mil",F29*10,IF('Powder Charge Log'!$G$7="0.05 Mil",F29*20,"")))</f>
        <v/>
      </c>
      <c r="H29" s="388" t="n"/>
      <c r="I29" s="180">
        <f>IF(H29="","",IF('Powder Charge Log'!$G$7="1/4 MOA",H29*4,IF('Powder Charge Log'!$G$7="1/8 MOA",H29*8,"")))</f>
        <v/>
      </c>
      <c r="J29" s="389" t="n"/>
      <c r="K29" s="390" t="n"/>
    </row>
    <row r="30" ht="18.75" customHeight="1" s="141">
      <c r="A30" s="377" t="n">
        <v>400</v>
      </c>
      <c r="B30" s="378" t="n"/>
      <c r="C30" s="187">
        <f>IF(B30="","",IF('Powder Charge Log'!$G$7="0.1 Mil",B30*10,IF('Powder Charge Log'!$G$7="0.05 Mil",B30*20,"")))</f>
        <v/>
      </c>
      <c r="D30" s="378" t="n"/>
      <c r="E30" s="187">
        <f>IF(D30="","",IF('Powder Charge Log'!$G$7="1/4 MOA",D30*4,IF('Powder Charge Log'!$G$7="1/8 MOA",D30*8,"")))</f>
        <v/>
      </c>
      <c r="F30" s="378" t="n"/>
      <c r="G30" s="187">
        <f>IF(F30="","",IF('Powder Charge Log'!$G$7="0.1 Mil",F30*10,IF('Powder Charge Log'!$G$7="0.05 Mil",F30*20,"")))</f>
        <v/>
      </c>
      <c r="H30" s="378" t="n"/>
      <c r="I30" s="187">
        <f>IF(H30="","",IF('Powder Charge Log'!$G$7="1/4 MOA",H30*4,IF('Powder Charge Log'!$G$7="1/8 MOA",H30*8,"")))</f>
        <v/>
      </c>
      <c r="J30" s="380" t="n"/>
      <c r="K30" s="391" t="n"/>
    </row>
    <row r="31" ht="18.75" customHeight="1" s="141">
      <c r="A31" s="387" t="n">
        <v>500</v>
      </c>
      <c r="B31" s="388" t="n"/>
      <c r="C31" s="180">
        <f>IF(B31="","",IF('Powder Charge Log'!$G$7="0.1 Mil",B31*10,IF('Powder Charge Log'!$G$7="0.05 Mil",B31*20,"")))</f>
        <v/>
      </c>
      <c r="D31" s="388" t="n"/>
      <c r="E31" s="180">
        <f>IF(D31="","",IF('Powder Charge Log'!$G$7="1/4 MOA",D31*4,IF('Powder Charge Log'!$G$7="1/8 MOA",D31*8,"")))</f>
        <v/>
      </c>
      <c r="F31" s="388" t="n"/>
      <c r="G31" s="180">
        <f>IF(F31="","",IF('Powder Charge Log'!$G$7="0.1 Mil",F31*10,IF('Powder Charge Log'!$G$7="0.05 Mil",F31*20,"")))</f>
        <v/>
      </c>
      <c r="H31" s="388" t="n"/>
      <c r="I31" s="180">
        <f>IF(H31="","",IF('Powder Charge Log'!$G$7="1/4 MOA",H31*4,IF('Powder Charge Log'!$G$7="1/8 MOA",H31*8,"")))</f>
        <v/>
      </c>
      <c r="J31" s="389" t="n"/>
      <c r="K31" s="390" t="n"/>
    </row>
    <row r="32" ht="18.75" customHeight="1" s="141">
      <c r="A32" s="377" t="n">
        <v>600</v>
      </c>
      <c r="B32" s="378" t="n"/>
      <c r="C32" s="187">
        <f>IF(B32="","",IF('Powder Charge Log'!$G$7="0.1 Mil",B32*10,IF('Powder Charge Log'!$G$7="0.05 Mil",B32*20,"")))</f>
        <v/>
      </c>
      <c r="D32" s="378" t="n"/>
      <c r="E32" s="187">
        <f>IF(D32="","",IF('Powder Charge Log'!$G$7="1/4 MOA",D32*4,IF('Powder Charge Log'!$G$7="1/8 MOA",D32*8,"")))</f>
        <v/>
      </c>
      <c r="F32" s="378" t="n"/>
      <c r="G32" s="187">
        <f>IF(F32="","",IF('Powder Charge Log'!$G$7="0.1 Mil",F32*10,IF('Powder Charge Log'!$G$7="0.05 Mil",F32*20,"")))</f>
        <v/>
      </c>
      <c r="H32" s="378" t="n"/>
      <c r="I32" s="187">
        <f>IF(H32="","",IF('Powder Charge Log'!$G$7="1/4 MOA",H32*4,IF('Powder Charge Log'!$G$7="1/8 MOA",H32*8,"")))</f>
        <v/>
      </c>
      <c r="J32" s="380" t="n"/>
      <c r="K32" s="391" t="n"/>
    </row>
    <row r="33" ht="18.75" customHeight="1" s="141">
      <c r="A33" s="387" t="n">
        <v>700</v>
      </c>
      <c r="B33" s="388" t="n"/>
      <c r="C33" s="180">
        <f>IF(B33="","",IF('Powder Charge Log'!$G$7="0.1 Mil",B33*10,IF('Powder Charge Log'!$G$7="0.05 Mil",B33*20,"")))</f>
        <v/>
      </c>
      <c r="D33" s="388" t="n"/>
      <c r="E33" s="180">
        <f>IF(D33="","",IF('Powder Charge Log'!$G$7="1/4 MOA",D33*4,IF('Powder Charge Log'!$G$7="1/8 MOA",D33*8,"")))</f>
        <v/>
      </c>
      <c r="F33" s="388" t="n"/>
      <c r="G33" s="180">
        <f>IF(F33="","",IF('Powder Charge Log'!$G$7="0.1 Mil",F33*10,IF('Powder Charge Log'!$G$7="0.05 Mil",F33*20,"")))</f>
        <v/>
      </c>
      <c r="H33" s="388" t="n"/>
      <c r="I33" s="180">
        <f>IF(H33="","",IF('Powder Charge Log'!$G$7="1/4 MOA",H33*4,IF('Powder Charge Log'!$G$7="1/8 MOA",H33*8,"")))</f>
        <v/>
      </c>
      <c r="J33" s="389" t="n"/>
      <c r="K33" s="390" t="n"/>
    </row>
    <row r="34" ht="18.75" customHeight="1" s="141">
      <c r="A34" s="377" t="n">
        <v>800</v>
      </c>
      <c r="B34" s="378" t="n"/>
      <c r="C34" s="187">
        <f>IF(B34="","",IF('Powder Charge Log'!$G$7="0.1 Mil",B34*10,IF('Powder Charge Log'!$G$7="0.05 Mil",B34*20,"")))</f>
        <v/>
      </c>
      <c r="D34" s="378" t="n"/>
      <c r="E34" s="187">
        <f>IF(D34="","",IF('Powder Charge Log'!$G$7="1/4 MOA",D34*4,IF('Powder Charge Log'!$G$7="1/8 MOA",D34*8,"")))</f>
        <v/>
      </c>
      <c r="F34" s="378" t="n"/>
      <c r="G34" s="187">
        <f>IF(F34="","",IF('Powder Charge Log'!$G$7="0.1 Mil",F34*10,IF('Powder Charge Log'!$G$7="0.05 Mil",F34*20,"")))</f>
        <v/>
      </c>
      <c r="H34" s="378" t="n"/>
      <c r="I34" s="187">
        <f>IF(H34="","",IF('Powder Charge Log'!$G$7="1/4 MOA",H34*4,IF('Powder Charge Log'!$G$7="1/8 MOA",H34*8,"")))</f>
        <v/>
      </c>
      <c r="J34" s="380" t="n"/>
      <c r="K34" s="391" t="n"/>
    </row>
    <row r="35" ht="18.75" customHeight="1" s="141">
      <c r="A35" s="387" t="n">
        <v>900</v>
      </c>
      <c r="B35" s="388" t="n"/>
      <c r="C35" s="180">
        <f>IF(B35="","",IF('Powder Charge Log'!$G$7="0.1 Mil",B35*10,IF('Powder Charge Log'!$G$7="0.05 Mil",B35*20,"")))</f>
        <v/>
      </c>
      <c r="D35" s="388" t="n"/>
      <c r="E35" s="180">
        <f>IF(D35="","",IF('Powder Charge Log'!$G$7="1/4 MOA",D35*4,IF('Powder Charge Log'!$G$7="1/8 MOA",D35*8,"")))</f>
        <v/>
      </c>
      <c r="F35" s="388" t="n"/>
      <c r="G35" s="180">
        <f>IF(F35="","",IF('Powder Charge Log'!$G$7="0.1 Mil",F35*10,IF('Powder Charge Log'!$G$7="0.05 Mil",F35*20,"")))</f>
        <v/>
      </c>
      <c r="H35" s="388" t="n"/>
      <c r="I35" s="180">
        <f>IF(H35="","",IF('Powder Charge Log'!$G$7="1/4 MOA",H35*4,IF('Powder Charge Log'!$G$7="1/8 MOA",H35*8,"")))</f>
        <v/>
      </c>
      <c r="J35" s="389" t="n"/>
      <c r="K35" s="390" t="n"/>
    </row>
    <row r="36" ht="18.75" customHeight="1" s="141">
      <c r="A36" s="377" t="n">
        <v>1000</v>
      </c>
      <c r="B36" s="378" t="n"/>
      <c r="C36" s="187">
        <f>IF(B36="","",IF('Powder Charge Log'!$G$7="0.1 Mil",B36*10,IF('Powder Charge Log'!$G$7="0.05 Mil",B36*20,"")))</f>
        <v/>
      </c>
      <c r="D36" s="378" t="n"/>
      <c r="E36" s="187">
        <f>IF(D36="","",IF('Powder Charge Log'!$G$7="1/4 MOA",D36*4,IF('Powder Charge Log'!$G$7="1/8 MOA",D36*8,"")))</f>
        <v/>
      </c>
      <c r="F36" s="378" t="n"/>
      <c r="G36" s="187">
        <f>IF(F36="","",IF('Powder Charge Log'!$G$7="0.1 Mil",F36*10,IF('Powder Charge Log'!$G$7="0.05 Mil",F36*20,"")))</f>
        <v/>
      </c>
      <c r="H36" s="378" t="n"/>
      <c r="I36" s="187">
        <f>IF(H36="","",IF('Powder Charge Log'!$G$7="1/4 MOA",H36*4,IF('Powder Charge Log'!$G$7="1/8 MOA",H36*8,"")))</f>
        <v/>
      </c>
      <c r="J36" s="380" t="n"/>
      <c r="K36" s="391" t="n"/>
    </row>
    <row r="37" ht="12" customHeight="1" s="141">
      <c r="A37" s="309" t="n"/>
      <c r="B37" s="309" t="n"/>
      <c r="C37" s="309" t="n"/>
      <c r="D37" s="309" t="n"/>
      <c r="E37" s="309" t="n"/>
      <c r="F37" s="309" t="n"/>
      <c r="G37" s="309" t="n"/>
      <c r="H37" s="309" t="n"/>
      <c r="I37" s="309" t="n"/>
      <c r="J37" s="309" t="n"/>
      <c r="K37" s="309" t="n"/>
    </row>
    <row r="38">
      <c r="A38" s="309" t="n"/>
      <c r="B38" s="309" t="n"/>
      <c r="C38" s="309" t="n"/>
      <c r="D38" s="309" t="n"/>
      <c r="E38" s="309" t="n"/>
      <c r="F38" s="309" t="n"/>
      <c r="G38" s="309" t="n"/>
      <c r="H38" s="309" t="n"/>
      <c r="I38" s="309" t="n"/>
      <c r="J38" s="309" t="n"/>
      <c r="K38" s="309" t="n"/>
    </row>
    <row r="39">
      <c r="A39" s="309" t="n"/>
      <c r="B39" s="309" t="n"/>
      <c r="C39" s="309" t="n"/>
      <c r="D39" s="309" t="n"/>
      <c r="E39" s="309" t="n"/>
      <c r="F39" s="309" t="n"/>
      <c r="G39" s="309" t="n"/>
      <c r="H39" s="309" t="n"/>
      <c r="I39" s="309" t="n"/>
      <c r="J39" s="309" t="n"/>
      <c r="K39" s="309" t="n"/>
    </row>
    <row r="40" ht="24" customHeight="1" s="141">
      <c r="A40" s="191">
        <f>IF(IFERROR('Load Library'!C7,"")="","LOAD #3  —  (empty — fill in Load Library row 7)","LOAD #3  —  "&amp;'Load Library'!C7)</f>
        <v/>
      </c>
    </row>
    <row r="41" ht="24" customHeight="1" s="141">
      <c r="A41" s="381" t="inlineStr">
        <is>
          <t>Rifle:</t>
        </is>
      </c>
      <c r="B41" s="270">
        <f>IF(IFERROR('Load Library'!D7,"")="","",'Load Library'!D7)</f>
        <v/>
      </c>
      <c r="C41" s="382" t="n"/>
      <c r="D41" s="381" t="inlineStr">
        <is>
          <t>Bullet:</t>
        </is>
      </c>
      <c r="E41" s="270">
        <f>IF(IFERROR('Load Library'!E7,"")="","",'Load Library'!E7&amp;" ("&amp;'Load Library'!F7&amp;"gr)")</f>
        <v/>
      </c>
      <c r="F41" s="382" t="n"/>
      <c r="G41" s="381" t="inlineStr">
        <is>
          <t>Charge:</t>
        </is>
      </c>
      <c r="H41" s="270">
        <f>IF(IFERROR('Load Library'!H7,"")="","",'Load Library'!H7&amp;" gr "&amp;'Load Library'!G7)</f>
        <v/>
      </c>
      <c r="I41" s="382" t="n"/>
      <c r="J41" s="381" t="inlineStr">
        <is>
          <t>Vel:</t>
        </is>
      </c>
      <c r="K41" s="270">
        <f>IF(IFERROR('Load Library'!M7,"")="","",'Load Library'!M7&amp;" fps")</f>
        <v/>
      </c>
    </row>
    <row r="42" ht="21.75" customHeight="1" s="141">
      <c r="A42" s="383" t="inlineStr">
        <is>
          <t>Scope:</t>
        </is>
      </c>
      <c r="B42" s="363" t="n"/>
      <c r="C42" s="384" t="n"/>
      <c r="D42" s="383" t="inlineStr">
        <is>
          <t>Zero (yd):</t>
        </is>
      </c>
      <c r="E42" s="385" t="n">
        <v>100</v>
      </c>
      <c r="F42" s="384" t="n"/>
      <c r="G42" s="383" t="inlineStr">
        <is>
          <t>Sight Ht (in):</t>
        </is>
      </c>
      <c r="H42" s="386" t="n">
        <v>1.75</v>
      </c>
      <c r="I42" s="384" t="n"/>
      <c r="J42" s="383" t="inlineStr">
        <is>
          <t>Twist:</t>
        </is>
      </c>
      <c r="K42" s="363" t="inlineStr">
        <is>
          <t>1:8 RH</t>
        </is>
      </c>
    </row>
    <row r="43" ht="6" customHeight="1" s="141">
      <c r="A43" s="309" t="n"/>
      <c r="B43" s="309" t="n"/>
      <c r="C43" s="309" t="n"/>
      <c r="D43" s="309" t="n"/>
      <c r="E43" s="309" t="n"/>
      <c r="F43" s="309" t="n"/>
      <c r="G43" s="309" t="n"/>
      <c r="H43" s="309" t="n"/>
      <c r="I43" s="309" t="n"/>
      <c r="J43" s="309" t="n"/>
      <c r="K43" s="309" t="n"/>
    </row>
    <row r="44" ht="36" customHeight="1" s="141">
      <c r="A44" s="333" t="inlineStr">
        <is>
          <t>Range (yd)</t>
        </is>
      </c>
      <c r="B44" s="333" t="inlineStr">
        <is>
          <t>Mils — Elev</t>
        </is>
      </c>
      <c r="C44" s="333" t="inlineStr">
        <is>
          <t>Mil Clicks</t>
        </is>
      </c>
      <c r="D44" s="333" t="inlineStr">
        <is>
          <t>MOA — Elev</t>
        </is>
      </c>
      <c r="E44" s="333" t="inlineStr">
        <is>
          <t>MOA Clicks</t>
        </is>
      </c>
      <c r="F44" s="333" t="inlineStr">
        <is>
          <t>Wind Mils / 10 mph</t>
        </is>
      </c>
      <c r="G44" s="333" t="inlineStr">
        <is>
          <t>Wind Mil Clk</t>
        </is>
      </c>
      <c r="H44" s="333" t="inlineStr">
        <is>
          <t>Wind MOA / 10 mph</t>
        </is>
      </c>
      <c r="I44" s="333" t="inlineStr">
        <is>
          <t>Wind MOA Clk</t>
        </is>
      </c>
      <c r="J44" s="333" t="inlineStr">
        <is>
          <t>TOF (sec)</t>
        </is>
      </c>
      <c r="K44" s="333" t="inlineStr">
        <is>
          <t>Notes</t>
        </is>
      </c>
    </row>
    <row r="45" ht="18.75" customHeight="1" s="141">
      <c r="A45" s="387" t="n">
        <v>100</v>
      </c>
      <c r="B45" s="388" t="n"/>
      <c r="C45" s="180">
        <f>IF(B45="","",IF('Powder Charge Log'!$G$7="0.1 Mil",B45*10,IF('Powder Charge Log'!$G$7="0.05 Mil",B45*20,"")))</f>
        <v/>
      </c>
      <c r="D45" s="388" t="n"/>
      <c r="E45" s="180">
        <f>IF(D45="","",IF('Powder Charge Log'!$G$7="1/4 MOA",D45*4,IF('Powder Charge Log'!$G$7="1/8 MOA",D45*8,"")))</f>
        <v/>
      </c>
      <c r="F45" s="388" t="n"/>
      <c r="G45" s="180">
        <f>IF(F45="","",IF('Powder Charge Log'!$G$7="0.1 Mil",F45*10,IF('Powder Charge Log'!$G$7="0.05 Mil",F45*20,"")))</f>
        <v/>
      </c>
      <c r="H45" s="388" t="n"/>
      <c r="I45" s="180">
        <f>IF(H45="","",IF('Powder Charge Log'!$G$7="1/4 MOA",H45*4,IF('Powder Charge Log'!$G$7="1/8 MOA",H45*8,"")))</f>
        <v/>
      </c>
      <c r="J45" s="389" t="n"/>
      <c r="K45" s="390" t="n"/>
    </row>
    <row r="46" ht="18.75" customHeight="1" s="141">
      <c r="A46" s="377" t="n">
        <v>200</v>
      </c>
      <c r="B46" s="378" t="n"/>
      <c r="C46" s="187">
        <f>IF(B46="","",IF('Powder Charge Log'!$G$7="0.1 Mil",B46*10,IF('Powder Charge Log'!$G$7="0.05 Mil",B46*20,"")))</f>
        <v/>
      </c>
      <c r="D46" s="378" t="n"/>
      <c r="E46" s="187">
        <f>IF(D46="","",IF('Powder Charge Log'!$G$7="1/4 MOA",D46*4,IF('Powder Charge Log'!$G$7="1/8 MOA",D46*8,"")))</f>
        <v/>
      </c>
      <c r="F46" s="378" t="n"/>
      <c r="G46" s="187">
        <f>IF(F46="","",IF('Powder Charge Log'!$G$7="0.1 Mil",F46*10,IF('Powder Charge Log'!$G$7="0.05 Mil",F46*20,"")))</f>
        <v/>
      </c>
      <c r="H46" s="378" t="n"/>
      <c r="I46" s="187">
        <f>IF(H46="","",IF('Powder Charge Log'!$G$7="1/4 MOA",H46*4,IF('Powder Charge Log'!$G$7="1/8 MOA",H46*8,"")))</f>
        <v/>
      </c>
      <c r="J46" s="380" t="n"/>
      <c r="K46" s="391" t="n"/>
    </row>
    <row r="47" ht="18.75" customHeight="1" s="141">
      <c r="A47" s="387" t="n">
        <v>300</v>
      </c>
      <c r="B47" s="388" t="n"/>
      <c r="C47" s="180">
        <f>IF(B47="","",IF('Powder Charge Log'!$G$7="0.1 Mil",B47*10,IF('Powder Charge Log'!$G$7="0.05 Mil",B47*20,"")))</f>
        <v/>
      </c>
      <c r="D47" s="388" t="n"/>
      <c r="E47" s="180">
        <f>IF(D47="","",IF('Powder Charge Log'!$G$7="1/4 MOA",D47*4,IF('Powder Charge Log'!$G$7="1/8 MOA",D47*8,"")))</f>
        <v/>
      </c>
      <c r="F47" s="388" t="n"/>
      <c r="G47" s="180">
        <f>IF(F47="","",IF('Powder Charge Log'!$G$7="0.1 Mil",F47*10,IF('Powder Charge Log'!$G$7="0.05 Mil",F47*20,"")))</f>
        <v/>
      </c>
      <c r="H47" s="388" t="n"/>
      <c r="I47" s="180">
        <f>IF(H47="","",IF('Powder Charge Log'!$G$7="1/4 MOA",H47*4,IF('Powder Charge Log'!$G$7="1/8 MOA",H47*8,"")))</f>
        <v/>
      </c>
      <c r="J47" s="389" t="n"/>
      <c r="K47" s="390" t="n"/>
    </row>
    <row r="48" ht="18.75" customHeight="1" s="141">
      <c r="A48" s="377" t="n">
        <v>400</v>
      </c>
      <c r="B48" s="378" t="n"/>
      <c r="C48" s="187">
        <f>IF(B48="","",IF('Powder Charge Log'!$G$7="0.1 Mil",B48*10,IF('Powder Charge Log'!$G$7="0.05 Mil",B48*20,"")))</f>
        <v/>
      </c>
      <c r="D48" s="378" t="n"/>
      <c r="E48" s="187">
        <f>IF(D48="","",IF('Powder Charge Log'!$G$7="1/4 MOA",D48*4,IF('Powder Charge Log'!$G$7="1/8 MOA",D48*8,"")))</f>
        <v/>
      </c>
      <c r="F48" s="378" t="n"/>
      <c r="G48" s="187">
        <f>IF(F48="","",IF('Powder Charge Log'!$G$7="0.1 Mil",F48*10,IF('Powder Charge Log'!$G$7="0.05 Mil",F48*20,"")))</f>
        <v/>
      </c>
      <c r="H48" s="378" t="n"/>
      <c r="I48" s="187">
        <f>IF(H48="","",IF('Powder Charge Log'!$G$7="1/4 MOA",H48*4,IF('Powder Charge Log'!$G$7="1/8 MOA",H48*8,"")))</f>
        <v/>
      </c>
      <c r="J48" s="380" t="n"/>
      <c r="K48" s="391" t="n"/>
    </row>
    <row r="49" ht="18.75" customHeight="1" s="141">
      <c r="A49" s="387" t="n">
        <v>500</v>
      </c>
      <c r="B49" s="388" t="n"/>
      <c r="C49" s="180">
        <f>IF(B49="","",IF('Powder Charge Log'!$G$7="0.1 Mil",B49*10,IF('Powder Charge Log'!$G$7="0.05 Mil",B49*20,"")))</f>
        <v/>
      </c>
      <c r="D49" s="388" t="n"/>
      <c r="E49" s="180">
        <f>IF(D49="","",IF('Powder Charge Log'!$G$7="1/4 MOA",D49*4,IF('Powder Charge Log'!$G$7="1/8 MOA",D49*8,"")))</f>
        <v/>
      </c>
      <c r="F49" s="388" t="n"/>
      <c r="G49" s="180">
        <f>IF(F49="","",IF('Powder Charge Log'!$G$7="0.1 Mil",F49*10,IF('Powder Charge Log'!$G$7="0.05 Mil",F49*20,"")))</f>
        <v/>
      </c>
      <c r="H49" s="388" t="n"/>
      <c r="I49" s="180">
        <f>IF(H49="","",IF('Powder Charge Log'!$G$7="1/4 MOA",H49*4,IF('Powder Charge Log'!$G$7="1/8 MOA",H49*8,"")))</f>
        <v/>
      </c>
      <c r="J49" s="389" t="n"/>
      <c r="K49" s="390" t="n"/>
    </row>
    <row r="50" ht="18.75" customHeight="1" s="141">
      <c r="A50" s="377" t="n">
        <v>600</v>
      </c>
      <c r="B50" s="378" t="n"/>
      <c r="C50" s="187">
        <f>IF(B50="","",IF('Powder Charge Log'!$G$7="0.1 Mil",B50*10,IF('Powder Charge Log'!$G$7="0.05 Mil",B50*20,"")))</f>
        <v/>
      </c>
      <c r="D50" s="378" t="n"/>
      <c r="E50" s="187">
        <f>IF(D50="","",IF('Powder Charge Log'!$G$7="1/4 MOA",D50*4,IF('Powder Charge Log'!$G$7="1/8 MOA",D50*8,"")))</f>
        <v/>
      </c>
      <c r="F50" s="378" t="n"/>
      <c r="G50" s="187">
        <f>IF(F50="","",IF('Powder Charge Log'!$G$7="0.1 Mil",F50*10,IF('Powder Charge Log'!$G$7="0.05 Mil",F50*20,"")))</f>
        <v/>
      </c>
      <c r="H50" s="378" t="n"/>
      <c r="I50" s="187">
        <f>IF(H50="","",IF('Powder Charge Log'!$G$7="1/4 MOA",H50*4,IF('Powder Charge Log'!$G$7="1/8 MOA",H50*8,"")))</f>
        <v/>
      </c>
      <c r="J50" s="380" t="n"/>
      <c r="K50" s="391" t="n"/>
    </row>
    <row r="51" ht="18.75" customHeight="1" s="141">
      <c r="A51" s="387" t="n">
        <v>700</v>
      </c>
      <c r="B51" s="388" t="n"/>
      <c r="C51" s="180">
        <f>IF(B51="","",IF('Powder Charge Log'!$G$7="0.1 Mil",B51*10,IF('Powder Charge Log'!$G$7="0.05 Mil",B51*20,"")))</f>
        <v/>
      </c>
      <c r="D51" s="388" t="n"/>
      <c r="E51" s="180">
        <f>IF(D51="","",IF('Powder Charge Log'!$G$7="1/4 MOA",D51*4,IF('Powder Charge Log'!$G$7="1/8 MOA",D51*8,"")))</f>
        <v/>
      </c>
      <c r="F51" s="388" t="n"/>
      <c r="G51" s="180">
        <f>IF(F51="","",IF('Powder Charge Log'!$G$7="0.1 Mil",F51*10,IF('Powder Charge Log'!$G$7="0.05 Mil",F51*20,"")))</f>
        <v/>
      </c>
      <c r="H51" s="388" t="n"/>
      <c r="I51" s="180">
        <f>IF(H51="","",IF('Powder Charge Log'!$G$7="1/4 MOA",H51*4,IF('Powder Charge Log'!$G$7="1/8 MOA",H51*8,"")))</f>
        <v/>
      </c>
      <c r="J51" s="389" t="n"/>
      <c r="K51" s="390" t="n"/>
    </row>
    <row r="52" ht="18.75" customHeight="1" s="141">
      <c r="A52" s="377" t="n">
        <v>800</v>
      </c>
      <c r="B52" s="378" t="n"/>
      <c r="C52" s="187">
        <f>IF(B52="","",IF('Powder Charge Log'!$G$7="0.1 Mil",B52*10,IF('Powder Charge Log'!$G$7="0.05 Mil",B52*20,"")))</f>
        <v/>
      </c>
      <c r="D52" s="378" t="n"/>
      <c r="E52" s="187">
        <f>IF(D52="","",IF('Powder Charge Log'!$G$7="1/4 MOA",D52*4,IF('Powder Charge Log'!$G$7="1/8 MOA",D52*8,"")))</f>
        <v/>
      </c>
      <c r="F52" s="378" t="n"/>
      <c r="G52" s="187">
        <f>IF(F52="","",IF('Powder Charge Log'!$G$7="0.1 Mil",F52*10,IF('Powder Charge Log'!$G$7="0.05 Mil",F52*20,"")))</f>
        <v/>
      </c>
      <c r="H52" s="378" t="n"/>
      <c r="I52" s="187">
        <f>IF(H52="","",IF('Powder Charge Log'!$G$7="1/4 MOA",H52*4,IF('Powder Charge Log'!$G$7="1/8 MOA",H52*8,"")))</f>
        <v/>
      </c>
      <c r="J52" s="380" t="n"/>
      <c r="K52" s="391" t="n"/>
    </row>
    <row r="53" ht="18.75" customHeight="1" s="141">
      <c r="A53" s="387" t="n">
        <v>900</v>
      </c>
      <c r="B53" s="388" t="n"/>
      <c r="C53" s="180">
        <f>IF(B53="","",IF('Powder Charge Log'!$G$7="0.1 Mil",B53*10,IF('Powder Charge Log'!$G$7="0.05 Mil",B53*20,"")))</f>
        <v/>
      </c>
      <c r="D53" s="388" t="n"/>
      <c r="E53" s="180">
        <f>IF(D53="","",IF('Powder Charge Log'!$G$7="1/4 MOA",D53*4,IF('Powder Charge Log'!$G$7="1/8 MOA",D53*8,"")))</f>
        <v/>
      </c>
      <c r="F53" s="388" t="n"/>
      <c r="G53" s="180">
        <f>IF(F53="","",IF('Powder Charge Log'!$G$7="0.1 Mil",F53*10,IF('Powder Charge Log'!$G$7="0.05 Mil",F53*20,"")))</f>
        <v/>
      </c>
      <c r="H53" s="388" t="n"/>
      <c r="I53" s="180">
        <f>IF(H53="","",IF('Powder Charge Log'!$G$7="1/4 MOA",H53*4,IF('Powder Charge Log'!$G$7="1/8 MOA",H53*8,"")))</f>
        <v/>
      </c>
      <c r="J53" s="389" t="n"/>
      <c r="K53" s="390" t="n"/>
    </row>
    <row r="54" ht="18.75" customHeight="1" s="141">
      <c r="A54" s="377" t="n">
        <v>1000</v>
      </c>
      <c r="B54" s="378" t="n"/>
      <c r="C54" s="187">
        <f>IF(B54="","",IF('Powder Charge Log'!$G$7="0.1 Mil",B54*10,IF('Powder Charge Log'!$G$7="0.05 Mil",B54*20,"")))</f>
        <v/>
      </c>
      <c r="D54" s="378" t="n"/>
      <c r="E54" s="187">
        <f>IF(D54="","",IF('Powder Charge Log'!$G$7="1/4 MOA",D54*4,IF('Powder Charge Log'!$G$7="1/8 MOA",D54*8,"")))</f>
        <v/>
      </c>
      <c r="F54" s="378" t="n"/>
      <c r="G54" s="187">
        <f>IF(F54="","",IF('Powder Charge Log'!$G$7="0.1 Mil",F54*10,IF('Powder Charge Log'!$G$7="0.05 Mil",F54*20,"")))</f>
        <v/>
      </c>
      <c r="H54" s="378" t="n"/>
      <c r="I54" s="187">
        <f>IF(H54="","",IF('Powder Charge Log'!$G$7="1/4 MOA",H54*4,IF('Powder Charge Log'!$G$7="1/8 MOA",H54*8,"")))</f>
        <v/>
      </c>
      <c r="J54" s="380" t="n"/>
      <c r="K54" s="391" t="n"/>
    </row>
    <row r="55" ht="12" customHeight="1" s="141">
      <c r="A55" s="309" t="n"/>
      <c r="B55" s="309" t="n"/>
      <c r="C55" s="309" t="n"/>
      <c r="D55" s="309" t="n"/>
      <c r="E55" s="309" t="n"/>
      <c r="F55" s="309" t="n"/>
      <c r="G55" s="309" t="n"/>
      <c r="H55" s="309" t="n"/>
      <c r="I55" s="309" t="n"/>
      <c r="J55" s="309" t="n"/>
      <c r="K55" s="309" t="n"/>
    </row>
    <row r="56">
      <c r="A56" s="309" t="n"/>
      <c r="B56" s="309" t="n"/>
      <c r="C56" s="309" t="n"/>
      <c r="D56" s="309" t="n"/>
      <c r="E56" s="309" t="n"/>
      <c r="F56" s="309" t="n"/>
      <c r="G56" s="309" t="n"/>
      <c r="H56" s="309" t="n"/>
      <c r="I56" s="309" t="n"/>
      <c r="J56" s="309" t="n"/>
      <c r="K56" s="309" t="n"/>
    </row>
    <row r="57">
      <c r="A57" s="309" t="n"/>
      <c r="B57" s="309" t="n"/>
      <c r="C57" s="309" t="n"/>
      <c r="D57" s="309" t="n"/>
      <c r="E57" s="309" t="n"/>
      <c r="F57" s="309" t="n"/>
      <c r="G57" s="309" t="n"/>
      <c r="H57" s="309" t="n"/>
      <c r="I57" s="309" t="n"/>
      <c r="J57" s="309" t="n"/>
      <c r="K57" s="309" t="n"/>
    </row>
    <row r="58" ht="24" customHeight="1" s="141">
      <c r="A58" s="191">
        <f>IF(IFERROR('Load Library'!C8,"")="","LOAD #4  —  (empty — fill in Load Library row 8)","LOAD #4  —  "&amp;'Load Library'!C8)</f>
        <v/>
      </c>
    </row>
    <row r="59" ht="24" customHeight="1" s="141">
      <c r="A59" s="381" t="inlineStr">
        <is>
          <t>Rifle:</t>
        </is>
      </c>
      <c r="B59" s="270">
        <f>IF(IFERROR('Load Library'!D8,"")="","",'Load Library'!D8)</f>
        <v/>
      </c>
      <c r="C59" s="382" t="n"/>
      <c r="D59" s="381" t="inlineStr">
        <is>
          <t>Bullet:</t>
        </is>
      </c>
      <c r="E59" s="270">
        <f>IF(IFERROR('Load Library'!E8,"")="","",'Load Library'!E8&amp;" ("&amp;'Load Library'!F8&amp;"gr)")</f>
        <v/>
      </c>
      <c r="F59" s="382" t="n"/>
      <c r="G59" s="381" t="inlineStr">
        <is>
          <t>Charge:</t>
        </is>
      </c>
      <c r="H59" s="270">
        <f>IF(IFERROR('Load Library'!H8,"")="","",'Load Library'!H8&amp;" gr "&amp;'Load Library'!G8)</f>
        <v/>
      </c>
      <c r="I59" s="382" t="n"/>
      <c r="J59" s="381" t="inlineStr">
        <is>
          <t>Vel:</t>
        </is>
      </c>
      <c r="K59" s="270">
        <f>IF(IFERROR('Load Library'!M8,"")="","",'Load Library'!M8&amp;" fps")</f>
        <v/>
      </c>
    </row>
    <row r="60" ht="21.75" customHeight="1" s="141">
      <c r="A60" s="383" t="inlineStr">
        <is>
          <t>Scope:</t>
        </is>
      </c>
      <c r="B60" s="363" t="n"/>
      <c r="C60" s="384" t="n"/>
      <c r="D60" s="383" t="inlineStr">
        <is>
          <t>Zero (yd):</t>
        </is>
      </c>
      <c r="E60" s="385" t="n">
        <v>100</v>
      </c>
      <c r="F60" s="384" t="n"/>
      <c r="G60" s="383" t="inlineStr">
        <is>
          <t>Sight Ht (in):</t>
        </is>
      </c>
      <c r="H60" s="386" t="n">
        <v>1.75</v>
      </c>
      <c r="I60" s="384" t="n"/>
      <c r="J60" s="383" t="inlineStr">
        <is>
          <t>Twist:</t>
        </is>
      </c>
      <c r="K60" s="363" t="inlineStr">
        <is>
          <t>1:8 RH</t>
        </is>
      </c>
    </row>
    <row r="61" ht="6" customHeight="1" s="141">
      <c r="A61" s="309" t="n"/>
      <c r="B61" s="309" t="n"/>
      <c r="C61" s="309" t="n"/>
      <c r="D61" s="309" t="n"/>
      <c r="E61" s="309" t="n"/>
      <c r="F61" s="309" t="n"/>
      <c r="G61" s="309" t="n"/>
      <c r="H61" s="309" t="n"/>
      <c r="I61" s="309" t="n"/>
      <c r="J61" s="309" t="n"/>
      <c r="K61" s="309" t="n"/>
    </row>
    <row r="62" ht="36" customHeight="1" s="141">
      <c r="A62" s="333" t="inlineStr">
        <is>
          <t>Range (yd)</t>
        </is>
      </c>
      <c r="B62" s="333" t="inlineStr">
        <is>
          <t>Mils — Elev</t>
        </is>
      </c>
      <c r="C62" s="333" t="inlineStr">
        <is>
          <t>Mil Clicks</t>
        </is>
      </c>
      <c r="D62" s="333" t="inlineStr">
        <is>
          <t>MOA — Elev</t>
        </is>
      </c>
      <c r="E62" s="333" t="inlineStr">
        <is>
          <t>MOA Clicks</t>
        </is>
      </c>
      <c r="F62" s="333" t="inlineStr">
        <is>
          <t>Wind Mils / 10 mph</t>
        </is>
      </c>
      <c r="G62" s="333" t="inlineStr">
        <is>
          <t>Wind Mil Clk</t>
        </is>
      </c>
      <c r="H62" s="333" t="inlineStr">
        <is>
          <t>Wind MOA / 10 mph</t>
        </is>
      </c>
      <c r="I62" s="333" t="inlineStr">
        <is>
          <t>Wind MOA Clk</t>
        </is>
      </c>
      <c r="J62" s="333" t="inlineStr">
        <is>
          <t>TOF (sec)</t>
        </is>
      </c>
      <c r="K62" s="333" t="inlineStr">
        <is>
          <t>Notes</t>
        </is>
      </c>
    </row>
    <row r="63" ht="18.75" customHeight="1" s="141">
      <c r="A63" s="387" t="n">
        <v>100</v>
      </c>
      <c r="B63" s="388" t="n"/>
      <c r="C63" s="180">
        <f>IF(B63="","",IF('Powder Charge Log'!$G$7="0.1 Mil",B63*10,IF('Powder Charge Log'!$G$7="0.05 Mil",B63*20,"")))</f>
        <v/>
      </c>
      <c r="D63" s="388" t="n"/>
      <c r="E63" s="180">
        <f>IF(D63="","",IF('Powder Charge Log'!$G$7="1/4 MOA",D63*4,IF('Powder Charge Log'!$G$7="1/8 MOA",D63*8,"")))</f>
        <v/>
      </c>
      <c r="F63" s="388" t="n"/>
      <c r="G63" s="180">
        <f>IF(F63="","",IF('Powder Charge Log'!$G$7="0.1 Mil",F63*10,IF('Powder Charge Log'!$G$7="0.05 Mil",F63*20,"")))</f>
        <v/>
      </c>
      <c r="H63" s="388" t="n"/>
      <c r="I63" s="180">
        <f>IF(H63="","",IF('Powder Charge Log'!$G$7="1/4 MOA",H63*4,IF('Powder Charge Log'!$G$7="1/8 MOA",H63*8,"")))</f>
        <v/>
      </c>
      <c r="J63" s="389" t="n"/>
      <c r="K63" s="390" t="n"/>
    </row>
    <row r="64" ht="18.75" customHeight="1" s="141">
      <c r="A64" s="377" t="n">
        <v>200</v>
      </c>
      <c r="B64" s="378" t="n"/>
      <c r="C64" s="187">
        <f>IF(B64="","",IF('Powder Charge Log'!$G$7="0.1 Mil",B64*10,IF('Powder Charge Log'!$G$7="0.05 Mil",B64*20,"")))</f>
        <v/>
      </c>
      <c r="D64" s="378" t="n"/>
      <c r="E64" s="187">
        <f>IF(D64="","",IF('Powder Charge Log'!$G$7="1/4 MOA",D64*4,IF('Powder Charge Log'!$G$7="1/8 MOA",D64*8,"")))</f>
        <v/>
      </c>
      <c r="F64" s="378" t="n"/>
      <c r="G64" s="187">
        <f>IF(F64="","",IF('Powder Charge Log'!$G$7="0.1 Mil",F64*10,IF('Powder Charge Log'!$G$7="0.05 Mil",F64*20,"")))</f>
        <v/>
      </c>
      <c r="H64" s="378" t="n"/>
      <c r="I64" s="187">
        <f>IF(H64="","",IF('Powder Charge Log'!$G$7="1/4 MOA",H64*4,IF('Powder Charge Log'!$G$7="1/8 MOA",H64*8,"")))</f>
        <v/>
      </c>
      <c r="J64" s="380" t="n"/>
      <c r="K64" s="391" t="n"/>
    </row>
    <row r="65" ht="18.75" customHeight="1" s="141">
      <c r="A65" s="387" t="n">
        <v>300</v>
      </c>
      <c r="B65" s="388" t="n"/>
      <c r="C65" s="180">
        <f>IF(B65="","",IF('Powder Charge Log'!$G$7="0.1 Mil",B65*10,IF('Powder Charge Log'!$G$7="0.05 Mil",B65*20,"")))</f>
        <v/>
      </c>
      <c r="D65" s="388" t="n"/>
      <c r="E65" s="180">
        <f>IF(D65="","",IF('Powder Charge Log'!$G$7="1/4 MOA",D65*4,IF('Powder Charge Log'!$G$7="1/8 MOA",D65*8,"")))</f>
        <v/>
      </c>
      <c r="F65" s="388" t="n"/>
      <c r="G65" s="180">
        <f>IF(F65="","",IF('Powder Charge Log'!$G$7="0.1 Mil",F65*10,IF('Powder Charge Log'!$G$7="0.05 Mil",F65*20,"")))</f>
        <v/>
      </c>
      <c r="H65" s="388" t="n"/>
      <c r="I65" s="180">
        <f>IF(H65="","",IF('Powder Charge Log'!$G$7="1/4 MOA",H65*4,IF('Powder Charge Log'!$G$7="1/8 MOA",H65*8,"")))</f>
        <v/>
      </c>
      <c r="J65" s="389" t="n"/>
      <c r="K65" s="390" t="n"/>
    </row>
    <row r="66" ht="18.75" customHeight="1" s="141">
      <c r="A66" s="377" t="n">
        <v>400</v>
      </c>
      <c r="B66" s="378" t="n"/>
      <c r="C66" s="187">
        <f>IF(B66="","",IF('Powder Charge Log'!$G$7="0.1 Mil",B66*10,IF('Powder Charge Log'!$G$7="0.05 Mil",B66*20,"")))</f>
        <v/>
      </c>
      <c r="D66" s="378" t="n"/>
      <c r="E66" s="187">
        <f>IF(D66="","",IF('Powder Charge Log'!$G$7="1/4 MOA",D66*4,IF('Powder Charge Log'!$G$7="1/8 MOA",D66*8,"")))</f>
        <v/>
      </c>
      <c r="F66" s="378" t="n"/>
      <c r="G66" s="187">
        <f>IF(F66="","",IF('Powder Charge Log'!$G$7="0.1 Mil",F66*10,IF('Powder Charge Log'!$G$7="0.05 Mil",F66*20,"")))</f>
        <v/>
      </c>
      <c r="H66" s="378" t="n"/>
      <c r="I66" s="187">
        <f>IF(H66="","",IF('Powder Charge Log'!$G$7="1/4 MOA",H66*4,IF('Powder Charge Log'!$G$7="1/8 MOA",H66*8,"")))</f>
        <v/>
      </c>
      <c r="J66" s="380" t="n"/>
      <c r="K66" s="391" t="n"/>
    </row>
    <row r="67" ht="18.75" customHeight="1" s="141">
      <c r="A67" s="387" t="n">
        <v>500</v>
      </c>
      <c r="B67" s="388" t="n"/>
      <c r="C67" s="180">
        <f>IF(B67="","",IF('Powder Charge Log'!$G$7="0.1 Mil",B67*10,IF('Powder Charge Log'!$G$7="0.05 Mil",B67*20,"")))</f>
        <v/>
      </c>
      <c r="D67" s="388" t="n"/>
      <c r="E67" s="180">
        <f>IF(D67="","",IF('Powder Charge Log'!$G$7="1/4 MOA",D67*4,IF('Powder Charge Log'!$G$7="1/8 MOA",D67*8,"")))</f>
        <v/>
      </c>
      <c r="F67" s="388" t="n"/>
      <c r="G67" s="180">
        <f>IF(F67="","",IF('Powder Charge Log'!$G$7="0.1 Mil",F67*10,IF('Powder Charge Log'!$G$7="0.05 Mil",F67*20,"")))</f>
        <v/>
      </c>
      <c r="H67" s="388" t="n"/>
      <c r="I67" s="180">
        <f>IF(H67="","",IF('Powder Charge Log'!$G$7="1/4 MOA",H67*4,IF('Powder Charge Log'!$G$7="1/8 MOA",H67*8,"")))</f>
        <v/>
      </c>
      <c r="J67" s="389" t="n"/>
      <c r="K67" s="390" t="n"/>
    </row>
    <row r="68" ht="18.75" customHeight="1" s="141">
      <c r="A68" s="377" t="n">
        <v>600</v>
      </c>
      <c r="B68" s="378" t="n"/>
      <c r="C68" s="187">
        <f>IF(B68="","",IF('Powder Charge Log'!$G$7="0.1 Mil",B68*10,IF('Powder Charge Log'!$G$7="0.05 Mil",B68*20,"")))</f>
        <v/>
      </c>
      <c r="D68" s="378" t="n"/>
      <c r="E68" s="187">
        <f>IF(D68="","",IF('Powder Charge Log'!$G$7="1/4 MOA",D68*4,IF('Powder Charge Log'!$G$7="1/8 MOA",D68*8,"")))</f>
        <v/>
      </c>
      <c r="F68" s="378" t="n"/>
      <c r="G68" s="187">
        <f>IF(F68="","",IF('Powder Charge Log'!$G$7="0.1 Mil",F68*10,IF('Powder Charge Log'!$G$7="0.05 Mil",F68*20,"")))</f>
        <v/>
      </c>
      <c r="H68" s="378" t="n"/>
      <c r="I68" s="187">
        <f>IF(H68="","",IF('Powder Charge Log'!$G$7="1/4 MOA",H68*4,IF('Powder Charge Log'!$G$7="1/8 MOA",H68*8,"")))</f>
        <v/>
      </c>
      <c r="J68" s="380" t="n"/>
      <c r="K68" s="391" t="n"/>
    </row>
    <row r="69" ht="18.75" customHeight="1" s="141">
      <c r="A69" s="387" t="n">
        <v>700</v>
      </c>
      <c r="B69" s="388" t="n"/>
      <c r="C69" s="180">
        <f>IF(B69="","",IF('Powder Charge Log'!$G$7="0.1 Mil",B69*10,IF('Powder Charge Log'!$G$7="0.05 Mil",B69*20,"")))</f>
        <v/>
      </c>
      <c r="D69" s="388" t="n"/>
      <c r="E69" s="180">
        <f>IF(D69="","",IF('Powder Charge Log'!$G$7="1/4 MOA",D69*4,IF('Powder Charge Log'!$G$7="1/8 MOA",D69*8,"")))</f>
        <v/>
      </c>
      <c r="F69" s="388" t="n"/>
      <c r="G69" s="180">
        <f>IF(F69="","",IF('Powder Charge Log'!$G$7="0.1 Mil",F69*10,IF('Powder Charge Log'!$G$7="0.05 Mil",F69*20,"")))</f>
        <v/>
      </c>
      <c r="H69" s="388" t="n"/>
      <c r="I69" s="180">
        <f>IF(H69="","",IF('Powder Charge Log'!$G$7="1/4 MOA",H69*4,IF('Powder Charge Log'!$G$7="1/8 MOA",H69*8,"")))</f>
        <v/>
      </c>
      <c r="J69" s="389" t="n"/>
      <c r="K69" s="390" t="n"/>
    </row>
    <row r="70" ht="18.75" customHeight="1" s="141">
      <c r="A70" s="377" t="n">
        <v>800</v>
      </c>
      <c r="B70" s="378" t="n"/>
      <c r="C70" s="187">
        <f>IF(B70="","",IF('Powder Charge Log'!$G$7="0.1 Mil",B70*10,IF('Powder Charge Log'!$G$7="0.05 Mil",B70*20,"")))</f>
        <v/>
      </c>
      <c r="D70" s="378" t="n"/>
      <c r="E70" s="187">
        <f>IF(D70="","",IF('Powder Charge Log'!$G$7="1/4 MOA",D70*4,IF('Powder Charge Log'!$G$7="1/8 MOA",D70*8,"")))</f>
        <v/>
      </c>
      <c r="F70" s="378" t="n"/>
      <c r="G70" s="187">
        <f>IF(F70="","",IF('Powder Charge Log'!$G$7="0.1 Mil",F70*10,IF('Powder Charge Log'!$G$7="0.05 Mil",F70*20,"")))</f>
        <v/>
      </c>
      <c r="H70" s="378" t="n"/>
      <c r="I70" s="187">
        <f>IF(H70="","",IF('Powder Charge Log'!$G$7="1/4 MOA",H70*4,IF('Powder Charge Log'!$G$7="1/8 MOA",H70*8,"")))</f>
        <v/>
      </c>
      <c r="J70" s="380" t="n"/>
      <c r="K70" s="391" t="n"/>
    </row>
    <row r="71" ht="18.75" customHeight="1" s="141">
      <c r="A71" s="387" t="n">
        <v>900</v>
      </c>
      <c r="B71" s="388" t="n"/>
      <c r="C71" s="180">
        <f>IF(B71="","",IF('Powder Charge Log'!$G$7="0.1 Mil",B71*10,IF('Powder Charge Log'!$G$7="0.05 Mil",B71*20,"")))</f>
        <v/>
      </c>
      <c r="D71" s="388" t="n"/>
      <c r="E71" s="180">
        <f>IF(D71="","",IF('Powder Charge Log'!$G$7="1/4 MOA",D71*4,IF('Powder Charge Log'!$G$7="1/8 MOA",D71*8,"")))</f>
        <v/>
      </c>
      <c r="F71" s="388" t="n"/>
      <c r="G71" s="180">
        <f>IF(F71="","",IF('Powder Charge Log'!$G$7="0.1 Mil",F71*10,IF('Powder Charge Log'!$G$7="0.05 Mil",F71*20,"")))</f>
        <v/>
      </c>
      <c r="H71" s="388" t="n"/>
      <c r="I71" s="180">
        <f>IF(H71="","",IF('Powder Charge Log'!$G$7="1/4 MOA",H71*4,IF('Powder Charge Log'!$G$7="1/8 MOA",H71*8,"")))</f>
        <v/>
      </c>
      <c r="J71" s="389" t="n"/>
      <c r="K71" s="390" t="n"/>
    </row>
    <row r="72" ht="18.75" customHeight="1" s="141">
      <c r="A72" s="377" t="n">
        <v>1000</v>
      </c>
      <c r="B72" s="378" t="n"/>
      <c r="C72" s="187">
        <f>IF(B72="","",IF('Powder Charge Log'!$G$7="0.1 Mil",B72*10,IF('Powder Charge Log'!$G$7="0.05 Mil",B72*20,"")))</f>
        <v/>
      </c>
      <c r="D72" s="378" t="n"/>
      <c r="E72" s="187">
        <f>IF(D72="","",IF('Powder Charge Log'!$G$7="1/4 MOA",D72*4,IF('Powder Charge Log'!$G$7="1/8 MOA",D72*8,"")))</f>
        <v/>
      </c>
      <c r="F72" s="378" t="n"/>
      <c r="G72" s="187">
        <f>IF(F72="","",IF('Powder Charge Log'!$G$7="0.1 Mil",F72*10,IF('Powder Charge Log'!$G$7="0.05 Mil",F72*20,"")))</f>
        <v/>
      </c>
      <c r="H72" s="378" t="n"/>
      <c r="I72" s="187">
        <f>IF(H72="","",IF('Powder Charge Log'!$G$7="1/4 MOA",H72*4,IF('Powder Charge Log'!$G$7="1/8 MOA",H72*8,"")))</f>
        <v/>
      </c>
      <c r="J72" s="380" t="n"/>
      <c r="K72" s="391" t="n"/>
    </row>
    <row r="73" ht="12" customHeight="1" s="141">
      <c r="A73" s="309" t="n"/>
      <c r="B73" s="309" t="n"/>
      <c r="C73" s="309" t="n"/>
      <c r="D73" s="309" t="n"/>
      <c r="E73" s="309" t="n"/>
      <c r="F73" s="309" t="n"/>
      <c r="G73" s="309" t="n"/>
      <c r="H73" s="309" t="n"/>
      <c r="I73" s="309" t="n"/>
      <c r="J73" s="309" t="n"/>
      <c r="K73" s="309" t="n"/>
    </row>
    <row r="74">
      <c r="A74" s="309" t="n"/>
      <c r="B74" s="309" t="n"/>
      <c r="C74" s="309" t="n"/>
      <c r="D74" s="309" t="n"/>
      <c r="E74" s="309" t="n"/>
      <c r="F74" s="309" t="n"/>
      <c r="G74" s="309" t="n"/>
      <c r="H74" s="309" t="n"/>
      <c r="I74" s="309" t="n"/>
      <c r="J74" s="309" t="n"/>
      <c r="K74" s="309" t="n"/>
    </row>
    <row r="75">
      <c r="A75" s="309" t="n"/>
      <c r="B75" s="309" t="n"/>
      <c r="C75" s="309" t="n"/>
      <c r="D75" s="309" t="n"/>
      <c r="E75" s="309" t="n"/>
      <c r="F75" s="309" t="n"/>
      <c r="G75" s="309" t="n"/>
      <c r="H75" s="309" t="n"/>
      <c r="I75" s="309" t="n"/>
      <c r="J75" s="309" t="n"/>
      <c r="K75" s="309" t="n"/>
    </row>
    <row r="76" ht="24" customHeight="1" s="141">
      <c r="A76" s="191">
        <f>IF(IFERROR('Load Library'!C9,"")="","LOAD #5  —  (empty — fill in Load Library row 9)","LOAD #5  —  "&amp;'Load Library'!C9)</f>
        <v/>
      </c>
    </row>
    <row r="77" ht="24" customHeight="1" s="141">
      <c r="A77" s="381" t="inlineStr">
        <is>
          <t>Rifle:</t>
        </is>
      </c>
      <c r="B77" s="270">
        <f>IF(IFERROR('Load Library'!D9,"")="","",'Load Library'!D9)</f>
        <v/>
      </c>
      <c r="C77" s="382" t="n"/>
      <c r="D77" s="381" t="inlineStr">
        <is>
          <t>Bullet:</t>
        </is>
      </c>
      <c r="E77" s="270">
        <f>IF(IFERROR('Load Library'!E9,"")="","",'Load Library'!E9&amp;" ("&amp;'Load Library'!F9&amp;"gr)")</f>
        <v/>
      </c>
      <c r="F77" s="382" t="n"/>
      <c r="G77" s="381" t="inlineStr">
        <is>
          <t>Charge:</t>
        </is>
      </c>
      <c r="H77" s="270">
        <f>IF(IFERROR('Load Library'!H9,"")="","",'Load Library'!H9&amp;" gr "&amp;'Load Library'!G9)</f>
        <v/>
      </c>
      <c r="I77" s="382" t="n"/>
      <c r="J77" s="381" t="inlineStr">
        <is>
          <t>Vel:</t>
        </is>
      </c>
      <c r="K77" s="270">
        <f>IF(IFERROR('Load Library'!M9,"")="","",'Load Library'!M9&amp;" fps")</f>
        <v/>
      </c>
    </row>
    <row r="78" ht="21.75" customHeight="1" s="141">
      <c r="A78" s="383" t="inlineStr">
        <is>
          <t>Scope:</t>
        </is>
      </c>
      <c r="B78" s="363" t="n"/>
      <c r="C78" s="384" t="n"/>
      <c r="D78" s="383" t="inlineStr">
        <is>
          <t>Zero (yd):</t>
        </is>
      </c>
      <c r="E78" s="385" t="n">
        <v>100</v>
      </c>
      <c r="F78" s="384" t="n"/>
      <c r="G78" s="383" t="inlineStr">
        <is>
          <t>Sight Ht (in):</t>
        </is>
      </c>
      <c r="H78" s="386" t="n">
        <v>1.75</v>
      </c>
      <c r="I78" s="384" t="n"/>
      <c r="J78" s="383" t="inlineStr">
        <is>
          <t>Twist:</t>
        </is>
      </c>
      <c r="K78" s="363" t="inlineStr">
        <is>
          <t>1:8 RH</t>
        </is>
      </c>
    </row>
    <row r="79" ht="6" customHeight="1" s="141">
      <c r="A79" s="309" t="n"/>
      <c r="B79" s="309" t="n"/>
      <c r="C79" s="309" t="n"/>
      <c r="D79" s="309" t="n"/>
      <c r="E79" s="309" t="n"/>
      <c r="F79" s="309" t="n"/>
      <c r="G79" s="309" t="n"/>
      <c r="H79" s="309" t="n"/>
      <c r="I79" s="309" t="n"/>
      <c r="J79" s="309" t="n"/>
      <c r="K79" s="309" t="n"/>
    </row>
    <row r="80" ht="36" customHeight="1" s="141">
      <c r="A80" s="333" t="inlineStr">
        <is>
          <t>Range (yd)</t>
        </is>
      </c>
      <c r="B80" s="333" t="inlineStr">
        <is>
          <t>Mils — Elev</t>
        </is>
      </c>
      <c r="C80" s="333" t="inlineStr">
        <is>
          <t>Mil Clicks</t>
        </is>
      </c>
      <c r="D80" s="333" t="inlineStr">
        <is>
          <t>MOA — Elev</t>
        </is>
      </c>
      <c r="E80" s="333" t="inlineStr">
        <is>
          <t>MOA Clicks</t>
        </is>
      </c>
      <c r="F80" s="333" t="inlineStr">
        <is>
          <t>Wind Mils / 10 mph</t>
        </is>
      </c>
      <c r="G80" s="333" t="inlineStr">
        <is>
          <t>Wind Mil Clk</t>
        </is>
      </c>
      <c r="H80" s="333" t="inlineStr">
        <is>
          <t>Wind MOA / 10 mph</t>
        </is>
      </c>
      <c r="I80" s="333" t="inlineStr">
        <is>
          <t>Wind MOA Clk</t>
        </is>
      </c>
      <c r="J80" s="333" t="inlineStr">
        <is>
          <t>TOF (sec)</t>
        </is>
      </c>
      <c r="K80" s="333" t="inlineStr">
        <is>
          <t>Notes</t>
        </is>
      </c>
    </row>
    <row r="81" ht="18.75" customHeight="1" s="141">
      <c r="A81" s="387" t="n">
        <v>100</v>
      </c>
      <c r="B81" s="388" t="n"/>
      <c r="C81" s="180">
        <f>IF(B81="","",IF('Powder Charge Log'!$G$7="0.1 Mil",B81*10,IF('Powder Charge Log'!$G$7="0.05 Mil",B81*20,"")))</f>
        <v/>
      </c>
      <c r="D81" s="388" t="n"/>
      <c r="E81" s="180">
        <f>IF(D81="","",IF('Powder Charge Log'!$G$7="1/4 MOA",D81*4,IF('Powder Charge Log'!$G$7="1/8 MOA",D81*8,"")))</f>
        <v/>
      </c>
      <c r="F81" s="388" t="n"/>
      <c r="G81" s="180">
        <f>IF(F81="","",IF('Powder Charge Log'!$G$7="0.1 Mil",F81*10,IF('Powder Charge Log'!$G$7="0.05 Mil",F81*20,"")))</f>
        <v/>
      </c>
      <c r="H81" s="388" t="n"/>
      <c r="I81" s="180">
        <f>IF(H81="","",IF('Powder Charge Log'!$G$7="1/4 MOA",H81*4,IF('Powder Charge Log'!$G$7="1/8 MOA",H81*8,"")))</f>
        <v/>
      </c>
      <c r="J81" s="389" t="n"/>
      <c r="K81" s="390" t="n"/>
    </row>
    <row r="82" ht="18.75" customHeight="1" s="141">
      <c r="A82" s="377" t="n">
        <v>200</v>
      </c>
      <c r="B82" s="378" t="n"/>
      <c r="C82" s="187">
        <f>IF(B82="","",IF('Powder Charge Log'!$G$7="0.1 Mil",B82*10,IF('Powder Charge Log'!$G$7="0.05 Mil",B82*20,"")))</f>
        <v/>
      </c>
      <c r="D82" s="378" t="n"/>
      <c r="E82" s="187">
        <f>IF(D82="","",IF('Powder Charge Log'!$G$7="1/4 MOA",D82*4,IF('Powder Charge Log'!$G$7="1/8 MOA",D82*8,"")))</f>
        <v/>
      </c>
      <c r="F82" s="378" t="n"/>
      <c r="G82" s="187">
        <f>IF(F82="","",IF('Powder Charge Log'!$G$7="0.1 Mil",F82*10,IF('Powder Charge Log'!$G$7="0.05 Mil",F82*20,"")))</f>
        <v/>
      </c>
      <c r="H82" s="378" t="n"/>
      <c r="I82" s="187">
        <f>IF(H82="","",IF('Powder Charge Log'!$G$7="1/4 MOA",H82*4,IF('Powder Charge Log'!$G$7="1/8 MOA",H82*8,"")))</f>
        <v/>
      </c>
      <c r="J82" s="380" t="n"/>
      <c r="K82" s="391" t="n"/>
    </row>
    <row r="83" ht="18.75" customHeight="1" s="141">
      <c r="A83" s="387" t="n">
        <v>300</v>
      </c>
      <c r="B83" s="388" t="n"/>
      <c r="C83" s="180">
        <f>IF(B83="","",IF('Powder Charge Log'!$G$7="0.1 Mil",B83*10,IF('Powder Charge Log'!$G$7="0.05 Mil",B83*20,"")))</f>
        <v/>
      </c>
      <c r="D83" s="388" t="n"/>
      <c r="E83" s="180">
        <f>IF(D83="","",IF('Powder Charge Log'!$G$7="1/4 MOA",D83*4,IF('Powder Charge Log'!$G$7="1/8 MOA",D83*8,"")))</f>
        <v/>
      </c>
      <c r="F83" s="388" t="n"/>
      <c r="G83" s="180">
        <f>IF(F83="","",IF('Powder Charge Log'!$G$7="0.1 Mil",F83*10,IF('Powder Charge Log'!$G$7="0.05 Mil",F83*20,"")))</f>
        <v/>
      </c>
      <c r="H83" s="388" t="n"/>
      <c r="I83" s="180">
        <f>IF(H83="","",IF('Powder Charge Log'!$G$7="1/4 MOA",H83*4,IF('Powder Charge Log'!$G$7="1/8 MOA",H83*8,"")))</f>
        <v/>
      </c>
      <c r="J83" s="389" t="n"/>
      <c r="K83" s="390" t="n"/>
    </row>
    <row r="84" ht="18.75" customHeight="1" s="141">
      <c r="A84" s="377" t="n">
        <v>400</v>
      </c>
      <c r="B84" s="378" t="n"/>
      <c r="C84" s="187">
        <f>IF(B84="","",IF('Powder Charge Log'!$G$7="0.1 Mil",B84*10,IF('Powder Charge Log'!$G$7="0.05 Mil",B84*20,"")))</f>
        <v/>
      </c>
      <c r="D84" s="378" t="n"/>
      <c r="E84" s="187">
        <f>IF(D84="","",IF('Powder Charge Log'!$G$7="1/4 MOA",D84*4,IF('Powder Charge Log'!$G$7="1/8 MOA",D84*8,"")))</f>
        <v/>
      </c>
      <c r="F84" s="378" t="n"/>
      <c r="G84" s="187">
        <f>IF(F84="","",IF('Powder Charge Log'!$G$7="0.1 Mil",F84*10,IF('Powder Charge Log'!$G$7="0.05 Mil",F84*20,"")))</f>
        <v/>
      </c>
      <c r="H84" s="378" t="n"/>
      <c r="I84" s="187">
        <f>IF(H84="","",IF('Powder Charge Log'!$G$7="1/4 MOA",H84*4,IF('Powder Charge Log'!$G$7="1/8 MOA",H84*8,"")))</f>
        <v/>
      </c>
      <c r="J84" s="380" t="n"/>
      <c r="K84" s="391" t="n"/>
    </row>
    <row r="85" ht="18.75" customHeight="1" s="141">
      <c r="A85" s="387" t="n">
        <v>500</v>
      </c>
      <c r="B85" s="388" t="n"/>
      <c r="C85" s="180">
        <f>IF(B85="","",IF('Powder Charge Log'!$G$7="0.1 Mil",B85*10,IF('Powder Charge Log'!$G$7="0.05 Mil",B85*20,"")))</f>
        <v/>
      </c>
      <c r="D85" s="388" t="n"/>
      <c r="E85" s="180">
        <f>IF(D85="","",IF('Powder Charge Log'!$G$7="1/4 MOA",D85*4,IF('Powder Charge Log'!$G$7="1/8 MOA",D85*8,"")))</f>
        <v/>
      </c>
      <c r="F85" s="388" t="n"/>
      <c r="G85" s="180">
        <f>IF(F85="","",IF('Powder Charge Log'!$G$7="0.1 Mil",F85*10,IF('Powder Charge Log'!$G$7="0.05 Mil",F85*20,"")))</f>
        <v/>
      </c>
      <c r="H85" s="388" t="n"/>
      <c r="I85" s="180">
        <f>IF(H85="","",IF('Powder Charge Log'!$G$7="1/4 MOA",H85*4,IF('Powder Charge Log'!$G$7="1/8 MOA",H85*8,"")))</f>
        <v/>
      </c>
      <c r="J85" s="389" t="n"/>
      <c r="K85" s="390" t="n"/>
    </row>
    <row r="86" ht="18.75" customHeight="1" s="141">
      <c r="A86" s="377" t="n">
        <v>600</v>
      </c>
      <c r="B86" s="378" t="n"/>
      <c r="C86" s="187">
        <f>IF(B86="","",IF('Powder Charge Log'!$G$7="0.1 Mil",B86*10,IF('Powder Charge Log'!$G$7="0.05 Mil",B86*20,"")))</f>
        <v/>
      </c>
      <c r="D86" s="378" t="n"/>
      <c r="E86" s="187">
        <f>IF(D86="","",IF('Powder Charge Log'!$G$7="1/4 MOA",D86*4,IF('Powder Charge Log'!$G$7="1/8 MOA",D86*8,"")))</f>
        <v/>
      </c>
      <c r="F86" s="378" t="n"/>
      <c r="G86" s="187">
        <f>IF(F86="","",IF('Powder Charge Log'!$G$7="0.1 Mil",F86*10,IF('Powder Charge Log'!$G$7="0.05 Mil",F86*20,"")))</f>
        <v/>
      </c>
      <c r="H86" s="378" t="n"/>
      <c r="I86" s="187">
        <f>IF(H86="","",IF('Powder Charge Log'!$G$7="1/4 MOA",H86*4,IF('Powder Charge Log'!$G$7="1/8 MOA",H86*8,"")))</f>
        <v/>
      </c>
      <c r="J86" s="380" t="n"/>
      <c r="K86" s="391" t="n"/>
    </row>
    <row r="87" ht="18.75" customHeight="1" s="141">
      <c r="A87" s="387" t="n">
        <v>700</v>
      </c>
      <c r="B87" s="388" t="n"/>
      <c r="C87" s="180">
        <f>IF(B87="","",IF('Powder Charge Log'!$G$7="0.1 Mil",B87*10,IF('Powder Charge Log'!$G$7="0.05 Mil",B87*20,"")))</f>
        <v/>
      </c>
      <c r="D87" s="388" t="n"/>
      <c r="E87" s="180">
        <f>IF(D87="","",IF('Powder Charge Log'!$G$7="1/4 MOA",D87*4,IF('Powder Charge Log'!$G$7="1/8 MOA",D87*8,"")))</f>
        <v/>
      </c>
      <c r="F87" s="388" t="n"/>
      <c r="G87" s="180">
        <f>IF(F87="","",IF('Powder Charge Log'!$G$7="0.1 Mil",F87*10,IF('Powder Charge Log'!$G$7="0.05 Mil",F87*20,"")))</f>
        <v/>
      </c>
      <c r="H87" s="388" t="n"/>
      <c r="I87" s="180">
        <f>IF(H87="","",IF('Powder Charge Log'!$G$7="1/4 MOA",H87*4,IF('Powder Charge Log'!$G$7="1/8 MOA",H87*8,"")))</f>
        <v/>
      </c>
      <c r="J87" s="389" t="n"/>
      <c r="K87" s="390" t="n"/>
    </row>
    <row r="88" ht="18.75" customHeight="1" s="141">
      <c r="A88" s="377" t="n">
        <v>800</v>
      </c>
      <c r="B88" s="378" t="n"/>
      <c r="C88" s="187">
        <f>IF(B88="","",IF('Powder Charge Log'!$G$7="0.1 Mil",B88*10,IF('Powder Charge Log'!$G$7="0.05 Mil",B88*20,"")))</f>
        <v/>
      </c>
      <c r="D88" s="378" t="n"/>
      <c r="E88" s="187">
        <f>IF(D88="","",IF('Powder Charge Log'!$G$7="1/4 MOA",D88*4,IF('Powder Charge Log'!$G$7="1/8 MOA",D88*8,"")))</f>
        <v/>
      </c>
      <c r="F88" s="378" t="n"/>
      <c r="G88" s="187">
        <f>IF(F88="","",IF('Powder Charge Log'!$G$7="0.1 Mil",F88*10,IF('Powder Charge Log'!$G$7="0.05 Mil",F88*20,"")))</f>
        <v/>
      </c>
      <c r="H88" s="378" t="n"/>
      <c r="I88" s="187">
        <f>IF(H88="","",IF('Powder Charge Log'!$G$7="1/4 MOA",H88*4,IF('Powder Charge Log'!$G$7="1/8 MOA",H88*8,"")))</f>
        <v/>
      </c>
      <c r="J88" s="380" t="n"/>
      <c r="K88" s="391" t="n"/>
    </row>
    <row r="89" ht="18.75" customHeight="1" s="141">
      <c r="A89" s="387" t="n">
        <v>900</v>
      </c>
      <c r="B89" s="388" t="n"/>
      <c r="C89" s="180">
        <f>IF(B89="","",IF('Powder Charge Log'!$G$7="0.1 Mil",B89*10,IF('Powder Charge Log'!$G$7="0.05 Mil",B89*20,"")))</f>
        <v/>
      </c>
      <c r="D89" s="388" t="n"/>
      <c r="E89" s="180">
        <f>IF(D89="","",IF('Powder Charge Log'!$G$7="1/4 MOA",D89*4,IF('Powder Charge Log'!$G$7="1/8 MOA",D89*8,"")))</f>
        <v/>
      </c>
      <c r="F89" s="388" t="n"/>
      <c r="G89" s="180">
        <f>IF(F89="","",IF('Powder Charge Log'!$G$7="0.1 Mil",F89*10,IF('Powder Charge Log'!$G$7="0.05 Mil",F89*20,"")))</f>
        <v/>
      </c>
      <c r="H89" s="388" t="n"/>
      <c r="I89" s="180">
        <f>IF(H89="","",IF('Powder Charge Log'!$G$7="1/4 MOA",H89*4,IF('Powder Charge Log'!$G$7="1/8 MOA",H89*8,"")))</f>
        <v/>
      </c>
      <c r="J89" s="389" t="n"/>
      <c r="K89" s="390" t="n"/>
    </row>
    <row r="90" ht="18.75" customHeight="1" s="141">
      <c r="A90" s="377" t="n">
        <v>1000</v>
      </c>
      <c r="B90" s="378" t="n"/>
      <c r="C90" s="187">
        <f>IF(B90="","",IF('Powder Charge Log'!$G$7="0.1 Mil",B90*10,IF('Powder Charge Log'!$G$7="0.05 Mil",B90*20,"")))</f>
        <v/>
      </c>
      <c r="D90" s="378" t="n"/>
      <c r="E90" s="187">
        <f>IF(D90="","",IF('Powder Charge Log'!$G$7="1/4 MOA",D90*4,IF('Powder Charge Log'!$G$7="1/8 MOA",D90*8,"")))</f>
        <v/>
      </c>
      <c r="F90" s="378" t="n"/>
      <c r="G90" s="187">
        <f>IF(F90="","",IF('Powder Charge Log'!$G$7="0.1 Mil",F90*10,IF('Powder Charge Log'!$G$7="0.05 Mil",F90*20,"")))</f>
        <v/>
      </c>
      <c r="H90" s="378" t="n"/>
      <c r="I90" s="187">
        <f>IF(H90="","",IF('Powder Charge Log'!$G$7="1/4 MOA",H90*4,IF('Powder Charge Log'!$G$7="1/8 MOA",H90*8,"")))</f>
        <v/>
      </c>
      <c r="J90" s="380" t="n"/>
      <c r="K90" s="391" t="n"/>
    </row>
    <row r="91" ht="12"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58:K58"/>
    <mergeCell ref="A22:K22"/>
    <mergeCell ref="A4:K4"/>
    <mergeCell ref="A2:K2"/>
    <mergeCell ref="A76:K76"/>
    <mergeCell ref="A1:K1"/>
    <mergeCell ref="A40:K40"/>
  </mergeCells>
  <hyperlinks>
    <hyperlink xmlns:r="http://schemas.openxmlformats.org/officeDocument/2006/relationships" ref="A2" r:id="rId1" display="Print Pocket Range Card"/>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oddHeader>&amp;L&amp;"Calibri,Italic"&amp;8 &amp;"Calibri,Italic"&amp;8 &amp;F&amp;C&amp;"Calibri,Bold"&amp;10 &amp;"Calibri,Bold"&amp;10 &amp;A&amp;R&amp;"Calibri,Italic"&amp;8 &amp;"Calibri,Italic"&amp;8 Page &amp;P of &amp;N</oddHeader>
    <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U200"/>
  <sheetViews>
    <sheetView workbookViewId="0">
      <selection activeCell="A1" sqref="A1"/>
    </sheetView>
  </sheetViews>
  <sheetFormatPr baseColWidth="8" defaultRowHeight="15"/>
  <sheetData>
    <row r="1">
      <c r="A1" t="inlineStr">
        <is>
          <t>Tag</t>
        </is>
      </c>
      <c r="B1" t="inlineStr">
        <is>
          <t>ChargeOrJump</t>
        </is>
      </c>
      <c r="C1" t="inlineStr">
        <is>
          <t>Powder</t>
        </is>
      </c>
      <c r="D1" t="inlineStr">
        <is>
          <t>Date</t>
        </is>
      </c>
      <c r="E1" t="inlineStr">
        <is>
          <t>Shot1</t>
        </is>
      </c>
      <c r="F1" t="inlineStr">
        <is>
          <t>Shot2</t>
        </is>
      </c>
      <c r="G1" t="inlineStr">
        <is>
          <t>Shot3</t>
        </is>
      </c>
      <c r="H1" t="inlineStr">
        <is>
          <t>Shot4</t>
        </is>
      </c>
      <c r="I1" t="inlineStr">
        <is>
          <t>Shot5</t>
        </is>
      </c>
      <c r="J1" t="inlineStr">
        <is>
          <t>Shot6</t>
        </is>
      </c>
      <c r="K1" t="inlineStr">
        <is>
          <t>Shot7</t>
        </is>
      </c>
      <c r="L1" t="inlineStr">
        <is>
          <t>Shot8</t>
        </is>
      </c>
      <c r="M1" t="inlineStr">
        <is>
          <t>Shot9</t>
        </is>
      </c>
      <c r="N1" t="inlineStr">
        <is>
          <t>Shot10</t>
        </is>
      </c>
      <c r="O1" t="inlineStr">
        <is>
          <t>AvgVel</t>
        </is>
      </c>
      <c r="P1" t="inlineStr">
        <is>
          <t>SD</t>
        </is>
      </c>
      <c r="Q1" t="inlineStr">
        <is>
          <t>ES</t>
        </is>
      </c>
      <c r="R1" t="inlineStr">
        <is>
          <t>BulletWt</t>
        </is>
      </c>
      <c r="S1" t="inlineStr">
        <is>
          <t>AvgKE</t>
        </is>
      </c>
      <c r="T1" t="inlineStr">
        <is>
          <t>SessionTitle</t>
        </is>
      </c>
      <c r="U1" t="inlineStr">
        <is>
          <t>SessionNote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Distance</t>
        </is>
      </c>
      <c r="F1" s="299" t="inlineStr">
        <is>
          <t>Caliber</t>
        </is>
      </c>
      <c r="G1" s="299" t="inlineStr">
        <is>
          <t>GroupIn</t>
        </is>
      </c>
      <c r="H1" s="299" t="inlineStr">
        <is>
          <t>WidthIn</t>
        </is>
      </c>
      <c r="I1" s="299" t="inlineStr">
        <is>
          <t>HeightIn</t>
        </is>
      </c>
      <c r="J1" s="299" t="inlineStr">
        <is>
          <t>MRIn</t>
        </is>
      </c>
      <c r="K1" s="299" t="inlineStr">
        <is>
          <t>CEPIn</t>
        </is>
      </c>
      <c r="L1" s="299" t="inlineStr">
        <is>
          <t>SDRadIn</t>
        </is>
      </c>
      <c r="M1" s="299" t="inlineStr">
        <is>
          <t>SDVertIn</t>
        </is>
      </c>
      <c r="N1" s="299" t="inlineStr">
        <is>
          <t>SDHorizIn</t>
        </is>
      </c>
      <c r="O1" s="299" t="inlineStr">
        <is>
          <t>ElevOffsetIn</t>
        </is>
      </c>
      <c r="P1" s="299" t="inlineStr">
        <is>
          <t>WindOffsetIn</t>
        </is>
      </c>
      <c r="Q1" s="299" t="inlineStr">
        <is>
          <t>Label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2026-05-05T13:21:22Z</dcterms:created>
  <dcterms:modified xmlns:dcterms="http://purl.org/dc/terms/" xmlns:xsi="http://www.w3.org/2001/XMLSchema-instance" xsi:type="dcterms:W3CDTF">2026-05-12T22:19:04Z</dcterms:modified>
  <cp:revision>33</cp:revision>
</cp:coreProperties>
</file>