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comments/comment1.xml" ContentType="application/vnd.openxmlformats-officedocument.spreadsheetml.comments+xml"/>
  <Override PartName="/xl/worksheets/sheet4.xml" ContentType="application/vnd.openxmlformats-officedocument.spreadsheetml.worksheet+xml"/>
  <Override PartName="/xl/drawings/drawing3.xml" ContentType="application/vnd.openxmlformats-officedocument.drawing+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0" autoFilterDateGrouping="1"/>
  </bookViews>
  <sheets>
    <sheet xmlns:r="http://schemas.openxmlformats.org/officeDocument/2006/relationships" name="After Range Day" sheetId="1" state="visible" r:id="rId1"/>
    <sheet xmlns:r="http://schemas.openxmlformats.org/officeDocument/2006/relationships" name="Load Log" sheetId="2" state="visible" r:id="rId2"/>
    <sheet xmlns:r="http://schemas.openxmlformats.org/officeDocument/2006/relationships" name="Charts" sheetId="3" state="visible" r:id="rId3"/>
    <sheet xmlns:r="http://schemas.openxmlformats.org/officeDocument/2006/relationships" name="Seating Depth" sheetId="4" state="visible" r:id="rId4"/>
    <sheet xmlns:r="http://schemas.openxmlformats.org/officeDocument/2006/relationships" name="Garmin Xero Import" sheetId="5" state="visible" r:id="rId5"/>
    <sheet xmlns:r="http://schemas.openxmlformats.org/officeDocument/2006/relationships" name="BallisticX Import" sheetId="6" state="visible" r:id="rId6"/>
    <sheet xmlns:r="http://schemas.openxmlformats.org/officeDocument/2006/relationships" name="Load Library" sheetId="7" state="visible" r:id="rId7"/>
    <sheet xmlns:r="http://schemas.openxmlformats.org/officeDocument/2006/relationships" name="Ballistics" sheetId="8" state="visible" r:id="rId8"/>
    <sheet xmlns:r="http://schemas.openxmlformats.org/officeDocument/2006/relationships" name="GarminSessions" sheetId="9" state="hidden" r:id="rId9"/>
    <sheet xmlns:r="http://schemas.openxmlformats.org/officeDocument/2006/relationships" name="BallisticXGroups" sheetId="10" state="hidden" r:id="rId10"/>
  </sheets>
  <definedNames>
    <definedName name="_xlnm.Print_Area" localSheetId="0">'After Range Day'!$A$1:$H$16</definedName>
    <definedName name="_xlnm.Print_Area" localSheetId="1">'Load Log'!$A$1:$N$28</definedName>
    <definedName name="_xlnm.Print_Area" localSheetId="2">'Charts'!$A$1:$M$27</definedName>
    <definedName name="_xlnm.Print_Area" localSheetId="3">'Seating Depth'!$A$1:$O$38</definedName>
    <definedName name="_xlnm.Print_Area" localSheetId="6">'Load Library'!$A$1:$Q$14</definedName>
    <definedName name="_xlnm.Print_Area" localSheetId="7">'Ballistics'!$A$1:$K$90</definedName>
  </definedNames>
  <calcPr calcId="124519" fullCalcOnLoad="1" refMode="A1" iterate="0" iterateCount="100" iterateDelta="0.0001"/>
</workbook>
</file>

<file path=xl/styles.xml><?xml version="1.0" encoding="utf-8"?>
<styleSheet xmlns="http://schemas.openxmlformats.org/spreadsheetml/2006/main">
  <numFmts count="9">
    <numFmt numFmtId="164" formatCode="0.0&quot; gr&quot;"/>
    <numFmt numFmtId="165" formatCode="0&quot; fps&quot;"/>
    <numFmt numFmtId="166" formatCode="0.0&quot; fps&quot;"/>
    <numFmt numFmtId="167" formatCode="0.00&quot; MOA&quot;"/>
    <numFmt numFmtId="168" formatCode="0.000"/>
    <numFmt numFmtId="169" formatCode="0.000&quot; off lands&quot;"/>
    <numFmt numFmtId="170" formatCode="0&quot; yd&quot;"/>
    <numFmt numFmtId="171" formatCode="0.0"/>
    <numFmt numFmtId="172" formatCode="0.000&quot; off&quot;"/>
  </numFmts>
  <fonts count="41">
    <font>
      <name val="Calibri"/>
      <charset val="1"/>
      <family val="0"/>
      <color theme="1"/>
      <sz val="11"/>
    </font>
    <font>
      <name val="Arial"/>
      <family val="0"/>
      <sz val="10"/>
    </font>
    <font>
      <name val="Arial"/>
      <family val="0"/>
      <sz val="10"/>
    </font>
    <font>
      <name val="Arial"/>
      <family val="0"/>
      <sz val="10"/>
    </font>
    <font>
      <name val="Calibri"/>
      <charset val="1"/>
      <family val="0"/>
      <b val="1"/>
      <color rgb="FFFFFFFF"/>
      <sz val="20"/>
    </font>
    <font>
      <name val="Calibri"/>
      <charset val="1"/>
      <family val="0"/>
      <color rgb="FF000000"/>
      <sz val="11"/>
    </font>
    <font>
      <name val="Calibri"/>
      <charset val="1"/>
      <family val="0"/>
      <b val="1"/>
      <color rgb="FFFFFFFF"/>
      <sz val="12"/>
    </font>
    <font>
      <name val="Calibri"/>
      <charset val="1"/>
      <family val="0"/>
      <color rgb="FF000000"/>
      <sz val="10"/>
    </font>
    <font>
      <name val="Calibri"/>
      <charset val="1"/>
      <family val="0"/>
      <b val="1"/>
      <color rgb="FF000000"/>
      <sz val="11"/>
    </font>
    <font>
      <name val="Calibri"/>
      <charset val="1"/>
      <family val="0"/>
      <b val="1"/>
      <color rgb="FF1F4E78"/>
      <sz val="11"/>
    </font>
    <font>
      <name val="Calibri"/>
      <charset val="1"/>
      <family val="0"/>
      <b val="1"/>
      <color rgb="FFFFFFFF"/>
      <sz val="18"/>
    </font>
    <font>
      <name val="Cambria"/>
      <charset val="1"/>
      <family val="0"/>
      <sz val="11"/>
    </font>
    <font>
      <name val="Calibri"/>
      <charset val="1"/>
      <family val="0"/>
      <b val="1"/>
      <color rgb="FFFFFFFF"/>
      <sz val="11"/>
    </font>
    <font>
      <name val="Calibri"/>
      <charset val="1"/>
      <family val="0"/>
      <b val="1"/>
      <color rgb="FFFFFFFF"/>
      <sz val="10"/>
    </font>
    <font>
      <name val="Calibri"/>
      <charset val="1"/>
      <family val="0"/>
      <color rgb="FF1976D2"/>
      <sz val="10"/>
    </font>
    <font>
      <name val="Arial"/>
      <family val="2"/>
      <color rgb="FF757575"/>
      <sz val="13"/>
    </font>
    <font>
      <name val="Calibri"/>
      <family val="2"/>
      <color rgb="FF000000"/>
      <sz val="10"/>
    </font>
    <font>
      <name val="Arial"/>
      <family val="2"/>
      <color rgb="FF000000"/>
      <sz val="13"/>
    </font>
    <font>
      <name val="Calibri"/>
      <charset val="1"/>
      <family val="0"/>
      <b val="1"/>
      <color rgb="FFFFFFFF"/>
      <sz val="16"/>
    </font>
    <font>
      <name val="Cambria"/>
      <charset val="1"/>
      <family val="0"/>
      <b val="1"/>
      <color theme="1"/>
      <sz val="12"/>
    </font>
    <font>
      <name val="Cambria"/>
      <charset val="1"/>
      <family val="0"/>
      <b val="1"/>
      <color rgb="FFC00000"/>
      <sz val="26"/>
    </font>
    <font>
      <name val="Calibri"/>
      <charset val="1"/>
      <family val="0"/>
      <b val="1"/>
      <color theme="1"/>
      <sz val="10"/>
    </font>
    <font>
      <name val="Calibri"/>
      <charset val="1"/>
      <family val="0"/>
      <i val="1"/>
      <color rgb="FF595959"/>
      <sz val="10"/>
    </font>
    <font>
      <name val="Calibri"/>
      <charset val="1"/>
      <family val="0"/>
      <i val="1"/>
      <color rgb="FF7F1D1D"/>
      <sz val="9"/>
    </font>
    <font>
      <name val="Calibri"/>
      <charset val="1"/>
      <family val="0"/>
      <color rgb="FF0000FF"/>
      <sz val="10"/>
    </font>
    <font>
      <name val="Cambria"/>
      <charset val="1"/>
      <family val="0"/>
      <b val="1"/>
      <color theme="1"/>
      <sz val="11"/>
    </font>
    <font>
      <name val="Cambria"/>
      <charset val="1"/>
      <family val="0"/>
      <b val="1"/>
      <color rgb="FFFFFFFF"/>
      <sz val="10"/>
    </font>
    <font>
      <name val="Cambria"/>
      <charset val="1"/>
      <family val="0"/>
      <color theme="1"/>
      <sz val="11"/>
    </font>
    <font>
      <name val="Arial"/>
      <family val="2"/>
      <sz val="10"/>
    </font>
    <font>
      <name val="Calibri"/>
      <charset val="1"/>
      <family val="0"/>
      <color rgb="FF1976D2"/>
      <sz val="11"/>
    </font>
    <font>
      <name val="Calibri"/>
      <charset val="1"/>
      <family val="0"/>
      <i val="1"/>
      <color rgb="FF595959"/>
      <sz val="9"/>
    </font>
    <font>
      <name val="Calibri"/>
      <b val="1"/>
      <color rgb="FFFFFFFF"/>
      <sz val="20"/>
    </font>
    <font>
      <name val="Calibri"/>
      <color rgb="FF000000"/>
      <sz val="11"/>
    </font>
    <font>
      <name val="Calibri"/>
      <b val="1"/>
      <color rgb="FFFFFFFF"/>
      <sz val="12"/>
    </font>
    <font>
      <name val="Calibri"/>
      <b val="1"/>
      <color rgb="FF000000"/>
      <sz val="11"/>
    </font>
    <font>
      <name val="Calibri"/>
      <b val="1"/>
      <color rgb="FF1F4E78"/>
      <sz val="11"/>
    </font>
    <font>
      <name val="Calibri"/>
      <b val="1"/>
      <color rgb="FFFFFFFF"/>
      <sz val="10"/>
    </font>
    <font>
      <b val="1"/>
      <color rgb="FFFFFFFF"/>
      <sz val="20"/>
    </font>
    <font>
      <color rgb="FF000000"/>
      <sz val="11"/>
    </font>
    <font>
      <b val="1"/>
      <color rgb="FFFFFFFF"/>
      <sz val="12"/>
    </font>
    <font>
      <b val="1"/>
      <color rgb="FFFFFFFF"/>
      <sz val="18"/>
    </font>
  </fonts>
  <fills count="37">
    <fill>
      <patternFill/>
    </fill>
    <fill>
      <patternFill patternType="gray125"/>
    </fill>
    <fill>
      <patternFill patternType="solid">
        <fgColor rgb="FF1F4E78"/>
        <bgColor rgb="FF305496"/>
      </patternFill>
    </fill>
    <fill>
      <patternFill patternType="solid">
        <fgColor rgb="FFF5F5F5"/>
        <bgColor rgb="FFF2F2F2"/>
      </patternFill>
    </fill>
    <fill>
      <patternFill patternType="solid">
        <fgColor rgb="FFE65100"/>
        <bgColor rgb="FFBE4B48"/>
      </patternFill>
    </fill>
    <fill>
      <patternFill patternType="solid">
        <fgColor rgb="FFFFE0B2"/>
        <bgColor rgb="FFFFE082"/>
      </patternFill>
    </fill>
    <fill>
      <patternFill patternType="solid">
        <fgColor rgb="FFFFF8E1"/>
        <bgColor rgb="FFFFF2CC"/>
      </patternFill>
    </fill>
    <fill>
      <patternFill patternType="solid">
        <fgColor rgb="FF305496"/>
        <bgColor rgb="FF1F4E78"/>
      </patternFill>
    </fill>
    <fill>
      <patternFill patternType="solid">
        <fgColor rgb="FFA98C2A"/>
        <bgColor rgb="FF8B8B8B"/>
      </patternFill>
    </fill>
    <fill>
      <patternFill patternType="solid">
        <fgColor rgb="FF2E7D32"/>
        <bgColor rgb="FF008000"/>
      </patternFill>
    </fill>
    <fill>
      <patternFill patternType="solid">
        <fgColor rgb="FF7B1FA2"/>
        <bgColor rgb="FF800080"/>
      </patternFill>
    </fill>
    <fill>
      <patternFill patternType="solid">
        <fgColor rgb="FFC00000"/>
        <bgColor rgb="FF800000"/>
      </patternFill>
    </fill>
    <fill>
      <patternFill patternType="solid">
        <fgColor rgb="FFFFE082"/>
        <bgColor rgb="FFFFE0B2"/>
      </patternFill>
    </fill>
    <fill>
      <patternFill patternType="solid">
        <fgColor rgb="FFBBDEFB"/>
        <bgColor rgb="FFD9D9D9"/>
      </patternFill>
    </fill>
    <fill>
      <patternFill patternType="solid">
        <fgColor rgb="FFE3F2FD"/>
        <bgColor rgb="FFE8F5E9"/>
      </patternFill>
    </fill>
    <fill>
      <patternFill patternType="solid">
        <fgColor rgb="FFA5D6A7"/>
        <bgColor rgb="FFB7B7B7"/>
      </patternFill>
    </fill>
    <fill>
      <patternFill patternType="solid">
        <fgColor rgb="FFE8F5E9"/>
        <bgColor rgb="FFF2F2F2"/>
      </patternFill>
    </fill>
    <fill>
      <patternFill patternType="solid">
        <fgColor rgb="FFFFF2CC"/>
        <bgColor rgb="FFFFF8E1"/>
      </patternFill>
    </fill>
    <fill>
      <patternFill patternType="solid">
        <fgColor rgb="FFF2F2F2"/>
        <bgColor rgb="FFF5F5F5"/>
      </patternFill>
    </fill>
    <fill>
      <patternFill patternType="solid">
        <fgColor rgb="FFF3E5F5"/>
        <bgColor rgb="FFF2F2F2"/>
      </patternFill>
    </fill>
    <fill>
      <patternFill patternType="solid">
        <fgColor rgb="FF1976D2"/>
        <bgColor rgb="FF4672A8"/>
      </patternFill>
    </fill>
    <fill>
      <patternFill patternType="solid">
        <fgColor rgb="FF1F4E78"/>
        <bgColor rgb="FF1F4E78"/>
      </patternFill>
    </fill>
    <fill>
      <patternFill patternType="solid">
        <fgColor rgb="FFF5F5F5"/>
        <bgColor rgb="FFF5F5F5"/>
      </patternFill>
    </fill>
    <fill>
      <patternFill patternType="solid">
        <fgColor rgb="FFE65100"/>
        <bgColor rgb="FFE65100"/>
      </patternFill>
    </fill>
    <fill>
      <patternFill patternType="solid">
        <fgColor rgb="FFFFE0B2"/>
        <bgColor rgb="FFFFE0B2"/>
      </patternFill>
    </fill>
    <fill>
      <patternFill patternType="solid">
        <fgColor rgb="FFFFF8E1"/>
        <bgColor rgb="FFFFF8E1"/>
      </patternFill>
    </fill>
    <fill>
      <patternFill patternType="solid">
        <fgColor rgb="FF305496"/>
        <bgColor rgb="FF305496"/>
      </patternFill>
    </fill>
    <fill>
      <patternFill patternType="solid">
        <fgColor rgb="FFA98C2A"/>
        <bgColor rgb="FFA98C2A"/>
      </patternFill>
    </fill>
    <fill>
      <patternFill patternType="solid">
        <fgColor rgb="FF2E7D32"/>
        <bgColor rgb="FF2E7D32"/>
      </patternFill>
    </fill>
    <fill>
      <patternFill patternType="solid">
        <fgColor rgb="FF7B1FA2"/>
        <bgColor rgb="FF7B1FA2"/>
      </patternFill>
    </fill>
    <fill>
      <patternFill patternType="solid">
        <fgColor rgb="FF1F4E78"/>
      </patternFill>
    </fill>
    <fill>
      <patternFill patternType="solid">
        <fgColor rgb="FFF5F5F5"/>
      </patternFill>
    </fill>
    <fill>
      <patternFill patternType="solid">
        <fgColor rgb="FFE65100"/>
      </patternFill>
    </fill>
    <fill>
      <patternFill patternType="solid">
        <fgColor rgb="FF305496"/>
      </patternFill>
    </fill>
    <fill>
      <patternFill patternType="solid">
        <fgColor rgb="FFFFF8E1"/>
      </patternFill>
    </fill>
    <fill>
      <patternFill patternType="solid">
        <fgColor rgb="FF2E7D32"/>
      </patternFill>
    </fill>
    <fill>
      <patternFill patternType="solid">
        <fgColor rgb="FF7B1FA2"/>
      </patternFill>
    </fill>
  </fills>
  <borders count="10">
    <border>
      <left/>
      <right/>
      <top/>
      <bottom/>
      <diagonal/>
    </border>
    <border>
      <left style="thin">
        <color rgb="FFB0B0B0"/>
      </left>
      <right style="thin">
        <color rgb="FFB0B0B0"/>
      </right>
      <top style="thin">
        <color rgb="FFB0B0B0"/>
      </top>
      <bottom style="thin">
        <color rgb="FFB0B0B0"/>
      </bottom>
      <diagonal/>
    </border>
    <border>
      <left style="medium">
        <color rgb="FF305496"/>
      </left>
      <right/>
      <top style="medium">
        <color rgb="FF305496"/>
      </top>
      <bottom/>
      <diagonal/>
    </border>
    <border>
      <left style="thin">
        <color rgb="FF808080"/>
      </left>
      <right style="thin">
        <color rgb="FF808080"/>
      </right>
      <top style="thin">
        <color rgb="FF808080"/>
      </top>
      <bottom style="thin">
        <color rgb="FF808080"/>
      </bottom>
      <diagonal/>
    </border>
    <border>
      <left/>
      <right/>
      <top style="thin">
        <color rgb="FFB0B0B0"/>
      </top>
      <bottom/>
      <diagonal/>
    </border>
    <border>
      <left/>
      <right style="thin">
        <color rgb="FFB0B0B0"/>
      </right>
      <top style="thin">
        <color rgb="FFB0B0B0"/>
      </top>
      <bottom/>
      <diagonal/>
    </border>
    <border>
      <left/>
      <right/>
      <top style="thin">
        <color rgb="FFB0B0B0"/>
      </top>
      <bottom style="thin">
        <color rgb="FFB0B0B0"/>
      </bottom>
      <diagonal/>
    </border>
    <border>
      <left/>
      <right style="thin">
        <color rgb="FFB0B0B0"/>
      </right>
      <top style="thin">
        <color rgb="FFB0B0B0"/>
      </top>
      <bottom style="thin">
        <color rgb="FFB0B0B0"/>
      </bottom>
      <diagonal/>
    </border>
    <border>
      <left/>
      <right/>
      <top style="medium">
        <color rgb="FF305496"/>
      </top>
      <bottom/>
      <diagonal/>
    </border>
    <border>
      <left style="medium">
        <color rgb="FF305496"/>
      </left>
      <right/>
      <top/>
      <bottom/>
      <diagonal/>
    </border>
  </borders>
  <cellStyleXfs count="6">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cellStyleXfs>
  <cellXfs count="392">
    <xf numFmtId="0" fontId="0" fillId="0" borderId="0" applyAlignment="1" pivotButton="0" quotePrefix="0" xfId="0">
      <alignment horizontal="general" vertical="bottom"/>
    </xf>
    <xf numFmtId="0" fontId="4" fillId="2" borderId="0" applyAlignment="1" pivotButton="0" quotePrefix="0" xfId="0">
      <alignment horizontal="center" vertical="center" wrapText="1"/>
    </xf>
    <xf numFmtId="0" fontId="5" fillId="3" borderId="0" applyAlignment="1" pivotButton="0" quotePrefix="0" xfId="0">
      <alignment horizontal="left" vertical="top" wrapText="1" indent="1"/>
    </xf>
    <xf numFmtId="0" fontId="6" fillId="4" borderId="0" applyAlignment="1" pivotButton="0" quotePrefix="0" xfId="0">
      <alignment horizontal="center" vertical="center" wrapText="1"/>
    </xf>
    <xf numFmtId="0" fontId="7" fillId="5" borderId="0" applyAlignment="1" pivotButton="0" quotePrefix="0" xfId="0">
      <alignment horizontal="left" vertical="top" wrapText="1" indent="1"/>
    </xf>
    <xf numFmtId="0" fontId="0" fillId="0" borderId="0" applyAlignment="1" pivotButton="0" quotePrefix="0" xfId="0">
      <alignment horizontal="general" vertical="bottom"/>
    </xf>
    <xf numFmtId="0" fontId="6" fillId="2" borderId="0" applyAlignment="1" pivotButton="0" quotePrefix="0" xfId="0">
      <alignment horizontal="center" vertical="center" wrapText="1"/>
    </xf>
    <xf numFmtId="0" fontId="8" fillId="6" borderId="0" applyAlignment="1" pivotButton="0" quotePrefix="0" xfId="0">
      <alignment horizontal="left" vertical="top" wrapText="1" indent="1"/>
    </xf>
    <xf numFmtId="0" fontId="9" fillId="3" borderId="0" applyAlignment="1" pivotButton="0" quotePrefix="0" xfId="0">
      <alignment horizontal="center" vertical="center" wrapText="1"/>
    </xf>
    <xf numFmtId="0" fontId="5" fillId="0" borderId="0" applyAlignment="1" pivotButton="0" quotePrefix="0" xfId="0">
      <alignment horizontal="left" vertical="top" wrapText="1" indent="1"/>
    </xf>
    <xf numFmtId="0" fontId="6" fillId="7" borderId="0" applyAlignment="1" pivotButton="0" quotePrefix="0" xfId="0">
      <alignment horizontal="center" vertical="center" wrapText="1"/>
    </xf>
    <xf numFmtId="0" fontId="6" fillId="8" borderId="0" applyAlignment="1" pivotButton="0" quotePrefix="0" xfId="0">
      <alignment horizontal="center" vertical="center" wrapText="1"/>
    </xf>
    <xf numFmtId="0" fontId="6" fillId="9" borderId="0" applyAlignment="1" pivotButton="0" quotePrefix="0" xfId="0">
      <alignment horizontal="center" vertical="center" wrapText="1"/>
    </xf>
    <xf numFmtId="0" fontId="6" fillId="10" borderId="0" applyAlignment="1" pivotButton="0" quotePrefix="0" xfId="0">
      <alignment horizontal="center" vertical="center" wrapText="1"/>
    </xf>
    <xf numFmtId="0" fontId="6" fillId="7" borderId="0" applyAlignment="1" pivotButton="0" quotePrefix="0" xfId="0">
      <alignment horizontal="center" vertical="center" wrapText="1"/>
    </xf>
    <xf numFmtId="0" fontId="5" fillId="0" borderId="0" applyAlignment="1" pivotButton="0" quotePrefix="0" xfId="0">
      <alignment horizontal="left" vertical="top" wrapText="1" indent="1"/>
    </xf>
    <xf numFmtId="0" fontId="0" fillId="0" borderId="0" applyAlignment="1" pivotButton="0" quotePrefix="0" xfId="0">
      <alignment horizontal="general" vertical="bottom"/>
    </xf>
    <xf numFmtId="0" fontId="10" fillId="2" borderId="0" applyAlignment="1" pivotButton="0" quotePrefix="0" xfId="0">
      <alignment horizontal="center" vertical="center"/>
    </xf>
    <xf numFmtId="0" fontId="11" fillId="0" borderId="0" applyAlignment="1" pivotButton="0" quotePrefix="0" xfId="0">
      <alignment horizontal="general" vertical="bottom"/>
    </xf>
    <xf numFmtId="0" fontId="6" fillId="11" borderId="0" applyAlignment="1" pivotButton="0" quotePrefix="0" xfId="0">
      <alignment horizontal="center" vertical="center"/>
    </xf>
    <xf numFmtId="164" fontId="6" fillId="11" borderId="0" applyAlignment="1" pivotButton="0" quotePrefix="0" xfId="0">
      <alignment horizontal="center" vertical="center"/>
    </xf>
    <xf numFmtId="0" fontId="6" fillId="11" borderId="0" applyAlignment="1" pivotButton="0" quotePrefix="0" xfId="0">
      <alignment horizontal="center" vertical="center"/>
    </xf>
    <xf numFmtId="165" fontId="6" fillId="11" borderId="0" applyAlignment="1" pivotButton="0" quotePrefix="0" xfId="0">
      <alignment horizontal="center" vertical="center"/>
    </xf>
    <xf numFmtId="166" fontId="6" fillId="11" borderId="0" applyAlignment="1" pivotButton="0" quotePrefix="0" xfId="0">
      <alignment horizontal="center" vertical="center"/>
    </xf>
    <xf numFmtId="167" fontId="6" fillId="11" borderId="0" applyAlignment="1" pivotButton="0" quotePrefix="0" xfId="0">
      <alignment horizontal="center" vertical="center"/>
    </xf>
    <xf numFmtId="0" fontId="0" fillId="0" borderId="0" applyAlignment="1" pivotButton="0" quotePrefix="0" xfId="0">
      <alignment horizontal="left" vertical="center" indent="1"/>
    </xf>
    <xf numFmtId="0" fontId="12" fillId="2" borderId="0" applyAlignment="1" pivotButton="0" quotePrefix="0" xfId="0">
      <alignment horizontal="center" vertical="center" wrapText="1"/>
    </xf>
    <xf numFmtId="0" fontId="9" fillId="12" borderId="1" applyAlignment="1" pivotButton="0" quotePrefix="0" xfId="0">
      <alignment horizontal="right" vertical="center" indent="1"/>
    </xf>
    <xf numFmtId="0" fontId="5" fillId="6" borderId="1" applyAlignment="1" pivotButton="0" quotePrefix="0" xfId="0">
      <alignment horizontal="left" vertical="center" wrapText="1" indent="1"/>
    </xf>
    <xf numFmtId="0" fontId="12" fillId="7" borderId="0" applyAlignment="1" pivotButton="0" quotePrefix="0" xfId="0">
      <alignment horizontal="center" vertical="center" wrapText="1"/>
    </xf>
    <xf numFmtId="0" fontId="9" fillId="13" borderId="1" applyAlignment="1" pivotButton="0" quotePrefix="0" xfId="0">
      <alignment horizontal="right" vertical="center" indent="1"/>
    </xf>
    <xf numFmtId="0" fontId="5" fillId="14" borderId="1" applyAlignment="1" pivotButton="0" quotePrefix="0" xfId="0">
      <alignment horizontal="left" vertical="center" wrapText="1" indent="1"/>
    </xf>
    <xf numFmtId="168" fontId="5" fillId="14" borderId="1" applyAlignment="1" pivotButton="0" quotePrefix="0" xfId="0">
      <alignment horizontal="left" vertical="center" wrapText="1" indent="1"/>
    </xf>
    <xf numFmtId="169" fontId="5" fillId="14" borderId="1" applyAlignment="1" pivotButton="0" quotePrefix="0" xfId="0">
      <alignment horizontal="left" vertical="center" wrapText="1" indent="1"/>
    </xf>
    <xf numFmtId="170" fontId="5" fillId="14" borderId="1" applyAlignment="1" pivotButton="0" quotePrefix="0" xfId="0">
      <alignment horizontal="left" vertical="center" wrapText="1" indent="1"/>
    </xf>
    <xf numFmtId="0" fontId="9" fillId="15" borderId="1" applyAlignment="1" pivotButton="0" quotePrefix="0" xfId="0">
      <alignment horizontal="right" vertical="center" indent="1"/>
    </xf>
    <xf numFmtId="0" fontId="5" fillId="16" borderId="1" applyAlignment="1" pivotButton="0" quotePrefix="0" xfId="0">
      <alignment horizontal="left" vertical="center" wrapText="1" indent="1"/>
    </xf>
    <xf numFmtId="1" fontId="5" fillId="16" borderId="1" applyAlignment="1" pivotButton="0" quotePrefix="0" xfId="0">
      <alignment horizontal="left" vertical="center" wrapText="1" indent="1"/>
    </xf>
    <xf numFmtId="0" fontId="13" fillId="7" borderId="1" applyAlignment="1" pivotButton="0" quotePrefix="0" xfId="0">
      <alignment horizontal="center" vertical="center" wrapText="1"/>
    </xf>
    <xf numFmtId="0" fontId="11" fillId="0" borderId="0" applyAlignment="1" pivotButton="0" quotePrefix="0" xfId="0">
      <alignment horizontal="general" vertical="bottom"/>
    </xf>
    <xf numFmtId="0" fontId="14" fillId="0" borderId="1" applyAlignment="1" pivotButton="0" quotePrefix="0" xfId="0">
      <alignment horizontal="center" vertical="center"/>
    </xf>
    <xf numFmtId="171" fontId="14" fillId="0" borderId="1" applyAlignment="1" pivotButton="0" quotePrefix="0" xfId="0">
      <alignment horizontal="center" vertical="center"/>
    </xf>
    <xf numFmtId="1" fontId="14" fillId="0" borderId="1" applyAlignment="1" pivotButton="0" quotePrefix="0" xfId="0">
      <alignment horizontal="center" vertical="center"/>
    </xf>
    <xf numFmtId="1" fontId="7" fillId="0" borderId="1" applyAlignment="1" pivotButton="0" quotePrefix="0" xfId="0">
      <alignment horizontal="center" vertical="center"/>
    </xf>
    <xf numFmtId="171" fontId="7" fillId="0" borderId="1" applyAlignment="1" pivotButton="0" quotePrefix="0" xfId="0">
      <alignment horizontal="center" vertical="center"/>
    </xf>
    <xf numFmtId="2" fontId="14" fillId="0" borderId="1" applyAlignment="1" pivotButton="0" quotePrefix="0" xfId="0">
      <alignment horizontal="center" vertical="center"/>
    </xf>
    <xf numFmtId="0" fontId="5" fillId="0" borderId="1" applyAlignment="1" pivotButton="0" quotePrefix="0" xfId="0">
      <alignment horizontal="left" vertical="center" indent="1"/>
    </xf>
    <xf numFmtId="0" fontId="14" fillId="3" borderId="1" applyAlignment="1" pivotButton="0" quotePrefix="0" xfId="0">
      <alignment horizontal="center" vertical="center"/>
    </xf>
    <xf numFmtId="171" fontId="14" fillId="3" borderId="1" applyAlignment="1" pivotButton="0" quotePrefix="0" xfId="0">
      <alignment horizontal="center" vertical="center"/>
    </xf>
    <xf numFmtId="1" fontId="14" fillId="3" borderId="1" applyAlignment="1" pivotButton="0" quotePrefix="0" xfId="0">
      <alignment horizontal="center" vertical="center"/>
    </xf>
    <xf numFmtId="1" fontId="7" fillId="3" borderId="1" applyAlignment="1" pivotButton="0" quotePrefix="0" xfId="0">
      <alignment horizontal="center" vertical="center"/>
    </xf>
    <xf numFmtId="171" fontId="7" fillId="3" borderId="1" applyAlignment="1" pivotButton="0" quotePrefix="0" xfId="0">
      <alignment horizontal="center" vertical="center"/>
    </xf>
    <xf numFmtId="2" fontId="14" fillId="3" borderId="1" applyAlignment="1" pivotButton="0" quotePrefix="0" xfId="0">
      <alignment horizontal="center" vertical="center"/>
    </xf>
    <xf numFmtId="0" fontId="5" fillId="3" borderId="1" applyAlignment="1" pivotButton="0" quotePrefix="0" xfId="0">
      <alignment horizontal="left" vertical="center" indent="1"/>
    </xf>
    <xf numFmtId="0" fontId="6" fillId="2" borderId="0" applyAlignment="1" pivotButton="0" quotePrefix="0" xfId="0">
      <alignment horizontal="center" vertical="center"/>
    </xf>
    <xf numFmtId="0" fontId="18" fillId="2" borderId="0" applyAlignment="1" pivotButton="0" quotePrefix="0" xfId="0">
      <alignment horizontal="center" vertical="center"/>
    </xf>
    <xf numFmtId="0" fontId="19" fillId="0" borderId="0" applyAlignment="1" pivotButton="0" quotePrefix="0" xfId="0">
      <alignment horizontal="right" vertical="center" shrinkToFit="1"/>
    </xf>
    <xf numFmtId="164" fontId="20" fillId="17" borderId="2" applyAlignment="1" pivotButton="0" quotePrefix="0" xfId="0">
      <alignment horizontal="center" vertical="center" shrinkToFit="1"/>
    </xf>
    <xf numFmtId="0" fontId="21" fillId="0" borderId="0" applyAlignment="1" pivotButton="0" quotePrefix="0" xfId="0">
      <alignment horizontal="right" vertical="center" shrinkToFit="1"/>
    </xf>
    <xf numFmtId="168" fontId="7" fillId="0" borderId="3" applyAlignment="1" pivotButton="0" quotePrefix="0" xfId="0">
      <alignment horizontal="center" vertical="center" shrinkToFit="1"/>
    </xf>
    <xf numFmtId="171" fontId="7" fillId="0" borderId="3" applyAlignment="1" pivotButton="0" quotePrefix="0" xfId="0">
      <alignment horizontal="center" vertical="center" shrinkToFit="1"/>
    </xf>
    <xf numFmtId="1" fontId="7" fillId="0" borderId="3" applyAlignment="1" pivotButton="0" quotePrefix="0" xfId="0">
      <alignment horizontal="center" vertical="center" shrinkToFit="1"/>
    </xf>
    <xf numFmtId="2" fontId="7" fillId="0" borderId="3" applyAlignment="1" pivotButton="0" quotePrefix="0" xfId="0">
      <alignment horizontal="center" vertical="center" shrinkToFit="1"/>
    </xf>
    <xf numFmtId="0" fontId="7" fillId="0" borderId="3" applyAlignment="1" pivotButton="0" quotePrefix="0" xfId="0">
      <alignment horizontal="center" vertical="center" shrinkToFit="1"/>
    </xf>
    <xf numFmtId="0" fontId="22" fillId="0" borderId="0" applyAlignment="1" pivotButton="0" quotePrefix="0" xfId="0">
      <alignment horizontal="left" vertical="center" wrapText="1"/>
    </xf>
    <xf numFmtId="0" fontId="23" fillId="0" borderId="0" applyAlignment="1" pivotButton="0" quotePrefix="0" xfId="0">
      <alignment horizontal="left" vertical="center" wrapText="1"/>
    </xf>
    <xf numFmtId="0" fontId="21" fillId="0" borderId="0" applyAlignment="1" pivotButton="0" quotePrefix="0" xfId="0">
      <alignment horizontal="general" vertical="bottom"/>
    </xf>
    <xf numFmtId="0" fontId="21" fillId="0" borderId="0" applyAlignment="1" pivotButton="0" quotePrefix="0" xfId="0">
      <alignment horizontal="right" vertical="bottom"/>
    </xf>
    <xf numFmtId="2" fontId="24" fillId="17" borderId="3" applyAlignment="1" pivotButton="0" quotePrefix="0" xfId="0">
      <alignment horizontal="center" vertical="bottom"/>
    </xf>
    <xf numFmtId="171" fontId="24" fillId="17" borderId="3" applyAlignment="1" pivotButton="0" quotePrefix="0" xfId="0">
      <alignment horizontal="center" vertical="bottom"/>
    </xf>
    <xf numFmtId="0" fontId="25" fillId="0" borderId="0" applyAlignment="1" pivotButton="0" quotePrefix="0" xfId="0">
      <alignment horizontal="general" vertical="bottom"/>
    </xf>
    <xf numFmtId="0" fontId="26" fillId="7" borderId="3" applyAlignment="1" pivotButton="0" quotePrefix="0" xfId="0">
      <alignment horizontal="center" vertical="center" wrapText="1"/>
    </xf>
    <xf numFmtId="171" fontId="7" fillId="0" borderId="3" applyAlignment="1" pivotButton="0" quotePrefix="0" xfId="0">
      <alignment horizontal="center" vertical="bottom"/>
    </xf>
    <xf numFmtId="1" fontId="7" fillId="0" borderId="3" applyAlignment="1" pivotButton="0" quotePrefix="0" xfId="0">
      <alignment horizontal="center" vertical="bottom"/>
    </xf>
    <xf numFmtId="2" fontId="7" fillId="0" borderId="3" applyAlignment="1" pivotButton="0" quotePrefix="0" xfId="0">
      <alignment horizontal="center" vertical="bottom"/>
    </xf>
    <xf numFmtId="168" fontId="7" fillId="0" borderId="3" applyAlignment="1" pivotButton="0" quotePrefix="0" xfId="0">
      <alignment horizontal="center" vertical="bottom"/>
    </xf>
    <xf numFmtId="171" fontId="7" fillId="18" borderId="3" applyAlignment="1" pivotButton="0" quotePrefix="0" xfId="0">
      <alignment horizontal="center" vertical="bottom"/>
    </xf>
    <xf numFmtId="1" fontId="7" fillId="18" borderId="3" applyAlignment="1" pivotButton="0" quotePrefix="0" xfId="0">
      <alignment horizontal="center" vertical="bottom"/>
    </xf>
    <xf numFmtId="2" fontId="7" fillId="18" borderId="3" applyAlignment="1" pivotButton="0" quotePrefix="0" xfId="0">
      <alignment horizontal="center" vertical="bottom"/>
    </xf>
    <xf numFmtId="171" fontId="7" fillId="0" borderId="3" applyAlignment="1" pivotButton="0" quotePrefix="0" xfId="0">
      <alignment horizontal="center" vertical="center"/>
    </xf>
    <xf numFmtId="1" fontId="7" fillId="0" borderId="3" applyAlignment="1" pivotButton="0" quotePrefix="0" xfId="0">
      <alignment horizontal="center" vertical="center"/>
    </xf>
    <xf numFmtId="2" fontId="7" fillId="0" borderId="3" applyAlignment="1" pivotButton="0" quotePrefix="0" xfId="0">
      <alignment horizontal="center" vertical="center"/>
    </xf>
    <xf numFmtId="0" fontId="27" fillId="0" borderId="0" applyAlignment="1" pivotButton="0" quotePrefix="0" xfId="0">
      <alignment horizontal="general" vertical="bottom"/>
    </xf>
    <xf numFmtId="0" fontId="6" fillId="7" borderId="0" applyAlignment="1" pivotButton="0" quotePrefix="0" xfId="0">
      <alignment horizontal="center" vertical="center"/>
    </xf>
    <xf numFmtId="172" fontId="6" fillId="11" borderId="0" applyAlignment="1" pivotButton="0" quotePrefix="0" xfId="0">
      <alignment horizontal="center" vertical="center"/>
    </xf>
    <xf numFmtId="164" fontId="5" fillId="14" borderId="1" applyAlignment="1" pivotButton="0" quotePrefix="0" xfId="0">
      <alignment horizontal="left" vertical="center" wrapText="1" indent="1"/>
    </xf>
    <xf numFmtId="168" fontId="14" fillId="0" borderId="1" applyAlignment="1" pivotButton="0" quotePrefix="0" xfId="0">
      <alignment horizontal="center" vertical="center"/>
    </xf>
    <xf numFmtId="168" fontId="7" fillId="0" borderId="1" applyAlignment="1" pivotButton="0" quotePrefix="0" xfId="0">
      <alignment horizontal="center" vertical="center"/>
    </xf>
    <xf numFmtId="168" fontId="14" fillId="3" borderId="1" applyAlignment="1" pivotButton="0" quotePrefix="0" xfId="0">
      <alignment horizontal="center" vertical="center"/>
    </xf>
    <xf numFmtId="168" fontId="7" fillId="3" borderId="1" applyAlignment="1" pivotButton="0" quotePrefix="0" xfId="0">
      <alignment horizontal="center" vertical="center"/>
    </xf>
    <xf numFmtId="0" fontId="9" fillId="0" borderId="0" applyAlignment="1" pivotButton="0" quotePrefix="0" xfId="0">
      <alignment horizontal="right" vertical="center" indent="1"/>
    </xf>
    <xf numFmtId="2" fontId="29" fillId="14" borderId="1" applyAlignment="1" pivotButton="0" quotePrefix="0" xfId="0">
      <alignment horizontal="center" vertical="center"/>
    </xf>
    <xf numFmtId="2" fontId="7" fillId="0" borderId="0" applyAlignment="1" pivotButton="0" quotePrefix="0" xfId="0">
      <alignment horizontal="center" vertical="center"/>
    </xf>
    <xf numFmtId="2" fontId="7" fillId="0" borderId="1" applyAlignment="1" pivotButton="0" quotePrefix="0" xfId="0">
      <alignment horizontal="center" vertical="center"/>
    </xf>
    <xf numFmtId="49" fontId="7" fillId="0" borderId="1" applyAlignment="1" pivotButton="0" quotePrefix="0" xfId="0">
      <alignment horizontal="center" vertical="center"/>
    </xf>
    <xf numFmtId="2" fontId="7" fillId="3" borderId="1" applyAlignment="1" pivotButton="0" quotePrefix="0" xfId="0">
      <alignment horizontal="center" vertical="center"/>
    </xf>
    <xf numFmtId="0" fontId="11" fillId="3" borderId="0" applyAlignment="1" pivotButton="0" quotePrefix="0" xfId="0">
      <alignment horizontal="general" vertical="bottom"/>
    </xf>
    <xf numFmtId="49" fontId="7" fillId="3" borderId="1" applyAlignment="1" pivotButton="0" quotePrefix="0" xfId="0">
      <alignment horizontal="center" vertical="center"/>
    </xf>
    <xf numFmtId="0" fontId="30" fillId="3" borderId="0" applyAlignment="1" pivotButton="0" quotePrefix="0" xfId="0">
      <alignment horizontal="center" vertical="center" wrapText="1"/>
    </xf>
    <xf numFmtId="0" fontId="12" fillId="7" borderId="0" applyAlignment="1" pivotButton="0" quotePrefix="0" xfId="0">
      <alignment horizontal="center" vertical="center"/>
    </xf>
    <xf numFmtId="0" fontId="14" fillId="14" borderId="1" applyAlignment="1" pivotButton="0" quotePrefix="0" xfId="0">
      <alignment horizontal="center" vertical="center"/>
    </xf>
    <xf numFmtId="0" fontId="14" fillId="14" borderId="1" applyAlignment="1" pivotButton="0" quotePrefix="0" xfId="0">
      <alignment horizontal="left" vertical="center" wrapText="1" indent="1"/>
    </xf>
    <xf numFmtId="1" fontId="7" fillId="14" borderId="1" applyAlignment="1" pivotButton="0" quotePrefix="0" xfId="0">
      <alignment horizontal="center" vertical="center"/>
    </xf>
    <xf numFmtId="171" fontId="14" fillId="14" borderId="1" applyAlignment="1" pivotButton="0" quotePrefix="0" xfId="0">
      <alignment horizontal="center" vertical="center"/>
    </xf>
    <xf numFmtId="171" fontId="7" fillId="14" borderId="1" applyAlignment="1" pivotButton="0" quotePrefix="0" xfId="0">
      <alignment horizontal="center" vertical="center"/>
    </xf>
    <xf numFmtId="2" fontId="7" fillId="14" borderId="1" applyAlignment="1" pivotButton="0" quotePrefix="0" xfId="0">
      <alignment horizontal="center" vertical="center"/>
    </xf>
    <xf numFmtId="1" fontId="14" fillId="14" borderId="1" applyAlignment="1" pivotButton="0" quotePrefix="0" xfId="0">
      <alignment horizontal="center" vertical="center"/>
    </xf>
    <xf numFmtId="0" fontId="14" fillId="3" borderId="1" applyAlignment="1" pivotButton="0" quotePrefix="0" xfId="0">
      <alignment horizontal="left" vertical="center" wrapText="1" indent="1"/>
    </xf>
    <xf numFmtId="0" fontId="14" fillId="6" borderId="1" applyAlignment="1" pivotButton="0" quotePrefix="0" xfId="0">
      <alignment horizontal="center" vertical="center"/>
    </xf>
    <xf numFmtId="0" fontId="14" fillId="6" borderId="1" applyAlignment="1" pivotButton="0" quotePrefix="0" xfId="0">
      <alignment horizontal="left" vertical="center" wrapText="1" indent="1"/>
    </xf>
    <xf numFmtId="1" fontId="7" fillId="6" borderId="1" applyAlignment="1" pivotButton="0" quotePrefix="0" xfId="0">
      <alignment horizontal="center" vertical="center"/>
    </xf>
    <xf numFmtId="171" fontId="14" fillId="6" borderId="1" applyAlignment="1" pivotButton="0" quotePrefix="0" xfId="0">
      <alignment horizontal="center" vertical="center"/>
    </xf>
    <xf numFmtId="171" fontId="7" fillId="6" borderId="1" applyAlignment="1" pivotButton="0" quotePrefix="0" xfId="0">
      <alignment horizontal="center" vertical="center"/>
    </xf>
    <xf numFmtId="2" fontId="7" fillId="6" borderId="1" applyAlignment="1" pivotButton="0" quotePrefix="0" xfId="0">
      <alignment horizontal="center" vertical="center"/>
    </xf>
    <xf numFmtId="1" fontId="14" fillId="6" borderId="1" applyAlignment="1" pivotButton="0" quotePrefix="0" xfId="0">
      <alignment horizontal="center" vertical="center"/>
    </xf>
    <xf numFmtId="0" fontId="12" fillId="8" borderId="0" applyAlignment="1" pivotButton="0" quotePrefix="0" xfId="0">
      <alignment horizontal="center" vertical="center"/>
    </xf>
    <xf numFmtId="0" fontId="12" fillId="2" borderId="0" applyAlignment="1" pivotButton="0" quotePrefix="0" xfId="0">
      <alignment horizontal="center" vertical="center"/>
    </xf>
    <xf numFmtId="0" fontId="30" fillId="3" borderId="0" applyAlignment="1" pivotButton="0" quotePrefix="0" xfId="0">
      <alignment horizontal="left" vertical="top" wrapText="1" indent="1"/>
    </xf>
    <xf numFmtId="168" fontId="14" fillId="14" borderId="1" applyAlignment="1" pivotButton="0" quotePrefix="0" xfId="0">
      <alignment horizontal="center" vertical="center"/>
    </xf>
    <xf numFmtId="168" fontId="14" fillId="6" borderId="1" applyAlignment="1" pivotButton="0" quotePrefix="0" xfId="0">
      <alignment horizontal="center" vertical="center"/>
    </xf>
    <xf numFmtId="0" fontId="14" fillId="19" borderId="1" applyAlignment="1" pivotButton="0" quotePrefix="0" xfId="0">
      <alignment horizontal="center" vertical="center"/>
    </xf>
    <xf numFmtId="1" fontId="14" fillId="19" borderId="1" applyAlignment="1" pivotButton="0" quotePrefix="0" xfId="0">
      <alignment horizontal="center" vertical="center"/>
    </xf>
    <xf numFmtId="168" fontId="14" fillId="19" borderId="1" applyAlignment="1" pivotButton="0" quotePrefix="0" xfId="0">
      <alignment horizontal="center" vertical="center"/>
    </xf>
    <xf numFmtId="0" fontId="14" fillId="19" borderId="1" applyAlignment="1" pivotButton="0" quotePrefix="0" xfId="0">
      <alignment horizontal="left" vertical="center" wrapText="1" indent="1"/>
    </xf>
    <xf numFmtId="0" fontId="13" fillId="2" borderId="0" applyAlignment="1" pivotButton="0" quotePrefix="0" xfId="0">
      <alignment horizontal="center" vertical="center" wrapText="1"/>
    </xf>
    <xf numFmtId="0" fontId="13" fillId="8" borderId="0" applyAlignment="1" pivotButton="0" quotePrefix="0" xfId="0">
      <alignment horizontal="center" vertical="center" wrapText="1"/>
    </xf>
    <xf numFmtId="0" fontId="13" fillId="20" borderId="0" applyAlignment="1" pivotButton="0" quotePrefix="0" xfId="0">
      <alignment horizontal="center" vertical="center" wrapText="1"/>
    </xf>
    <xf numFmtId="0" fontId="13" fillId="2" borderId="0" applyAlignment="1" pivotButton="0" quotePrefix="0" xfId="0">
      <alignment horizontal="center" vertical="center" wrapText="1"/>
    </xf>
    <xf numFmtId="1" fontId="14" fillId="16" borderId="1" applyAlignment="1" pivotButton="0" quotePrefix="0" xfId="0">
      <alignment horizontal="center" vertical="center"/>
    </xf>
    <xf numFmtId="171" fontId="14" fillId="16" borderId="1" applyAlignment="1" pivotButton="0" quotePrefix="0" xfId="0">
      <alignment horizontal="center" vertical="center"/>
    </xf>
    <xf numFmtId="2" fontId="14" fillId="16" borderId="1" applyAlignment="1" pivotButton="0" quotePrefix="0" xfId="0">
      <alignment horizontal="center" vertical="center"/>
    </xf>
    <xf numFmtId="0" fontId="9" fillId="6" borderId="1" applyAlignment="1" pivotButton="0" quotePrefix="0" xfId="0">
      <alignment horizontal="right" vertical="center" indent="1"/>
    </xf>
    <xf numFmtId="0" fontId="5" fillId="6" borderId="1" applyAlignment="1" pivotButton="0" quotePrefix="0" xfId="0">
      <alignment horizontal="left" vertical="center" indent="1"/>
    </xf>
    <xf numFmtId="0" fontId="0" fillId="6" borderId="1" applyAlignment="1" pivotButton="0" quotePrefix="0" xfId="0">
      <alignment horizontal="general" vertical="bottom"/>
    </xf>
    <xf numFmtId="0" fontId="9" fillId="14" borderId="1" applyAlignment="1" pivotButton="0" quotePrefix="0" xfId="0">
      <alignment horizontal="right" vertical="center" indent="1"/>
    </xf>
    <xf numFmtId="0" fontId="0" fillId="14" borderId="1" applyAlignment="1" pivotButton="0" quotePrefix="0" xfId="0">
      <alignment horizontal="general" vertical="bottom"/>
    </xf>
    <xf numFmtId="1" fontId="14" fillId="14" borderId="1" applyAlignment="1" pivotButton="0" quotePrefix="0" xfId="0">
      <alignment horizontal="left" vertical="center" wrapText="1" indent="1"/>
    </xf>
    <xf numFmtId="2" fontId="14" fillId="14" borderId="1" applyAlignment="1" pivotButton="0" quotePrefix="0" xfId="0">
      <alignment horizontal="left" vertical="center" wrapText="1" indent="1"/>
    </xf>
    <xf numFmtId="0" fontId="5" fillId="0" borderId="1" applyAlignment="1" pivotButton="0" quotePrefix="0" xfId="0">
      <alignment horizontal="left" vertical="center" wrapText="1" indent="1"/>
    </xf>
    <xf numFmtId="0" fontId="5" fillId="3" borderId="1" applyAlignment="1" pivotButton="0" quotePrefix="0" xfId="0">
      <alignment horizontal="left" vertical="center" wrapText="1" indent="1"/>
    </xf>
    <xf numFmtId="0" fontId="0" fillId="0" borderId="0" applyAlignment="1" pivotButton="0" quotePrefix="0" xfId="0">
      <alignment horizontal="general" vertical="bottom"/>
    </xf>
    <xf numFmtId="0" fontId="0" fillId="0" borderId="0" pivotButton="0" quotePrefix="0" xfId="0"/>
    <xf numFmtId="0" fontId="4" fillId="2" borderId="0" applyAlignment="1" pivotButton="0" quotePrefix="0" xfId="0">
      <alignment horizontal="center" vertical="center" wrapText="1"/>
    </xf>
    <xf numFmtId="0" fontId="5" fillId="3" borderId="0" applyAlignment="1" pivotButton="0" quotePrefix="0" xfId="0">
      <alignment horizontal="left" vertical="top" wrapText="1" indent="1"/>
    </xf>
    <xf numFmtId="0" fontId="6" fillId="4" borderId="0" applyAlignment="1" pivotButton="0" quotePrefix="0" xfId="0">
      <alignment horizontal="center" vertical="center" wrapText="1"/>
    </xf>
    <xf numFmtId="0" fontId="7" fillId="5" borderId="0" applyAlignment="1" pivotButton="0" quotePrefix="0" xfId="0">
      <alignment horizontal="left" vertical="top" wrapText="1" indent="1"/>
    </xf>
    <xf numFmtId="0" fontId="6" fillId="2" borderId="0" applyAlignment="1" pivotButton="0" quotePrefix="0" xfId="0">
      <alignment horizontal="center" vertical="center" wrapText="1"/>
    </xf>
    <xf numFmtId="0" fontId="8" fillId="6" borderId="0" applyAlignment="1" pivotButton="0" quotePrefix="0" xfId="0">
      <alignment horizontal="left" vertical="top" wrapText="1" indent="1"/>
    </xf>
    <xf numFmtId="0" fontId="9" fillId="3" borderId="0" applyAlignment="1" pivotButton="0" quotePrefix="0" xfId="0">
      <alignment horizontal="center" vertical="center" wrapText="1"/>
    </xf>
    <xf numFmtId="0" fontId="5" fillId="0" borderId="0" applyAlignment="1" pivotButton="0" quotePrefix="0" xfId="0">
      <alignment horizontal="left" vertical="top" wrapText="1" indent="1"/>
    </xf>
    <xf numFmtId="0" fontId="6" fillId="7" borderId="0" applyAlignment="1" pivotButton="0" quotePrefix="0" xfId="0">
      <alignment horizontal="center" vertical="center" wrapText="1"/>
    </xf>
    <xf numFmtId="0" fontId="6" fillId="8" borderId="0" applyAlignment="1" pivotButton="0" quotePrefix="0" xfId="0">
      <alignment horizontal="center" vertical="center" wrapText="1"/>
    </xf>
    <xf numFmtId="0" fontId="6" fillId="9" borderId="0" applyAlignment="1" pivotButton="0" quotePrefix="0" xfId="0">
      <alignment horizontal="center" vertical="center" wrapText="1"/>
    </xf>
    <xf numFmtId="0" fontId="6" fillId="10" borderId="0" applyAlignment="1" pivotButton="0" quotePrefix="0" xfId="0">
      <alignment horizontal="center" vertical="center" wrapText="1"/>
    </xf>
    <xf numFmtId="0" fontId="10" fillId="2" borderId="0" applyAlignment="1" pivotButton="0" quotePrefix="0" xfId="0">
      <alignment horizontal="center" vertical="center"/>
    </xf>
    <xf numFmtId="0" fontId="11" fillId="0" borderId="0" applyAlignment="1" pivotButton="0" quotePrefix="0" xfId="0">
      <alignment horizontal="general" vertical="bottom"/>
    </xf>
    <xf numFmtId="0" fontId="6" fillId="11" borderId="0" applyAlignment="1" pivotButton="0" quotePrefix="0" xfId="0">
      <alignment horizontal="center" vertical="center"/>
    </xf>
    <xf numFmtId="164" fontId="6" fillId="11" borderId="0" applyAlignment="1" pivotButton="0" quotePrefix="0" xfId="0">
      <alignment horizontal="center" vertical="center"/>
    </xf>
    <xf numFmtId="165" fontId="6" fillId="11" borderId="0" applyAlignment="1" pivotButton="0" quotePrefix="0" xfId="0">
      <alignment horizontal="center" vertical="center"/>
    </xf>
    <xf numFmtId="166" fontId="6" fillId="11" borderId="0" applyAlignment="1" pivotButton="0" quotePrefix="0" xfId="0">
      <alignment horizontal="center" vertical="center"/>
    </xf>
    <xf numFmtId="167" fontId="6" fillId="11" borderId="0" applyAlignment="1" pivotButton="0" quotePrefix="0" xfId="0">
      <alignment horizontal="center" vertical="center"/>
    </xf>
    <xf numFmtId="0" fontId="0" fillId="0" borderId="0" applyAlignment="1" pivotButton="0" quotePrefix="0" xfId="0">
      <alignment horizontal="left" vertical="center" indent="1"/>
    </xf>
    <xf numFmtId="0" fontId="12" fillId="2" borderId="0" applyAlignment="1" pivotButton="0" quotePrefix="0" xfId="0">
      <alignment horizontal="center" vertical="center" wrapText="1"/>
    </xf>
    <xf numFmtId="0" fontId="9" fillId="12" borderId="1" applyAlignment="1" pivotButton="0" quotePrefix="0" xfId="0">
      <alignment horizontal="right" vertical="center" indent="1"/>
    </xf>
    <xf numFmtId="0" fontId="5" fillId="6" borderId="1" applyAlignment="1" pivotButton="0" quotePrefix="0" xfId="0">
      <alignment horizontal="left" vertical="center" wrapText="1" indent="1"/>
    </xf>
    <xf numFmtId="0" fontId="0" fillId="0" borderId="6" pivotButton="0" quotePrefix="0" xfId="0"/>
    <xf numFmtId="0" fontId="0" fillId="0" borderId="7" pivotButton="0" quotePrefix="0" xfId="0"/>
    <xf numFmtId="0" fontId="12" fillId="7" borderId="0" applyAlignment="1" pivotButton="0" quotePrefix="0" xfId="0">
      <alignment horizontal="center" vertical="center" wrapText="1"/>
    </xf>
    <xf numFmtId="0" fontId="9" fillId="13" borderId="1" applyAlignment="1" pivotButton="0" quotePrefix="0" xfId="0">
      <alignment horizontal="right" vertical="center" indent="1"/>
    </xf>
    <xf numFmtId="0" fontId="5" fillId="14" borderId="1" applyAlignment="1" pivotButton="0" quotePrefix="0" xfId="0">
      <alignment horizontal="left" vertical="center" wrapText="1" indent="1"/>
    </xf>
    <xf numFmtId="168" fontId="5" fillId="14" borderId="1" applyAlignment="1" pivotButton="0" quotePrefix="0" xfId="0">
      <alignment horizontal="left" vertical="center" wrapText="1" indent="1"/>
    </xf>
    <xf numFmtId="169" fontId="5" fillId="14" borderId="1" applyAlignment="1" pivotButton="0" quotePrefix="0" xfId="0">
      <alignment horizontal="left" vertical="center" wrapText="1" indent="1"/>
    </xf>
    <xf numFmtId="170" fontId="5" fillId="14" borderId="1" applyAlignment="1" pivotButton="0" quotePrefix="0" xfId="0">
      <alignment horizontal="left" vertical="center" wrapText="1" indent="1"/>
    </xf>
    <xf numFmtId="0" fontId="9" fillId="15" borderId="1" applyAlignment="1" pivotButton="0" quotePrefix="0" xfId="0">
      <alignment horizontal="right" vertical="center" indent="1"/>
    </xf>
    <xf numFmtId="0" fontId="5" fillId="16" borderId="1" applyAlignment="1" pivotButton="0" quotePrefix="0" xfId="0">
      <alignment horizontal="left" vertical="center" wrapText="1" indent="1"/>
    </xf>
    <xf numFmtId="1" fontId="5" fillId="16" borderId="1" applyAlignment="1" pivotButton="0" quotePrefix="0" xfId="0">
      <alignment horizontal="left" vertical="center" wrapText="1" indent="1"/>
    </xf>
    <xf numFmtId="0" fontId="13" fillId="7" borderId="1" applyAlignment="1" pivotButton="0" quotePrefix="0" xfId="0">
      <alignment horizontal="center" vertical="center" wrapText="1"/>
    </xf>
    <xf numFmtId="0" fontId="14" fillId="0" borderId="1" applyAlignment="1" pivotButton="0" quotePrefix="0" xfId="0">
      <alignment horizontal="center" vertical="center"/>
    </xf>
    <xf numFmtId="171" fontId="14" fillId="0" borderId="1" applyAlignment="1" pivotButton="0" quotePrefix="0" xfId="0">
      <alignment horizontal="center" vertical="center"/>
    </xf>
    <xf numFmtId="1" fontId="14" fillId="0" borderId="1" applyAlignment="1" pivotButton="0" quotePrefix="0" xfId="0">
      <alignment horizontal="center" vertical="center"/>
    </xf>
    <xf numFmtId="1" fontId="7" fillId="0" borderId="1" applyAlignment="1" pivotButton="0" quotePrefix="0" xfId="0">
      <alignment horizontal="center" vertical="center"/>
    </xf>
    <xf numFmtId="171" fontId="7" fillId="0" borderId="1" applyAlignment="1" pivotButton="0" quotePrefix="0" xfId="0">
      <alignment horizontal="center" vertical="center"/>
    </xf>
    <xf numFmtId="2" fontId="14" fillId="0" borderId="1" applyAlignment="1" pivotButton="0" quotePrefix="0" xfId="0">
      <alignment horizontal="center" vertical="center"/>
    </xf>
    <xf numFmtId="0" fontId="5" fillId="0" borderId="1" applyAlignment="1" pivotButton="0" quotePrefix="0" xfId="0">
      <alignment horizontal="left" vertical="center" indent="1"/>
    </xf>
    <xf numFmtId="0" fontId="14" fillId="3" borderId="1" applyAlignment="1" pivotButton="0" quotePrefix="0" xfId="0">
      <alignment horizontal="center" vertical="center"/>
    </xf>
    <xf numFmtId="171" fontId="14" fillId="3" borderId="1" applyAlignment="1" pivotButton="0" quotePrefix="0" xfId="0">
      <alignment horizontal="center" vertical="center"/>
    </xf>
    <xf numFmtId="1" fontId="14" fillId="3" borderId="1" applyAlignment="1" pivotButton="0" quotePrefix="0" xfId="0">
      <alignment horizontal="center" vertical="center"/>
    </xf>
    <xf numFmtId="1" fontId="7" fillId="3" borderId="1" applyAlignment="1" pivotButton="0" quotePrefix="0" xfId="0">
      <alignment horizontal="center" vertical="center"/>
    </xf>
    <xf numFmtId="171" fontId="7" fillId="3" borderId="1" applyAlignment="1" pivotButton="0" quotePrefix="0" xfId="0">
      <alignment horizontal="center" vertical="center"/>
    </xf>
    <xf numFmtId="2" fontId="14" fillId="3" borderId="1" applyAlignment="1" pivotButton="0" quotePrefix="0" xfId="0">
      <alignment horizontal="center" vertical="center"/>
    </xf>
    <xf numFmtId="0" fontId="5" fillId="3" borderId="1" applyAlignment="1" pivotButton="0" quotePrefix="0" xfId="0">
      <alignment horizontal="left" vertical="center" indent="1"/>
    </xf>
    <xf numFmtId="0" fontId="6" fillId="2" borderId="0" applyAlignment="1" pivotButton="0" quotePrefix="0" xfId="0">
      <alignment horizontal="center" vertical="center"/>
    </xf>
    <xf numFmtId="0" fontId="18" fillId="2" borderId="0" applyAlignment="1" pivotButton="0" quotePrefix="0" xfId="0">
      <alignment horizontal="center" vertical="center"/>
    </xf>
    <xf numFmtId="0" fontId="19" fillId="0" borderId="0" applyAlignment="1" pivotButton="0" quotePrefix="0" xfId="0">
      <alignment horizontal="right" vertical="center" shrinkToFit="1"/>
    </xf>
    <xf numFmtId="164" fontId="20" fillId="17" borderId="2" applyAlignment="1" pivotButton="0" quotePrefix="0" xfId="0">
      <alignment horizontal="center" vertical="center" shrinkToFit="1"/>
    </xf>
    <xf numFmtId="0" fontId="0" fillId="0" borderId="8" pivotButton="0" quotePrefix="0" xfId="0"/>
    <xf numFmtId="0" fontId="21" fillId="0" borderId="0" applyAlignment="1" pivotButton="0" quotePrefix="0" xfId="0">
      <alignment horizontal="right" vertical="center" shrinkToFit="1"/>
    </xf>
    <xf numFmtId="168" fontId="7" fillId="0" borderId="3" applyAlignment="1" pivotButton="0" quotePrefix="0" xfId="0">
      <alignment horizontal="center" vertical="center" shrinkToFit="1"/>
    </xf>
    <xf numFmtId="171" fontId="7" fillId="0" borderId="3" applyAlignment="1" pivotButton="0" quotePrefix="0" xfId="0">
      <alignment horizontal="center" vertical="center" shrinkToFit="1"/>
    </xf>
    <xf numFmtId="0" fontId="0" fillId="0" borderId="9" pivotButton="0" quotePrefix="0" xfId="0"/>
    <xf numFmtId="1" fontId="7" fillId="0" borderId="3" applyAlignment="1" pivotButton="0" quotePrefix="0" xfId="0">
      <alignment horizontal="center" vertical="center" shrinkToFit="1"/>
    </xf>
    <xf numFmtId="2" fontId="7" fillId="0" borderId="3" applyAlignment="1" pivotButton="0" quotePrefix="0" xfId="0">
      <alignment horizontal="center" vertical="center" shrinkToFit="1"/>
    </xf>
    <xf numFmtId="0" fontId="7" fillId="0" borderId="3" applyAlignment="1" pivotButton="0" quotePrefix="0" xfId="0">
      <alignment horizontal="center" vertical="center" shrinkToFit="1"/>
    </xf>
    <xf numFmtId="0" fontId="22" fillId="0" borderId="0" applyAlignment="1" pivotButton="0" quotePrefix="0" xfId="0">
      <alignment horizontal="left" vertical="center" wrapText="1"/>
    </xf>
    <xf numFmtId="0" fontId="23" fillId="0" borderId="0" applyAlignment="1" pivotButton="0" quotePrefix="0" xfId="0">
      <alignment horizontal="left" vertical="center" wrapText="1"/>
    </xf>
    <xf numFmtId="0" fontId="21" fillId="0" borderId="0" applyAlignment="1" pivotButton="0" quotePrefix="0" xfId="0">
      <alignment horizontal="general" vertical="bottom"/>
    </xf>
    <xf numFmtId="0" fontId="21" fillId="0" borderId="0" applyAlignment="1" pivotButton="0" quotePrefix="0" xfId="0">
      <alignment horizontal="right" vertical="bottom"/>
    </xf>
    <xf numFmtId="2" fontId="24" fillId="17" borderId="3" applyAlignment="1" pivotButton="0" quotePrefix="0" xfId="0">
      <alignment horizontal="center" vertical="bottom"/>
    </xf>
    <xf numFmtId="171" fontId="24" fillId="17" borderId="3" applyAlignment="1" pivotButton="0" quotePrefix="0" xfId="0">
      <alignment horizontal="center" vertical="bottom"/>
    </xf>
    <xf numFmtId="0" fontId="25" fillId="0" borderId="0" applyAlignment="1" pivotButton="0" quotePrefix="0" xfId="0">
      <alignment horizontal="general" vertical="bottom"/>
    </xf>
    <xf numFmtId="0" fontId="26" fillId="7" borderId="3" applyAlignment="1" pivotButton="0" quotePrefix="0" xfId="0">
      <alignment horizontal="center" vertical="center" wrapText="1"/>
    </xf>
    <xf numFmtId="171" fontId="7" fillId="0" borderId="3" applyAlignment="1" pivotButton="0" quotePrefix="0" xfId="0">
      <alignment horizontal="center" vertical="bottom"/>
    </xf>
    <xf numFmtId="1" fontId="7" fillId="0" borderId="3" applyAlignment="1" pivotButton="0" quotePrefix="0" xfId="0">
      <alignment horizontal="center" vertical="bottom"/>
    </xf>
    <xf numFmtId="2" fontId="7" fillId="0" borderId="3" applyAlignment="1" pivotButton="0" quotePrefix="0" xfId="0">
      <alignment horizontal="center" vertical="bottom"/>
    </xf>
    <xf numFmtId="168" fontId="7" fillId="0" borderId="3" applyAlignment="1" pivotButton="0" quotePrefix="0" xfId="0">
      <alignment horizontal="center" vertical="bottom"/>
    </xf>
    <xf numFmtId="171" fontId="7" fillId="18" borderId="3" applyAlignment="1" pivotButton="0" quotePrefix="0" xfId="0">
      <alignment horizontal="center" vertical="bottom"/>
    </xf>
    <xf numFmtId="1" fontId="7" fillId="18" borderId="3" applyAlignment="1" pivotButton="0" quotePrefix="0" xfId="0">
      <alignment horizontal="center" vertical="bottom"/>
    </xf>
    <xf numFmtId="2" fontId="7" fillId="18" borderId="3" applyAlignment="1" pivotButton="0" quotePrefix="0" xfId="0">
      <alignment horizontal="center" vertical="bottom"/>
    </xf>
    <xf numFmtId="171" fontId="7" fillId="0" borderId="3" applyAlignment="1" pivotButton="0" quotePrefix="0" xfId="0">
      <alignment horizontal="center" vertical="center"/>
    </xf>
    <xf numFmtId="1" fontId="7" fillId="0" borderId="3" applyAlignment="1" pivotButton="0" quotePrefix="0" xfId="0">
      <alignment horizontal="center" vertical="center"/>
    </xf>
    <xf numFmtId="2" fontId="7" fillId="0" borderId="3" applyAlignment="1" pivotButton="0" quotePrefix="0" xfId="0">
      <alignment horizontal="center" vertical="center"/>
    </xf>
    <xf numFmtId="0" fontId="27" fillId="0" borderId="0" applyAlignment="1" pivotButton="0" quotePrefix="0" xfId="0">
      <alignment horizontal="general" vertical="bottom"/>
    </xf>
    <xf numFmtId="0" fontId="6" fillId="7" borderId="0" applyAlignment="1" pivotButton="0" quotePrefix="0" xfId="0">
      <alignment horizontal="center" vertical="center"/>
    </xf>
    <xf numFmtId="172" fontId="6" fillId="11" borderId="0" applyAlignment="1" pivotButton="0" quotePrefix="0" xfId="0">
      <alignment horizontal="center" vertical="center"/>
    </xf>
    <xf numFmtId="164" fontId="5" fillId="14" borderId="1" applyAlignment="1" pivotButton="0" quotePrefix="0" xfId="0">
      <alignment horizontal="left" vertical="center" wrapText="1" indent="1"/>
    </xf>
    <xf numFmtId="168" fontId="14" fillId="0" borderId="1" applyAlignment="1" pivotButton="0" quotePrefix="0" xfId="0">
      <alignment horizontal="center" vertical="center"/>
    </xf>
    <xf numFmtId="168" fontId="7" fillId="0" borderId="1" applyAlignment="1" pivotButton="0" quotePrefix="0" xfId="0">
      <alignment horizontal="center" vertical="center"/>
    </xf>
    <xf numFmtId="168" fontId="14" fillId="3" borderId="1" applyAlignment="1" pivotButton="0" quotePrefix="0" xfId="0">
      <alignment horizontal="center" vertical="center"/>
    </xf>
    <xf numFmtId="168" fontId="7" fillId="3" borderId="1" applyAlignment="1" pivotButton="0" quotePrefix="0" xfId="0">
      <alignment horizontal="center" vertical="center"/>
    </xf>
    <xf numFmtId="0" fontId="9" fillId="0" borderId="0" applyAlignment="1" pivotButton="0" quotePrefix="0" xfId="0">
      <alignment horizontal="right" vertical="center" indent="1"/>
    </xf>
    <xf numFmtId="2" fontId="29" fillId="14" borderId="1" applyAlignment="1" pivotButton="0" quotePrefix="0" xfId="0">
      <alignment horizontal="center" vertical="center"/>
    </xf>
    <xf numFmtId="2" fontId="7" fillId="0" borderId="0" applyAlignment="1" pivotButton="0" quotePrefix="0" xfId="0">
      <alignment horizontal="center" vertical="center"/>
    </xf>
    <xf numFmtId="2" fontId="7" fillId="0" borderId="1" applyAlignment="1" pivotButton="0" quotePrefix="0" xfId="0">
      <alignment horizontal="center" vertical="center"/>
    </xf>
    <xf numFmtId="49" fontId="7" fillId="0" borderId="1" applyAlignment="1" pivotButton="0" quotePrefix="0" xfId="0">
      <alignment horizontal="center" vertical="center"/>
    </xf>
    <xf numFmtId="2" fontId="7" fillId="3" borderId="1" applyAlignment="1" pivotButton="0" quotePrefix="0" xfId="0">
      <alignment horizontal="center" vertical="center"/>
    </xf>
    <xf numFmtId="0" fontId="11" fillId="3" borderId="0" applyAlignment="1" pivotButton="0" quotePrefix="0" xfId="0">
      <alignment horizontal="general" vertical="bottom"/>
    </xf>
    <xf numFmtId="49" fontId="7" fillId="3" borderId="1" applyAlignment="1" pivotButton="0" quotePrefix="0" xfId="0">
      <alignment horizontal="center" vertical="center"/>
    </xf>
    <xf numFmtId="0" fontId="30" fillId="3" borderId="0" applyAlignment="1" pivotButton="0" quotePrefix="0" xfId="0">
      <alignment horizontal="center" vertical="center" wrapText="1"/>
    </xf>
    <xf numFmtId="0" fontId="12" fillId="7" borderId="0" applyAlignment="1" pivotButton="0" quotePrefix="0" xfId="0">
      <alignment horizontal="center" vertical="center"/>
    </xf>
    <xf numFmtId="0" fontId="14" fillId="14" borderId="1" applyAlignment="1" pivotButton="0" quotePrefix="0" xfId="0">
      <alignment horizontal="center" vertical="center"/>
    </xf>
    <xf numFmtId="0" fontId="14" fillId="14" borderId="1" applyAlignment="1" pivotButton="0" quotePrefix="0" xfId="0">
      <alignment horizontal="left" vertical="center" wrapText="1" indent="1"/>
    </xf>
    <xf numFmtId="1" fontId="7" fillId="14" borderId="1" applyAlignment="1" pivotButton="0" quotePrefix="0" xfId="0">
      <alignment horizontal="center" vertical="center"/>
    </xf>
    <xf numFmtId="171" fontId="14" fillId="14" borderId="1" applyAlignment="1" pivotButton="0" quotePrefix="0" xfId="0">
      <alignment horizontal="center" vertical="center"/>
    </xf>
    <xf numFmtId="171" fontId="7" fillId="14" borderId="1" applyAlignment="1" pivotButton="0" quotePrefix="0" xfId="0">
      <alignment horizontal="center" vertical="center"/>
    </xf>
    <xf numFmtId="2" fontId="7" fillId="14" borderId="1" applyAlignment="1" pivotButton="0" quotePrefix="0" xfId="0">
      <alignment horizontal="center" vertical="center"/>
    </xf>
    <xf numFmtId="1" fontId="14" fillId="14" borderId="1" applyAlignment="1" pivotButton="0" quotePrefix="0" xfId="0">
      <alignment horizontal="center" vertical="center"/>
    </xf>
    <xf numFmtId="0" fontId="14" fillId="3" borderId="1" applyAlignment="1" pivotButton="0" quotePrefix="0" xfId="0">
      <alignment horizontal="left" vertical="center" wrapText="1" indent="1"/>
    </xf>
    <xf numFmtId="0" fontId="14" fillId="6" borderId="1" applyAlignment="1" pivotButton="0" quotePrefix="0" xfId="0">
      <alignment horizontal="center" vertical="center"/>
    </xf>
    <xf numFmtId="0" fontId="14" fillId="6" borderId="1" applyAlignment="1" pivotButton="0" quotePrefix="0" xfId="0">
      <alignment horizontal="left" vertical="center" wrapText="1" indent="1"/>
    </xf>
    <xf numFmtId="1" fontId="7" fillId="6" borderId="1" applyAlignment="1" pivotButton="0" quotePrefix="0" xfId="0">
      <alignment horizontal="center" vertical="center"/>
    </xf>
    <xf numFmtId="171" fontId="14" fillId="6" borderId="1" applyAlignment="1" pivotButton="0" quotePrefix="0" xfId="0">
      <alignment horizontal="center" vertical="center"/>
    </xf>
    <xf numFmtId="171" fontId="7" fillId="6" borderId="1" applyAlignment="1" pivotButton="0" quotePrefix="0" xfId="0">
      <alignment horizontal="center" vertical="center"/>
    </xf>
    <xf numFmtId="2" fontId="7" fillId="6" borderId="1" applyAlignment="1" pivotButton="0" quotePrefix="0" xfId="0">
      <alignment horizontal="center" vertical="center"/>
    </xf>
    <xf numFmtId="1" fontId="14" fillId="6" borderId="1" applyAlignment="1" pivotButton="0" quotePrefix="0" xfId="0">
      <alignment horizontal="center" vertical="center"/>
    </xf>
    <xf numFmtId="0" fontId="12" fillId="8" borderId="0" applyAlignment="1" pivotButton="0" quotePrefix="0" xfId="0">
      <alignment horizontal="center" vertical="center"/>
    </xf>
    <xf numFmtId="0" fontId="12" fillId="2" borderId="0" applyAlignment="1" pivotButton="0" quotePrefix="0" xfId="0">
      <alignment horizontal="center" vertical="center"/>
    </xf>
    <xf numFmtId="0" fontId="30" fillId="3" borderId="0" applyAlignment="1" pivotButton="0" quotePrefix="0" xfId="0">
      <alignment horizontal="left" vertical="top" wrapText="1" indent="1"/>
    </xf>
    <xf numFmtId="168" fontId="14" fillId="14" borderId="1" applyAlignment="1" pivotButton="0" quotePrefix="0" xfId="0">
      <alignment horizontal="center" vertical="center"/>
    </xf>
    <xf numFmtId="168" fontId="14" fillId="6" borderId="1" applyAlignment="1" pivotButton="0" quotePrefix="0" xfId="0">
      <alignment horizontal="center" vertical="center"/>
    </xf>
    <xf numFmtId="0" fontId="14" fillId="19" borderId="1" applyAlignment="1" pivotButton="0" quotePrefix="0" xfId="0">
      <alignment horizontal="center" vertical="center"/>
    </xf>
    <xf numFmtId="1" fontId="14" fillId="19" borderId="1" applyAlignment="1" pivotButton="0" quotePrefix="0" xfId="0">
      <alignment horizontal="center" vertical="center"/>
    </xf>
    <xf numFmtId="168" fontId="14" fillId="19" borderId="1" applyAlignment="1" pivotButton="0" quotePrefix="0" xfId="0">
      <alignment horizontal="center" vertical="center"/>
    </xf>
    <xf numFmtId="0" fontId="14" fillId="19" borderId="1" applyAlignment="1" pivotButton="0" quotePrefix="0" xfId="0">
      <alignment horizontal="left" vertical="center" wrapText="1" indent="1"/>
    </xf>
    <xf numFmtId="0" fontId="13" fillId="2" borderId="0" applyAlignment="1" pivotButton="0" quotePrefix="0" xfId="0">
      <alignment horizontal="center" vertical="center" wrapText="1"/>
    </xf>
    <xf numFmtId="0" fontId="13" fillId="8" borderId="0" applyAlignment="1" pivotButton="0" quotePrefix="0" xfId="0">
      <alignment horizontal="center" vertical="center" wrapText="1"/>
    </xf>
    <xf numFmtId="0" fontId="13" fillId="20" borderId="0" applyAlignment="1" pivotButton="0" quotePrefix="0" xfId="0">
      <alignment horizontal="center" vertical="center" wrapText="1"/>
    </xf>
    <xf numFmtId="1" fontId="14" fillId="16" borderId="1" applyAlignment="1" pivotButton="0" quotePrefix="0" xfId="0">
      <alignment horizontal="center" vertical="center"/>
    </xf>
    <xf numFmtId="171" fontId="14" fillId="16" borderId="1" applyAlignment="1" pivotButton="0" quotePrefix="0" xfId="0">
      <alignment horizontal="center" vertical="center"/>
    </xf>
    <xf numFmtId="2" fontId="14" fillId="16" borderId="1" applyAlignment="1" pivotButton="0" quotePrefix="0" xfId="0">
      <alignment horizontal="center" vertical="center"/>
    </xf>
    <xf numFmtId="0" fontId="9" fillId="6" borderId="1" applyAlignment="1" pivotButton="0" quotePrefix="0" xfId="0">
      <alignment horizontal="right" vertical="center" indent="1"/>
    </xf>
    <xf numFmtId="0" fontId="5" fillId="6" borderId="1" applyAlignment="1" pivotButton="0" quotePrefix="0" xfId="0">
      <alignment horizontal="left" vertical="center" indent="1"/>
    </xf>
    <xf numFmtId="0" fontId="0" fillId="6" borderId="1" applyAlignment="1" pivotButton="0" quotePrefix="0" xfId="0">
      <alignment horizontal="general" vertical="bottom"/>
    </xf>
    <xf numFmtId="0" fontId="9" fillId="14" borderId="1" applyAlignment="1" pivotButton="0" quotePrefix="0" xfId="0">
      <alignment horizontal="right" vertical="center" indent="1"/>
    </xf>
    <xf numFmtId="0" fontId="0" fillId="14" borderId="1" applyAlignment="1" pivotButton="0" quotePrefix="0" xfId="0">
      <alignment horizontal="general" vertical="bottom"/>
    </xf>
    <xf numFmtId="1" fontId="14" fillId="14" borderId="1" applyAlignment="1" pivotButton="0" quotePrefix="0" xfId="0">
      <alignment horizontal="left" vertical="center" wrapText="1" indent="1"/>
    </xf>
    <xf numFmtId="2" fontId="14" fillId="14" borderId="1" applyAlignment="1" pivotButton="0" quotePrefix="0" xfId="0">
      <alignment horizontal="left" vertical="center" wrapText="1" indent="1"/>
    </xf>
    <xf numFmtId="0" fontId="5" fillId="0" borderId="1" applyAlignment="1" pivotButton="0" quotePrefix="0" xfId="0">
      <alignment horizontal="left" vertical="center" wrapText="1" indent="1"/>
    </xf>
    <xf numFmtId="0" fontId="5" fillId="3" borderId="1" applyAlignment="1" pivotButton="0" quotePrefix="0" xfId="0">
      <alignment horizontal="left" vertical="center" wrapText="1" indent="1"/>
    </xf>
    <xf numFmtId="0" fontId="31" fillId="21" borderId="0" applyAlignment="1" pivotButton="0" quotePrefix="0" xfId="0">
      <alignment horizontal="center" vertical="center" wrapText="1"/>
    </xf>
    <xf numFmtId="0" fontId="0" fillId="21" borderId="0" pivotButton="0" quotePrefix="0" xfId="0"/>
    <xf numFmtId="0" fontId="32" fillId="22" borderId="0" applyAlignment="1" pivotButton="0" quotePrefix="0" xfId="0">
      <alignment horizontal="left" vertical="top" wrapText="1" indent="1"/>
    </xf>
    <xf numFmtId="0" fontId="0" fillId="22" borderId="0" pivotButton="0" quotePrefix="0" xfId="0"/>
    <xf numFmtId="0" fontId="33" fillId="23" borderId="0" applyAlignment="1" pivotButton="0" quotePrefix="0" xfId="0">
      <alignment horizontal="center" vertical="center" wrapText="1"/>
    </xf>
    <xf numFmtId="0" fontId="0" fillId="23" borderId="0" pivotButton="0" quotePrefix="0" xfId="0"/>
    <xf numFmtId="0" fontId="32" fillId="24" borderId="0" applyAlignment="1" pivotButton="0" quotePrefix="0" xfId="0">
      <alignment horizontal="left" vertical="top" wrapText="1" indent="1"/>
    </xf>
    <xf numFmtId="0" fontId="0" fillId="24" borderId="0" pivotButton="0" quotePrefix="0" xfId="0"/>
    <xf numFmtId="0" fontId="33" fillId="21" borderId="0" applyAlignment="1" pivotButton="0" quotePrefix="0" xfId="0">
      <alignment horizontal="center" vertical="center" wrapText="1"/>
    </xf>
    <xf numFmtId="0" fontId="34" fillId="25" borderId="0" applyAlignment="1" pivotButton="0" quotePrefix="0" xfId="0">
      <alignment horizontal="left" vertical="top" wrapText="1" indent="1"/>
    </xf>
    <xf numFmtId="0" fontId="0" fillId="25" borderId="0" pivotButton="0" quotePrefix="0" xfId="0"/>
    <xf numFmtId="0" fontId="35" fillId="22" borderId="0" applyAlignment="1" pivotButton="0" quotePrefix="0" xfId="0">
      <alignment horizontal="center" vertical="center" wrapText="1"/>
    </xf>
    <xf numFmtId="0" fontId="32" fillId="0" borderId="0" applyAlignment="1" pivotButton="0" quotePrefix="0" xfId="0">
      <alignment horizontal="left" vertical="top" wrapText="1" indent="1"/>
    </xf>
    <xf numFmtId="0" fontId="33" fillId="26" borderId="0" applyAlignment="1" pivotButton="0" quotePrefix="0" xfId="0">
      <alignment horizontal="center" vertical="center" wrapText="1"/>
    </xf>
    <xf numFmtId="0" fontId="0" fillId="26" borderId="0" pivotButton="0" quotePrefix="0" xfId="0"/>
    <xf numFmtId="0" fontId="33" fillId="27" borderId="0" applyAlignment="1" pivotButton="0" quotePrefix="0" xfId="0">
      <alignment horizontal="center" vertical="center" wrapText="1"/>
    </xf>
    <xf numFmtId="0" fontId="0" fillId="27" borderId="0" pivotButton="0" quotePrefix="0" xfId="0"/>
    <xf numFmtId="0" fontId="33" fillId="28" borderId="0" applyAlignment="1" pivotButton="0" quotePrefix="0" xfId="0">
      <alignment horizontal="center" vertical="center" wrapText="1"/>
    </xf>
    <xf numFmtId="0" fontId="0" fillId="28" borderId="0" pivotButton="0" quotePrefix="0" xfId="0"/>
    <xf numFmtId="0" fontId="33" fillId="29" borderId="0" applyAlignment="1" pivotButton="0" quotePrefix="0" xfId="0">
      <alignment horizontal="center" vertical="center" wrapText="1"/>
    </xf>
    <xf numFmtId="0" fontId="0" fillId="29" borderId="0" pivotButton="0" quotePrefix="0" xfId="0"/>
    <xf numFmtId="0" fontId="36" fillId="26" borderId="0" applyAlignment="1" pivotButton="0" quotePrefix="0" xfId="0">
      <alignment horizontal="center" vertical="center" wrapText="1"/>
    </xf>
    <xf numFmtId="0" fontId="37" fillId="30" borderId="0" applyAlignment="1" pivotButton="0" quotePrefix="0" xfId="0">
      <alignment horizontal="left" vertical="center" wrapText="1"/>
    </xf>
    <xf numFmtId="0" fontId="38" fillId="31" borderId="0" applyAlignment="1" pivotButton="0" quotePrefix="0" xfId="0">
      <alignment horizontal="left" vertical="top" wrapText="1"/>
    </xf>
    <xf numFmtId="0" fontId="39" fillId="32" borderId="0" applyAlignment="1" pivotButton="0" quotePrefix="0" xfId="0">
      <alignment horizontal="left" vertical="center" wrapText="1"/>
    </xf>
    <xf numFmtId="0" fontId="39" fillId="33" borderId="0" applyAlignment="1" pivotButton="0" quotePrefix="0" xfId="0">
      <alignment horizontal="left" vertical="center" wrapText="1"/>
    </xf>
    <xf numFmtId="0" fontId="38" fillId="34" borderId="0" applyAlignment="1" pivotButton="0" quotePrefix="0" xfId="0">
      <alignment horizontal="left" vertical="top" wrapText="1"/>
    </xf>
    <xf numFmtId="0" fontId="39" fillId="35" borderId="0" applyAlignment="1" pivotButton="0" quotePrefix="0" xfId="0">
      <alignment horizontal="left" vertical="center" wrapText="1"/>
    </xf>
    <xf numFmtId="0" fontId="40" fillId="30" borderId="0" applyAlignment="1" pivotButton="0" quotePrefix="0" xfId="0">
      <alignment horizontal="left" vertical="center" wrapText="1"/>
    </xf>
    <xf numFmtId="0" fontId="39" fillId="36" borderId="0" applyAlignment="1" pivotButton="0" quotePrefix="0" xfId="0">
      <alignment horizontal="left" vertical="center" wrapText="1"/>
    </xf>
    <xf numFmtId="0" fontId="40" fillId="30" borderId="0"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38" fillId="31" borderId="0" applyAlignment="1" applyProtection="1" pivotButton="0" quotePrefix="0" xfId="0">
      <alignment horizontal="left" vertical="top" wrapText="1"/>
      <protection locked="0" hidden="0"/>
    </xf>
    <xf numFmtId="0" fontId="39" fillId="35" borderId="0" applyAlignment="1" applyProtection="1" pivotButton="0" quotePrefix="0" xfId="0">
      <alignment horizontal="left" vertical="center" wrapText="1"/>
      <protection locked="0" hidden="0"/>
    </xf>
    <xf numFmtId="0" fontId="39" fillId="36" borderId="0" applyAlignment="1" applyProtection="1" pivotButton="0" quotePrefix="0" xfId="0">
      <alignment horizontal="left" vertical="center" wrapText="1"/>
      <protection locked="0" hidden="0"/>
    </xf>
    <xf numFmtId="0" fontId="39" fillId="33" borderId="0" applyAlignment="1" applyProtection="1" pivotButton="0" quotePrefix="0" xfId="0">
      <alignment horizontal="left" vertical="center" wrapText="1"/>
      <protection locked="0" hidden="0"/>
    </xf>
    <xf numFmtId="0" fontId="38" fillId="34" borderId="0" applyAlignment="1" applyProtection="1" pivotButton="0" quotePrefix="0" xfId="0">
      <alignment horizontal="left" vertical="top" wrapText="1"/>
      <protection locked="0" hidden="0"/>
    </xf>
    <xf numFmtId="0" fontId="39" fillId="32" borderId="0" applyAlignment="1" applyProtection="1" pivotButton="0" quotePrefix="0" xfId="0">
      <alignment horizontal="left" vertical="center" wrapText="1"/>
      <protection locked="0" hidden="0"/>
    </xf>
    <xf numFmtId="0" fontId="10" fillId="2" borderId="0" applyAlignment="1" applyProtection="1" pivotButton="0" quotePrefix="0" xfId="0">
      <alignment horizontal="center" vertical="center"/>
      <protection locked="0" hidden="0"/>
    </xf>
    <xf numFmtId="0" fontId="11" fillId="0" borderId="0" applyAlignment="1" applyProtection="1" pivotButton="0" quotePrefix="0" xfId="0">
      <alignment horizontal="general" vertical="bottom"/>
      <protection locked="0" hidden="0"/>
    </xf>
    <xf numFmtId="0" fontId="6" fillId="11" borderId="0" applyAlignment="1" applyProtection="1" pivotButton="0" quotePrefix="0" xfId="0">
      <alignment horizontal="center" vertical="center"/>
      <protection locked="0" hidden="0"/>
    </xf>
    <xf numFmtId="0" fontId="12" fillId="2" borderId="0" applyAlignment="1" applyProtection="1" pivotButton="0" quotePrefix="0" xfId="0">
      <alignment horizontal="center" vertical="center" wrapText="1"/>
      <protection locked="0" hidden="0"/>
    </xf>
    <xf numFmtId="0" fontId="9" fillId="12" borderId="1" applyAlignment="1" applyProtection="1" pivotButton="0" quotePrefix="0" xfId="0">
      <alignment horizontal="right" vertical="center" indent="1"/>
      <protection locked="0" hidden="0"/>
    </xf>
    <xf numFmtId="0" fontId="5" fillId="6" borderId="1" applyAlignment="1" applyProtection="1" pivotButton="0" quotePrefix="0" xfId="0">
      <alignment horizontal="left" vertical="center" wrapText="1" indent="1"/>
      <protection locked="0" hidden="0"/>
    </xf>
    <xf numFmtId="0" fontId="0" fillId="0" borderId="6" applyProtection="1" pivotButton="0" quotePrefix="0" xfId="0">
      <protection locked="0" hidden="0"/>
    </xf>
    <xf numFmtId="0" fontId="0" fillId="0" borderId="7" applyProtection="1" pivotButton="0" quotePrefix="0" xfId="0">
      <protection locked="0" hidden="0"/>
    </xf>
    <xf numFmtId="0" fontId="12" fillId="7" borderId="0" applyAlignment="1" applyProtection="1" pivotButton="0" quotePrefix="0" xfId="0">
      <alignment horizontal="center" vertical="center" wrapText="1"/>
      <protection locked="0" hidden="0"/>
    </xf>
    <xf numFmtId="0" fontId="9" fillId="13" borderId="1" applyAlignment="1" applyProtection="1" pivotButton="0" quotePrefix="0" xfId="0">
      <alignment horizontal="right" vertical="center" indent="1"/>
      <protection locked="0" hidden="0"/>
    </xf>
    <xf numFmtId="0" fontId="5" fillId="14" borderId="1" applyAlignment="1" applyProtection="1" pivotButton="0" quotePrefix="0" xfId="0">
      <alignment horizontal="left" vertical="center" wrapText="1" indent="1"/>
      <protection locked="0" hidden="0"/>
    </xf>
    <xf numFmtId="168" fontId="5" fillId="14" borderId="1" applyAlignment="1" applyProtection="1" pivotButton="0" quotePrefix="0" xfId="0">
      <alignment horizontal="left" vertical="center" wrapText="1" indent="1"/>
      <protection locked="0" hidden="0"/>
    </xf>
    <xf numFmtId="169" fontId="5" fillId="14" borderId="1" applyAlignment="1" applyProtection="1" pivotButton="0" quotePrefix="0" xfId="0">
      <alignment horizontal="left" vertical="center" wrapText="1" indent="1"/>
      <protection locked="0" hidden="0"/>
    </xf>
    <xf numFmtId="170" fontId="5" fillId="14" borderId="1" applyAlignment="1" applyProtection="1" pivotButton="0" quotePrefix="0" xfId="0">
      <alignment horizontal="left" vertical="center" wrapText="1" indent="1"/>
      <protection locked="0" hidden="0"/>
    </xf>
    <xf numFmtId="0" fontId="9" fillId="15" borderId="1" applyAlignment="1" applyProtection="1" pivotButton="0" quotePrefix="0" xfId="0">
      <alignment horizontal="right" vertical="center" indent="1"/>
      <protection locked="0" hidden="0"/>
    </xf>
    <xf numFmtId="0" fontId="5" fillId="16" borderId="1" applyAlignment="1" applyProtection="1" pivotButton="0" quotePrefix="0" xfId="0">
      <alignment horizontal="left" vertical="center" wrapText="1" indent="1"/>
      <protection locked="0" hidden="0"/>
    </xf>
    <xf numFmtId="1" fontId="5" fillId="16" borderId="1" applyAlignment="1" applyProtection="1" pivotButton="0" quotePrefix="0" xfId="0">
      <alignment horizontal="left" vertical="center" wrapText="1" indent="1"/>
      <protection locked="0" hidden="0"/>
    </xf>
    <xf numFmtId="0" fontId="13" fillId="7" borderId="1" applyAlignment="1" applyProtection="1" pivotButton="0" quotePrefix="0" xfId="0">
      <alignment horizontal="center" vertical="center" wrapText="1"/>
      <protection locked="0" hidden="0"/>
    </xf>
    <xf numFmtId="0" fontId="14" fillId="0" borderId="1" applyAlignment="1" applyProtection="1" pivotButton="0" quotePrefix="0" xfId="0">
      <alignment horizontal="center" vertical="center"/>
      <protection locked="0" hidden="0"/>
    </xf>
    <xf numFmtId="0" fontId="5" fillId="0" borderId="1" applyAlignment="1" applyProtection="1" pivotButton="0" quotePrefix="0" xfId="0">
      <alignment horizontal="left" vertical="center" indent="1"/>
      <protection locked="0" hidden="0"/>
    </xf>
    <xf numFmtId="0" fontId="14" fillId="3" borderId="1" applyAlignment="1" applyProtection="1" pivotButton="0" quotePrefix="0" xfId="0">
      <alignment horizontal="center" vertical="center"/>
      <protection locked="0" hidden="0"/>
    </xf>
    <xf numFmtId="0" fontId="5" fillId="3" borderId="1" applyAlignment="1" applyProtection="1" pivotButton="0" quotePrefix="0" xfId="0">
      <alignment horizontal="left" vertical="center" indent="1"/>
      <protection locked="0" hidden="0"/>
    </xf>
    <xf numFmtId="0" fontId="6" fillId="2" borderId="0" applyAlignment="1" applyProtection="1" pivotButton="0" quotePrefix="0" xfId="0">
      <alignment horizontal="center" vertical="center"/>
      <protection locked="0" hidden="0"/>
    </xf>
    <xf numFmtId="0" fontId="18" fillId="2" borderId="0" applyAlignment="1" applyProtection="1" pivotButton="0" quotePrefix="0" xfId="0">
      <alignment horizontal="center" vertical="center"/>
      <protection locked="0" hidden="0"/>
    </xf>
    <xf numFmtId="0" fontId="19" fillId="0" borderId="0" applyAlignment="1" applyProtection="1" pivotButton="0" quotePrefix="0" xfId="0">
      <alignment horizontal="right" vertical="center" shrinkToFit="1"/>
      <protection locked="0" hidden="0"/>
    </xf>
    <xf numFmtId="0" fontId="0" fillId="0" borderId="8" applyProtection="1" pivotButton="0" quotePrefix="0" xfId="0">
      <protection locked="0" hidden="0"/>
    </xf>
    <xf numFmtId="0" fontId="21" fillId="0" borderId="0" applyAlignment="1" applyProtection="1" pivotButton="0" quotePrefix="0" xfId="0">
      <alignment horizontal="right" vertical="center" shrinkToFit="1"/>
      <protection locked="0" hidden="0"/>
    </xf>
    <xf numFmtId="0" fontId="0" fillId="0" borderId="9" applyProtection="1" pivotButton="0" quotePrefix="0" xfId="0">
      <protection locked="0" hidden="0"/>
    </xf>
    <xf numFmtId="0" fontId="22" fillId="0" borderId="0" applyAlignment="1" applyProtection="1" pivotButton="0" quotePrefix="0" xfId="0">
      <alignment horizontal="left" vertical="center" wrapText="1"/>
      <protection locked="0" hidden="0"/>
    </xf>
    <xf numFmtId="0" fontId="23" fillId="0" borderId="0" applyAlignment="1" applyProtection="1" pivotButton="0" quotePrefix="0" xfId="0">
      <alignment horizontal="left" vertical="center" wrapText="1"/>
      <protection locked="0" hidden="0"/>
    </xf>
    <xf numFmtId="0" fontId="21" fillId="0" borderId="0" applyAlignment="1" applyProtection="1" pivotButton="0" quotePrefix="0" xfId="0">
      <alignment horizontal="general" vertical="bottom"/>
      <protection locked="0" hidden="0"/>
    </xf>
    <xf numFmtId="0" fontId="21" fillId="0" borderId="0" applyAlignment="1" applyProtection="1" pivotButton="0" quotePrefix="0" xfId="0">
      <alignment horizontal="right" vertical="bottom"/>
      <protection locked="0" hidden="0"/>
    </xf>
    <xf numFmtId="2" fontId="24" fillId="17" borderId="3" applyAlignment="1" applyProtection="1" pivotButton="0" quotePrefix="0" xfId="0">
      <alignment horizontal="center" vertical="bottom"/>
      <protection locked="0" hidden="0"/>
    </xf>
    <xf numFmtId="0" fontId="25" fillId="0" borderId="0" applyAlignment="1" applyProtection="1" pivotButton="0" quotePrefix="0" xfId="0">
      <alignment horizontal="general" vertical="bottom"/>
      <protection locked="0" hidden="0"/>
    </xf>
    <xf numFmtId="0" fontId="26" fillId="7" borderId="3" applyAlignment="1" applyProtection="1" pivotButton="0" quotePrefix="0" xfId="0">
      <alignment horizontal="center" vertical="center" wrapText="1"/>
      <protection locked="0" hidden="0"/>
    </xf>
    <xf numFmtId="0" fontId="27" fillId="0" borderId="0" applyAlignment="1" applyProtection="1" pivotButton="0" quotePrefix="0" xfId="0">
      <alignment horizontal="general" vertical="bottom"/>
      <protection locked="0" hidden="0"/>
    </xf>
    <xf numFmtId="0" fontId="6" fillId="7" borderId="0" applyAlignment="1" applyProtection="1" pivotButton="0" quotePrefix="0" xfId="0">
      <alignment horizontal="center" vertical="center"/>
      <protection locked="0" hidden="0"/>
    </xf>
    <xf numFmtId="0" fontId="9" fillId="0" borderId="0" applyAlignment="1" applyProtection="1" pivotButton="0" quotePrefix="0" xfId="0">
      <alignment horizontal="right" vertical="center" indent="1"/>
      <protection locked="0" hidden="0"/>
    </xf>
    <xf numFmtId="2" fontId="29" fillId="14" borderId="1" applyAlignment="1" applyProtection="1" pivotButton="0" quotePrefix="0" xfId="0">
      <alignment horizontal="center" vertical="center"/>
      <protection locked="0" hidden="0"/>
    </xf>
    <xf numFmtId="0" fontId="11" fillId="3" borderId="0" applyAlignment="1" applyProtection="1" pivotButton="0" quotePrefix="0" xfId="0">
      <alignment horizontal="general" vertical="bottom"/>
      <protection locked="0" hidden="0"/>
    </xf>
    <xf numFmtId="0" fontId="30" fillId="3" borderId="0" applyAlignment="1" applyProtection="1" pivotButton="0" quotePrefix="0" xfId="0">
      <alignment horizontal="center" vertical="center" wrapText="1"/>
      <protection locked="0" hidden="0"/>
    </xf>
    <xf numFmtId="0" fontId="12" fillId="7" borderId="0" applyAlignment="1" applyProtection="1" pivotButton="0" quotePrefix="0" xfId="0">
      <alignment horizontal="center" vertical="center"/>
      <protection locked="0" hidden="0"/>
    </xf>
    <xf numFmtId="0" fontId="14" fillId="14" borderId="1" applyAlignment="1" applyProtection="1" pivotButton="0" quotePrefix="0" xfId="0">
      <alignment horizontal="center" vertical="center"/>
      <protection locked="0" hidden="0"/>
    </xf>
    <xf numFmtId="0" fontId="14" fillId="6" borderId="1" applyAlignment="1" applyProtection="1" pivotButton="0" quotePrefix="0" xfId="0">
      <alignment horizontal="center" vertical="center"/>
      <protection locked="0" hidden="0"/>
    </xf>
    <xf numFmtId="0" fontId="12" fillId="8" borderId="0" applyAlignment="1" applyProtection="1" pivotButton="0" quotePrefix="0" xfId="0">
      <alignment horizontal="center" vertical="center"/>
      <protection locked="0" hidden="0"/>
    </xf>
    <xf numFmtId="0" fontId="12" fillId="2" borderId="0" applyAlignment="1" applyProtection="1" pivotButton="0" quotePrefix="0" xfId="0">
      <alignment horizontal="center" vertical="center"/>
      <protection locked="0" hidden="0"/>
    </xf>
    <xf numFmtId="0" fontId="30" fillId="3" borderId="0" applyAlignment="1" applyProtection="1" pivotButton="0" quotePrefix="0" xfId="0">
      <alignment horizontal="left" vertical="top" wrapText="1" indent="1"/>
      <protection locked="0" hidden="0"/>
    </xf>
    <xf numFmtId="0" fontId="14" fillId="14" borderId="1" applyAlignment="1" applyProtection="1" pivotButton="0" quotePrefix="0" xfId="0">
      <alignment horizontal="left" vertical="center" wrapText="1" indent="1"/>
      <protection locked="0" hidden="0"/>
    </xf>
    <xf numFmtId="0" fontId="14" fillId="3" borderId="1" applyAlignment="1" applyProtection="1" pivotButton="0" quotePrefix="0" xfId="0">
      <alignment horizontal="left" vertical="center" wrapText="1" indent="1"/>
      <protection locked="0" hidden="0"/>
    </xf>
    <xf numFmtId="0" fontId="14" fillId="6" borderId="1" applyAlignment="1" applyProtection="1" pivotButton="0" quotePrefix="0" xfId="0">
      <alignment horizontal="left" vertical="center" wrapText="1" indent="1"/>
      <protection locked="0" hidden="0"/>
    </xf>
    <xf numFmtId="0" fontId="14" fillId="19" borderId="1" applyAlignment="1" applyProtection="1" pivotButton="0" quotePrefix="0" xfId="0">
      <alignment horizontal="center" vertical="center"/>
      <protection locked="0" hidden="0"/>
    </xf>
    <xf numFmtId="0" fontId="14" fillId="19" borderId="1" applyAlignment="1" applyProtection="1" pivotButton="0" quotePrefix="0" xfId="0">
      <alignment horizontal="left" vertical="center" wrapText="1" indent="1"/>
      <protection locked="0" hidden="0"/>
    </xf>
    <xf numFmtId="0" fontId="13" fillId="2" borderId="0" applyAlignment="1" applyProtection="1" pivotButton="0" quotePrefix="0" xfId="0">
      <alignment horizontal="center" vertical="center" wrapText="1"/>
      <protection locked="0" hidden="0"/>
    </xf>
    <xf numFmtId="0" fontId="13" fillId="8" borderId="0" applyAlignment="1" applyProtection="1" pivotButton="0" quotePrefix="0" xfId="0">
      <alignment horizontal="center" vertical="center" wrapText="1"/>
      <protection locked="0" hidden="0"/>
    </xf>
    <xf numFmtId="0" fontId="13" fillId="20" borderId="0" applyAlignment="1" applyProtection="1" pivotButton="0" quotePrefix="0" xfId="0">
      <alignment horizontal="center" vertical="center" wrapText="1"/>
      <protection locked="0" hidden="0"/>
    </xf>
    <xf numFmtId="1" fontId="14" fillId="14" borderId="1" applyAlignment="1" applyProtection="1" pivotButton="0" quotePrefix="0" xfId="0">
      <alignment horizontal="center" vertical="center"/>
      <protection locked="0" hidden="0"/>
    </xf>
    <xf numFmtId="171" fontId="14" fillId="14" borderId="1" applyAlignment="1" applyProtection="1" pivotButton="0" quotePrefix="0" xfId="0">
      <alignment horizontal="center" vertical="center"/>
      <protection locked="0" hidden="0"/>
    </xf>
    <xf numFmtId="168" fontId="14" fillId="14" borderId="1" applyAlignment="1" applyProtection="1" pivotButton="0" quotePrefix="0" xfId="0">
      <alignment horizontal="center" vertical="center"/>
      <protection locked="0" hidden="0"/>
    </xf>
    <xf numFmtId="1" fontId="14" fillId="16" borderId="1" applyAlignment="1" applyProtection="1" pivotButton="0" quotePrefix="0" xfId="0">
      <alignment horizontal="center" vertical="center"/>
      <protection locked="0" hidden="0"/>
    </xf>
    <xf numFmtId="171" fontId="14" fillId="16" borderId="1" applyAlignment="1" applyProtection="1" pivotButton="0" quotePrefix="0" xfId="0">
      <alignment horizontal="center" vertical="center"/>
      <protection locked="0" hidden="0"/>
    </xf>
    <xf numFmtId="2" fontId="14" fillId="16" borderId="1" applyAlignment="1" applyProtection="1" pivotButton="0" quotePrefix="0" xfId="0">
      <alignment horizontal="center" vertical="center"/>
      <protection locked="0" hidden="0"/>
    </xf>
    <xf numFmtId="1" fontId="14" fillId="3" borderId="1" applyAlignment="1" applyProtection="1" pivotButton="0" quotePrefix="0" xfId="0">
      <alignment horizontal="center" vertical="center"/>
      <protection locked="0" hidden="0"/>
    </xf>
    <xf numFmtId="171" fontId="14" fillId="3" borderId="1" applyAlignment="1" applyProtection="1" pivotButton="0" quotePrefix="0" xfId="0">
      <alignment horizontal="center" vertical="center"/>
      <protection locked="0" hidden="0"/>
    </xf>
    <xf numFmtId="168" fontId="14" fillId="3" borderId="1" applyAlignment="1" applyProtection="1" pivotButton="0" quotePrefix="0" xfId="0">
      <alignment horizontal="center" vertical="center"/>
      <protection locked="0" hidden="0"/>
    </xf>
    <xf numFmtId="2" fontId="14" fillId="3" borderId="1" applyAlignment="1" applyProtection="1" pivotButton="0" quotePrefix="0" xfId="0">
      <alignment horizontal="center" vertical="center"/>
      <protection locked="0" hidden="0"/>
    </xf>
    <xf numFmtId="0" fontId="9" fillId="6" borderId="1" applyAlignment="1" applyProtection="1" pivotButton="0" quotePrefix="0" xfId="0">
      <alignment horizontal="right" vertical="center" indent="1"/>
      <protection locked="0" hidden="0"/>
    </xf>
    <xf numFmtId="0" fontId="0" fillId="6" borderId="1" applyAlignment="1" applyProtection="1" pivotButton="0" quotePrefix="0" xfId="0">
      <alignment horizontal="general" vertical="bottom"/>
      <protection locked="0" hidden="0"/>
    </xf>
    <xf numFmtId="0" fontId="9" fillId="14" borderId="1" applyAlignment="1" applyProtection="1" pivotButton="0" quotePrefix="0" xfId="0">
      <alignment horizontal="right" vertical="center" indent="1"/>
      <protection locked="0" hidden="0"/>
    </xf>
    <xf numFmtId="0" fontId="0" fillId="14" borderId="1" applyAlignment="1" applyProtection="1" pivotButton="0" quotePrefix="0" xfId="0">
      <alignment horizontal="general" vertical="bottom"/>
      <protection locked="0" hidden="0"/>
    </xf>
    <xf numFmtId="1" fontId="14" fillId="14" borderId="1" applyAlignment="1" applyProtection="1" pivotButton="0" quotePrefix="0" xfId="0">
      <alignment horizontal="left" vertical="center" wrapText="1" indent="1"/>
      <protection locked="0" hidden="0"/>
    </xf>
    <xf numFmtId="2" fontId="14" fillId="14" borderId="1" applyAlignment="1" applyProtection="1" pivotButton="0" quotePrefix="0" xfId="0">
      <alignment horizontal="left" vertical="center" wrapText="1" indent="1"/>
      <protection locked="0" hidden="0"/>
    </xf>
    <xf numFmtId="1" fontId="14" fillId="0" borderId="1" applyAlignment="1" applyProtection="1" pivotButton="0" quotePrefix="0" xfId="0">
      <alignment horizontal="center" vertical="center"/>
      <protection locked="0" hidden="0"/>
    </xf>
    <xf numFmtId="171" fontId="14" fillId="0" borderId="1" applyAlignment="1" applyProtection="1" pivotButton="0" quotePrefix="0" xfId="0">
      <alignment horizontal="center" vertical="center"/>
      <protection locked="0" hidden="0"/>
    </xf>
    <xf numFmtId="2" fontId="14" fillId="0" borderId="1" applyAlignment="1" applyProtection="1" pivotButton="0" quotePrefix="0" xfId="0">
      <alignment horizontal="center" vertical="center"/>
      <protection locked="0" hidden="0"/>
    </xf>
    <xf numFmtId="0" fontId="5" fillId="0" borderId="1" applyAlignment="1" applyProtection="1" pivotButton="0" quotePrefix="0" xfId="0">
      <alignment horizontal="left" vertical="center" wrapText="1" indent="1"/>
      <protection locked="0" hidden="0"/>
    </xf>
    <xf numFmtId="0" fontId="5" fillId="3" borderId="1" applyAlignment="1" applyProtection="1" pivotButton="0" quotePrefix="0" xfId="0">
      <alignment horizontal="left" vertical="center" wrapText="1" indent="1"/>
      <protection locked="0" hidden="0"/>
    </xf>
  </cellXfs>
  <cellStyles count="6">
    <cellStyle name="Normal" xfId="0" builtinId="0"/>
    <cellStyle name="Comma" xfId="1" builtinId="3"/>
    <cellStyle name="Comma [0]" xfId="2" builtinId="6"/>
    <cellStyle name="Currency" xfId="3" builtinId="4"/>
    <cellStyle name="Currency [0]" xfId="4" builtinId="7"/>
    <cellStyle name="Percent" xfId="5" builtinId="5"/>
  </cellStyles>
  <colors>
    <indexedColors>
      <rgbColor rgb="FF000000"/>
      <rgbColor rgb="FFFFFFFF"/>
      <rgbColor rgb="FFC00000"/>
      <rgbColor rgb="FF00FF00"/>
      <rgbColor rgb="FF0000FF"/>
      <rgbColor rgb="FFF5F5F5"/>
      <rgbColor rgb="FFFF00FF"/>
      <rgbColor rgb="FF00FFFF"/>
      <rgbColor rgb="FF800000"/>
      <rgbColor rgb="FF008000"/>
      <rgbColor rgb="FF000080"/>
      <rgbColor rgb="FFA98C2A"/>
      <rgbColor rgb="FF7B1FA2"/>
      <rgbColor rgb="FF008080"/>
      <rgbColor rgb="FFB7B7B7"/>
      <rgbColor rgb="FF808080"/>
      <rgbColor rgb="FF93A9CE"/>
      <rgbColor rgb="FF9D3E3B"/>
      <rgbColor rgb="FFFFF8E1"/>
      <rgbColor rgb="FFE3F2FD"/>
      <rgbColor rgb="FF660066"/>
      <rgbColor rgb="FFD9D9D9"/>
      <rgbColor rgb="FF1976D2"/>
      <rgbColor rgb="FFBBDEFB"/>
      <rgbColor rgb="FF000080"/>
      <rgbColor rgb="FFFF00FF"/>
      <rgbColor rgb="FFF3E5F5"/>
      <rgbColor rgb="FF00FFFF"/>
      <rgbColor rgb="FF800080"/>
      <rgbColor rgb="FF800000"/>
      <rgbColor rgb="FF008080"/>
      <rgbColor rgb="FF0000FF"/>
      <rgbColor rgb="FF00CCFF"/>
      <rgbColor rgb="FFE8F5E9"/>
      <rgbColor rgb="FFF2F2F2"/>
      <rgbColor rgb="FFFFF2CC"/>
      <rgbColor rgb="FFA5D6A7"/>
      <rgbColor rgb="FFD4A5A4"/>
      <rgbColor rgb="FFB0B0B0"/>
      <rgbColor rgb="FFFFE082"/>
      <rgbColor rgb="FF4672A8"/>
      <rgbColor rgb="FF33CCCC"/>
      <rgbColor rgb="FF98B855"/>
      <rgbColor rgb="FFFFE0B2"/>
      <rgbColor rgb="FFFF9900"/>
      <rgbColor rgb="FFE65100"/>
      <rgbColor rgb="FF757575"/>
      <rgbColor rgb="FF8B8B8B"/>
      <rgbColor rgb="FF1F4E78"/>
      <rgbColor rgb="FF2E7D32"/>
      <rgbColor rgb="FF003300"/>
      <rgbColor rgb="FF333300"/>
      <rgbColor rgb="FF7F1D1D"/>
      <rgbColor rgb="FFBE4B48"/>
      <rgbColor rgb="FF305496"/>
      <rgbColor rgb="FF595959"/>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s>
</file>

<file path=xl/charts/chart1.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Velocity vs. Powder Charge</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"Avg Velocity"</f>
              <strCache>
                <ptCount val="1"/>
                <pt idx="0">
                  <v>Avg Velocity</v>
                </pt>
              </strCache>
            </strRef>
          </tx>
          <spPr>
            <a:solidFill xmlns:a="http://schemas.openxmlformats.org/drawingml/2006/main">
              <a:srgbClr val="305496"/>
            </a:solidFill>
            <a:ln xmlns:a="http://schemas.openxmlformats.org/drawingml/2006/main" w="0">
              <a:solidFill>
                <a:srgbClr val="305496"/>
              </a:solidFill>
              <a:prstDash val="solid"/>
            </a:ln>
          </spPr>
          <marker>
            <symbol val="circle"/>
            <size val="7"/>
            <spPr>
              <a:solidFill xmlns:a="http://schemas.openxmlformats.org/drawingml/2006/main">
                <a:srgbClr val="305496"/>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'Load Log'!$B$16:$B$25</f>
              <numCache>
                <formatCode>0.0</formatCode>
                <ptCount val="10"/>
              </numCache>
            </numRef>
          </xVal>
          <yVal>
            <numRef>
              <f>'Load Log'!$H$16:$H$25</f>
              <numCache>
                <formatCode>General</formatCode>
                <ptCount val="10"/>
              </numCache>
            </numRef>
          </yVal>
          <smooth val="0"/>
        </ser>
        <axId val="7170067"/>
        <axId val="69099073"/>
      </scatterChart>
      <valAx>
        <axId val="7170067"/>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9099073"/>
        <crosses val="autoZero"/>
        <crossBetween val="midCat"/>
      </valAx>
      <valAx>
        <axId val="69099073"/>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Average 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7170067"/>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2.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ES and SD by Powder Charge</a:t>
            </a:r>
          </a:p>
        </rich>
      </tx>
      <overlay val="0"/>
      <spPr>
        <a:noFill xmlns:a="http://schemas.openxmlformats.org/drawingml/2006/main"/>
        <a:ln xmlns:a="http://schemas.openxmlformats.org/drawingml/2006/main" w="0">
          <a:noFill/>
          <a:prstDash val="solid"/>
        </a:ln>
      </spPr>
    </title>
    <plotArea>
      <barChart>
        <barDir val="col"/>
        <grouping val="clustered"/>
        <varyColors val="0"/>
        <ser>
          <idx val="0"/>
          <order val="0"/>
          <tx>
            <strRef>
              <f>"ES"</f>
              <strCache>
                <ptCount val="1"/>
                <pt idx="0">
                  <v>ES</v>
                </pt>
              </strCache>
            </strRef>
          </tx>
          <spPr>
            <a:solidFill xmlns:a="http://schemas.openxmlformats.org/drawingml/2006/main">
              <a:srgbClr val="4672A8"/>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Log'!$I$16:$I$25</f>
              <numCache>
                <formatCode>0</formatCode>
                <ptCount val="10"/>
                <pt idx="0">
                  <v>0</v>
                </pt>
                <pt idx="1">
                  <v>0</v>
                </pt>
                <pt idx="2">
                  <v>0</v>
                </pt>
                <pt idx="3">
                  <v>0</v>
                </pt>
                <pt idx="4">
                  <v>0</v>
                </pt>
                <pt idx="5">
                  <v>0</v>
                </pt>
                <pt idx="6">
                  <v>0</v>
                </pt>
                <pt idx="7">
                  <v>0</v>
                </pt>
                <pt idx="8">
                  <v>0</v>
                </pt>
                <pt idx="9">
                  <v>0</v>
                </pt>
              </numCache>
            </numRef>
          </val>
        </ser>
        <ser>
          <idx val="1"/>
          <order val="1"/>
          <tx>
            <strRef>
              <f>"SD"</f>
              <strCache>
                <ptCount val="1"/>
                <pt idx="0">
                  <v>SD</v>
                </pt>
              </strCache>
            </strRef>
          </tx>
          <spPr>
            <a:solidFill xmlns:a="http://schemas.openxmlformats.org/drawingml/2006/main">
              <a:srgbClr val="93A9CE"/>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General</formatCode>
                <ptCount val="10"/>
              </numCache>
            </numRef>
          </val>
        </ser>
        <gapWidth val="150"/>
        <overlap val="0"/>
        <axId val="97721715"/>
        <axId val="96260851"/>
      </barChart>
      <catAx>
        <axId val="97721715"/>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96260851"/>
        <crosses val="autoZero"/>
        <auto val="1"/>
        <lblAlgn val="ctr"/>
        <lblOffset val="100"/>
        <noMultiLvlLbl val="0"/>
      </catAx>
      <valAx>
        <axId val="96260851"/>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97721715"/>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3.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Accuracy Node Finder — Velocity, SD, and Group Size</a:t>
            </a:r>
          </a:p>
        </rich>
      </tx>
      <overlay val="0"/>
      <spPr>
        <a:noFill xmlns:a="http://schemas.openxmlformats.org/drawingml/2006/main"/>
        <a:ln xmlns:a="http://schemas.openxmlformats.org/drawingml/2006/main" w="0">
          <a:noFill/>
          <a:prstDash val="solid"/>
        </a:ln>
      </spPr>
    </title>
    <plotArea>
      <lineChart>
        <grouping val="standard"/>
        <varyColors val="0"/>
        <ser>
          <idx val="0"/>
          <order val="0"/>
          <tx>
            <strRef>
              <f>"Avg Vel"</f>
              <strCache>
                <ptCount val="1"/>
                <pt idx="0">
                  <v>Avg Vel</v>
                </pt>
              </strCache>
            </strRef>
          </tx>
          <spPr>
            <a:solidFill xmlns:a="http://schemas.openxmlformats.org/drawingml/2006/main">
              <a:srgbClr val="1F4E78"/>
            </a:solidFill>
            <a:ln xmlns:a="http://schemas.openxmlformats.org/drawingml/2006/main" w="12600">
              <a:solidFill>
                <a:srgbClr val="1F4E78"/>
              </a:solidFill>
              <a:prstDash val="solid"/>
              <a:round/>
            </a:ln>
          </spPr>
          <marker>
            <symbol val="circle"/>
            <size val="8"/>
            <spPr>
              <a:solidFill xmlns:a="http://schemas.openxmlformats.org/drawingml/2006/main">
                <a:srgbClr val="1F4E78"/>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Log'!$H$16:$H$25</f>
              <numCache>
                <formatCode>General</formatCode>
                <ptCount val="10"/>
              </numCache>
            </numRef>
          </val>
          <smooth val="0"/>
        </ser>
        <ser>
          <idx val="1"/>
          <order val="1"/>
          <tx>
            <strRef>
              <f>"Group (MOA)"</f>
              <strCache>
                <ptCount val="1"/>
                <pt idx="0">
                  <v>Group (MOA)</v>
                </pt>
              </strCache>
            </strRef>
          </tx>
          <spPr>
            <a:solidFill xmlns:a="http://schemas.openxmlformats.org/drawingml/2006/main">
              <a:srgbClr val="FFFFFF"/>
            </a:solidFill>
            <a:ln xmlns:a="http://schemas.openxmlformats.org/drawingml/2006/main" w="12600">
              <a:solidFill>
                <a:srgbClr val="FFFFFF"/>
              </a:solidFill>
              <a:prstDash val="solid"/>
              <a:round/>
            </a:ln>
          </spPr>
          <marker>
            <symbol val="circle"/>
            <size val="7"/>
            <spPr>
              <a:solidFill xmlns:a="http://schemas.openxmlformats.org/drawingml/2006/main">
                <a:srgbClr val="FFFFFF"/>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Log'!$K$16:$K$25</f>
              <numCache>
                <formatCode>0.00</formatCode>
                <ptCount val="10"/>
              </numCache>
            </numRef>
          </val>
          <smooth val="0"/>
        </ser>
        <ser>
          <idx val="2"/>
          <order val="2"/>
          <tx>
            <strRef>
              <f>"SD"</f>
              <strCache>
                <ptCount val="1"/>
                <pt idx="0">
                  <v>SD</v>
                </pt>
              </strCache>
            </strRef>
          </tx>
          <spPr>
            <a:solidFill xmlns:a="http://schemas.openxmlformats.org/drawingml/2006/main">
              <a:srgbClr val="FFFFFF"/>
            </a:solidFill>
            <a:ln xmlns:a="http://schemas.openxmlformats.org/drawingml/2006/main" w="12600">
              <a:solidFill>
                <a:srgbClr val="FFFFFF"/>
              </a:solidFill>
              <a:prstDash val="solid"/>
              <a:round/>
            </a:ln>
          </spPr>
          <marker>
            <symbol val="circle"/>
            <size val="7"/>
            <spPr>
              <a:solidFill xmlns:a="http://schemas.openxmlformats.org/drawingml/2006/main">
                <a:srgbClr val="FFFFFF"/>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General</formatCode>
                <ptCount val="10"/>
              </numCache>
            </numRef>
          </val>
          <smooth val="0"/>
        </ser>
        <hiLowLines>
          <spPr>
            <a:ln xmlns:a="http://schemas.openxmlformats.org/drawingml/2006/main" w="0">
              <a:noFill/>
              <a:prstDash val="solid"/>
            </a:ln>
          </spPr>
        </hiLowLines>
        <marker val="1"/>
        <axId val="61755240"/>
        <axId val="44721967"/>
      </lineChart>
      <catAx>
        <axId val="61755240"/>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44721967"/>
        <crosses val="autoZero"/>
        <auto val="1"/>
        <lblAlgn val="ctr"/>
        <lblOffset val="100"/>
        <noMultiLvlLbl val="0"/>
      </catAx>
      <valAx>
        <axId val="44721967"/>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1755240"/>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zero"/>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4.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Velocity vs. Powder Charge</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"Avg Velocity"</f>
              <strCache>
                <ptCount val="1"/>
                <pt idx="0">
                  <v>Avg Velocity</v>
                </pt>
              </strCache>
            </strRef>
          </tx>
          <spPr>
            <a:solidFill xmlns:a="http://schemas.openxmlformats.org/drawingml/2006/main">
              <a:srgbClr val="98B855"/>
            </a:solidFill>
            <a:ln xmlns:a="http://schemas.openxmlformats.org/drawingml/2006/main" w="0">
              <a:solidFill>
                <a:srgbClr val="98B855"/>
              </a:solidFill>
              <a:prstDash val="solid"/>
            </a:ln>
          </spPr>
          <marker>
            <symbol val="circle"/>
            <size val="7"/>
            <spPr>
              <a:solidFill xmlns:a="http://schemas.openxmlformats.org/drawingml/2006/main">
                <a:srgbClr val="98B855"/>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'Load Log'!$B$16:$B$25</f>
              <numCache>
                <formatCode>0.0</formatCode>
                <ptCount val="10"/>
              </numCache>
            </numRef>
          </xVal>
          <yVal>
            <numRef>
              <f>'Load Log'!$H$16:$H$25</f>
              <numCache>
                <formatCode>General</formatCode>
                <ptCount val="10"/>
              </numCache>
            </numRef>
          </yVal>
          <smooth val="0"/>
        </ser>
        <axId val="26706432"/>
        <axId val="5966923"/>
      </scatterChart>
      <valAx>
        <axId val="26706432"/>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5966923"/>
        <crosses val="autoZero"/>
        <crossBetween val="midCat"/>
      </valAx>
      <valAx>
        <axId val="5966923"/>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Average 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26706432"/>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5.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ES and SD by Powder Charge</a:t>
            </a:r>
          </a:p>
        </rich>
      </tx>
      <overlay val="0"/>
      <spPr>
        <a:noFill xmlns:a="http://schemas.openxmlformats.org/drawingml/2006/main"/>
        <a:ln xmlns:a="http://schemas.openxmlformats.org/drawingml/2006/main" w="0">
          <a:noFill/>
          <a:prstDash val="solid"/>
        </a:ln>
      </spPr>
    </title>
    <plotArea>
      <barChart>
        <barDir val="col"/>
        <grouping val="clustered"/>
        <varyColors val="0"/>
        <ser>
          <idx val="0"/>
          <order val="0"/>
          <tx>
            <strRef>
              <f>"ES"</f>
              <strCache>
                <ptCount val="1"/>
                <pt idx="0">
                  <v>ES</v>
                </pt>
              </strCache>
            </strRef>
          </tx>
          <spPr>
            <a:solidFill xmlns:a="http://schemas.openxmlformats.org/drawingml/2006/main">
              <a:srgbClr val="4672A8"/>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Log'!$I$16:$I$25</f>
              <numCache>
                <formatCode>0</formatCode>
                <ptCount val="10"/>
                <pt idx="0">
                  <v>0</v>
                </pt>
                <pt idx="1">
                  <v>0</v>
                </pt>
                <pt idx="2">
                  <v>0</v>
                </pt>
                <pt idx="3">
                  <v>0</v>
                </pt>
                <pt idx="4">
                  <v>0</v>
                </pt>
                <pt idx="5">
                  <v>0</v>
                </pt>
                <pt idx="6">
                  <v>0</v>
                </pt>
                <pt idx="7">
                  <v>0</v>
                </pt>
                <pt idx="8">
                  <v>0</v>
                </pt>
                <pt idx="9">
                  <v>0</v>
                </pt>
              </numCache>
            </numRef>
          </val>
        </ser>
        <ser>
          <idx val="1"/>
          <order val="1"/>
          <tx>
            <strRef>
              <f>"SD"</f>
              <strCache>
                <ptCount val="1"/>
                <pt idx="0">
                  <v>SD</v>
                </pt>
              </strCache>
            </strRef>
          </tx>
          <spPr>
            <a:solidFill xmlns:a="http://schemas.openxmlformats.org/drawingml/2006/main">
              <a:srgbClr val="93A9CE"/>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General</formatCode>
                <ptCount val="10"/>
              </numCache>
            </numRef>
          </val>
        </ser>
        <gapWidth val="150"/>
        <overlap val="0"/>
        <axId val="74671604"/>
        <axId val="67938676"/>
      </barChart>
      <catAx>
        <axId val="74671604"/>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7938676"/>
        <crosses val="autoZero"/>
        <auto val="1"/>
        <lblAlgn val="ctr"/>
        <lblOffset val="100"/>
        <noMultiLvlLbl val="0"/>
      </catAx>
      <valAx>
        <axId val="67938676"/>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74671604"/>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6.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Accuracy Node Finder — Velocity, SD, and Group Size</a:t>
            </a:r>
          </a:p>
        </rich>
      </tx>
      <overlay val="0"/>
      <spPr>
        <a:noFill xmlns:a="http://schemas.openxmlformats.org/drawingml/2006/main"/>
        <a:ln xmlns:a="http://schemas.openxmlformats.org/drawingml/2006/main" w="0">
          <a:noFill/>
          <a:prstDash val="solid"/>
        </a:ln>
      </spPr>
    </title>
    <plotArea>
      <lineChart>
        <grouping val="standard"/>
        <varyColors val="0"/>
        <ser>
          <idx val="0"/>
          <order val="0"/>
          <tx>
            <strRef>
              <f>"Avg Vel"</f>
              <strCache>
                <ptCount val="1"/>
                <pt idx="0">
                  <v>Avg Vel</v>
                </pt>
              </strCache>
            </strRef>
          </tx>
          <spPr>
            <a:solidFill xmlns:a="http://schemas.openxmlformats.org/drawingml/2006/main">
              <a:srgbClr val="9D3E3B"/>
            </a:solidFill>
            <a:ln xmlns:a="http://schemas.openxmlformats.org/drawingml/2006/main" w="9360">
              <a:solidFill>
                <a:srgbClr val="9D3E3B"/>
              </a:solidFill>
              <a:prstDash val="solid"/>
              <a:round/>
            </a:ln>
          </spPr>
          <marker>
            <symbol val="circle"/>
            <size val="7"/>
            <spPr>
              <a:solidFill xmlns:a="http://schemas.openxmlformats.org/drawingml/2006/main">
                <a:srgbClr val="9D3E3B"/>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Log'!$H$16:$H$25</f>
              <numCache>
                <formatCode>General</formatCode>
                <ptCount val="10"/>
              </numCache>
            </numRef>
          </val>
          <smooth val="0"/>
        </ser>
        <ser>
          <idx val="1"/>
          <order val="1"/>
          <tx>
            <strRef>
              <f>"Group (MOA)"</f>
              <strCache>
                <ptCount val="1"/>
                <pt idx="0">
                  <v>Group (MOA)</v>
                </pt>
              </strCache>
            </strRef>
          </tx>
          <spPr>
            <a:solidFill xmlns:a="http://schemas.openxmlformats.org/drawingml/2006/main">
              <a:srgbClr val="BE4B48"/>
            </a:solidFill>
            <a:ln xmlns:a="http://schemas.openxmlformats.org/drawingml/2006/main" w="9360">
              <a:solidFill>
                <a:srgbClr val="BE4B48"/>
              </a:solidFill>
              <a:prstDash val="solid"/>
              <a:round/>
            </a:ln>
          </spPr>
          <marker>
            <symbol val="circle"/>
            <size val="7"/>
            <spPr>
              <a:solidFill xmlns:a="http://schemas.openxmlformats.org/drawingml/2006/main">
                <a:srgbClr val="BE4B48"/>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Log'!$K$16:$K$25</f>
              <numCache>
                <formatCode>0.00</formatCode>
                <ptCount val="10"/>
              </numCache>
            </numRef>
          </val>
          <smooth val="0"/>
        </ser>
        <ser>
          <idx val="2"/>
          <order val="2"/>
          <tx>
            <strRef>
              <f>"SD"</f>
              <strCache>
                <ptCount val="1"/>
                <pt idx="0">
                  <v>SD</v>
                </pt>
              </strCache>
            </strRef>
          </tx>
          <spPr>
            <a:solidFill xmlns:a="http://schemas.openxmlformats.org/drawingml/2006/main">
              <a:srgbClr val="D4A5A4"/>
            </a:solidFill>
            <a:ln xmlns:a="http://schemas.openxmlformats.org/drawingml/2006/main" w="9360">
              <a:solidFill>
                <a:srgbClr val="D4A5A4"/>
              </a:solidFill>
              <a:prstDash val="solid"/>
              <a:round/>
            </a:ln>
          </spPr>
          <marker>
            <symbol val="circle"/>
            <size val="7"/>
            <spPr>
              <a:solidFill xmlns:a="http://schemas.openxmlformats.org/drawingml/2006/main">
                <a:srgbClr val="D4A5A4"/>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General</formatCode>
                <ptCount val="10"/>
              </numCache>
            </numRef>
          </val>
          <smooth val="0"/>
        </ser>
        <hiLowLines>
          <spPr>
            <a:ln xmlns:a="http://schemas.openxmlformats.org/drawingml/2006/main" w="0">
              <a:noFill/>
              <a:prstDash val="solid"/>
            </a:ln>
          </spPr>
        </hiLowLines>
        <marker val="1"/>
        <axId val="47015463"/>
        <axId val="70465987"/>
      </lineChart>
      <catAx>
        <axId val="47015463"/>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70465987"/>
        <crosses val="autoZero"/>
        <auto val="1"/>
        <lblAlgn val="ctr"/>
        <lblOffset val="100"/>
        <noMultiLvlLbl val="0"/>
      </catAx>
      <valAx>
        <axId val="70465987"/>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47015463"/>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zero"/>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7.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Group Size (in) vs. Jump</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"Group Size vs. Jump"</f>
              <strCache>
                <ptCount val="1"/>
                <pt idx="0">
                  <v>Group Size vs. Jump</v>
                </pt>
              </strCache>
            </strRef>
          </tx>
          <spPr>
            <a:solidFill xmlns:a="http://schemas.openxmlformats.org/drawingml/2006/main">
              <a:srgbClr val="C00000"/>
            </a:solidFill>
            <a:ln xmlns:a="http://schemas.openxmlformats.org/drawingml/2006/main" w="0">
              <a:solidFill>
                <a:srgbClr val="C00000"/>
              </a:solidFill>
              <a:prstDash val="solid"/>
            </a:ln>
          </spPr>
          <marker>
            <symbol val="circle"/>
            <size val="7"/>
            <spPr>
              <a:solidFill xmlns:a="http://schemas.openxmlformats.org/drawingml/2006/main">
                <a:srgbClr val="C00000"/>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'Seating Depth'!$B$16:$B$25</f>
              <numCache>
                <formatCode>0.000</formatCode>
                <ptCount val="10"/>
              </numCache>
            </numRef>
          </xVal>
          <yVal>
            <numRef>
              <f>'Seating Depth'!$L$16:$L$25</f>
              <numCache>
                <formatCode>0.00</formatCode>
                <ptCount val="10"/>
              </numCache>
            </numRef>
          </yVal>
          <smooth val="0"/>
        </ser>
        <axId val="33525579"/>
        <axId val="148052"/>
      </scatterChart>
      <valAx>
        <axId val="33525579"/>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Jump (in, off the lands)</a:t>
                </a:r>
              </a:p>
            </rich>
          </tx>
          <overlay val="0"/>
          <spPr>
            <a:noFill xmlns:a="http://schemas.openxmlformats.org/drawingml/2006/main"/>
            <a:ln xmlns:a="http://schemas.openxmlformats.org/drawingml/2006/main" w="0">
              <a:noFill/>
              <a:prstDash val="solid"/>
            </a:ln>
          </spPr>
        </title>
        <numFmt formatCode="0.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148052"/>
        <crosses val="autoZero"/>
        <crossBetween val="midCat"/>
      </valAx>
      <valAx>
        <axId val="148052"/>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Group (in)</a:t>
                </a:r>
              </a:p>
            </rich>
          </tx>
          <overlay val="0"/>
          <spPr>
            <a:noFill xmlns:a="http://schemas.openxmlformats.org/drawingml/2006/main"/>
            <a:ln xmlns:a="http://schemas.openxmlformats.org/drawingml/2006/main" w="0">
              <a:noFill/>
              <a:prstDash val="solid"/>
            </a:ln>
          </spPr>
        </title>
        <numFmt formatCode="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33525579"/>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8.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SD vs. Jump</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"SD vs. Jump"</f>
              <strCache>
                <ptCount val="1"/>
                <pt idx="0">
                  <v>SD vs. Jump</v>
                </pt>
              </strCache>
            </strRef>
          </tx>
          <spPr>
            <a:solidFill xmlns:a="http://schemas.openxmlformats.org/drawingml/2006/main">
              <a:srgbClr val="305496"/>
            </a:solidFill>
            <a:ln xmlns:a="http://schemas.openxmlformats.org/drawingml/2006/main" w="0">
              <a:solidFill>
                <a:srgbClr val="305496"/>
              </a:solidFill>
              <a:prstDash val="solid"/>
            </a:ln>
          </spPr>
          <marker>
            <symbol val="circle"/>
            <size val="7"/>
            <spPr>
              <a:solidFill xmlns:a="http://schemas.openxmlformats.org/drawingml/2006/main">
                <a:srgbClr val="305496"/>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'Seating Depth'!$B$16:$B$25</f>
              <numCache>
                <formatCode>0.000</formatCode>
                <ptCount val="10"/>
              </numCache>
            </numRef>
          </xVal>
          <yVal>
            <numRef>
              <f>'Seating Depth'!$K$16:$K$25</f>
              <numCache>
                <formatCode>General</formatCode>
                <ptCount val="10"/>
              </numCache>
            </numRef>
          </yVal>
          <smooth val="0"/>
        </ser>
        <axId val="61859044"/>
        <axId val="61461940"/>
      </scatterChart>
      <valAx>
        <axId val="61859044"/>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Jump (in, off the lands)</a:t>
                </a:r>
              </a:p>
            </rich>
          </tx>
          <overlay val="0"/>
          <spPr>
            <a:noFill xmlns:a="http://schemas.openxmlformats.org/drawingml/2006/main"/>
            <a:ln xmlns:a="http://schemas.openxmlformats.org/drawingml/2006/main" w="0">
              <a:noFill/>
              <a:prstDash val="solid"/>
            </a:ln>
          </spPr>
        </title>
        <numFmt formatCode="0.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1461940"/>
        <crosses val="autoZero"/>
        <crossBetween val="midCat"/>
      </valAx>
      <valAx>
        <axId val="61461940"/>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SD (fps)</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1859044"/>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9.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Avg Velocity vs. Jump (sanity check — should be flat)</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"Avg Velocity vs. Jump (sanity check — should be flat)"</f>
              <strCache>
                <ptCount val="1"/>
                <pt idx="0">
                  <v>Avg Velocity vs. Jump (sanity check — should be flat)</v>
                </pt>
              </strCache>
            </strRef>
          </tx>
          <spPr>
            <a:solidFill xmlns:a="http://schemas.openxmlformats.org/drawingml/2006/main">
              <a:srgbClr val="2E7D32"/>
            </a:solidFill>
            <a:ln xmlns:a="http://schemas.openxmlformats.org/drawingml/2006/main" w="0">
              <a:solidFill>
                <a:srgbClr val="2E7D32"/>
              </a:solidFill>
              <a:prstDash val="solid"/>
            </a:ln>
          </spPr>
          <marker>
            <symbol val="circle"/>
            <size val="7"/>
            <spPr>
              <a:solidFill xmlns:a="http://schemas.openxmlformats.org/drawingml/2006/main">
                <a:srgbClr val="2E7D32"/>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'Seating Depth'!$B$16:$B$25</f>
              <numCache>
                <formatCode>0.000</formatCode>
                <ptCount val="10"/>
              </numCache>
            </numRef>
          </xVal>
          <yVal>
            <numRef>
              <f>'Seating Depth'!$I$16:$I$25</f>
              <numCache>
                <formatCode>General</formatCode>
                <ptCount val="10"/>
              </numCache>
            </numRef>
          </yVal>
          <smooth val="0"/>
        </ser>
        <axId val="97085231"/>
        <axId val="39632189"/>
      </scatterChart>
      <valAx>
        <axId val="97085231"/>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Jump (in, off the lands)</a:t>
                </a:r>
              </a:p>
            </rich>
          </tx>
          <overlay val="0"/>
          <spPr>
            <a:noFill xmlns:a="http://schemas.openxmlformats.org/drawingml/2006/main"/>
            <a:ln xmlns:a="http://schemas.openxmlformats.org/drawingml/2006/main" w="0">
              <a:noFill/>
              <a:prstDash val="solid"/>
            </a:ln>
          </spPr>
        </title>
        <numFmt formatCode="0.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39632189"/>
        <crosses val="autoZero"/>
        <crossBetween val="midCat"/>
      </valAx>
      <valAx>
        <axId val="39632189"/>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Avg 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97085231"/>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omments/comment1.xml><?xml version="1.0" encoding="utf-8"?>
<comments xmlns="http://schemas.openxmlformats.org/spreadsheetml/2006/main">
  <authors>
    <author>None</author>
  </authors>
  <commentList>
    <comment ref="B3" authorId="0" shapeId="0">
      <text>
        <t>Suggested Charge
The charge with the LOWEST composite score — a weighted blend of
velocity flatness, SD, and group size.
Full breakdown and editable weights on the 'Charts' tab.
Always cross-check by shooting a confirmation group at this charge
plus ±0.3–0.5 gr before committing.</t>
      </text>
    </comment>
    <comment ref="D3"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 ref="J17" authorId="0" shapeId="0">
      <text>
        <t>COMPOSITE SCORE — HOW IT'S CALCULATED
Each candidate load is scored on three factors:
  1. Velocity Flat Spot — spread (max−min) of avg velocities across the
     3-charge window (low, middle, high). Smaller = flatter = better.
  2. SD — standard deviation of the 5-shot string at the middle charge.
     Smaller = more consistent = better.
  3. Group MOA — group size at the middle charge, converted to MOA.
     Smaller = more accurate = better.
Each factor is normalized across the candidates:
     Normalized = (value − min) / (max − min)
  So the best-in-class candidate gets 0, the worst gets 1.
The three normalized scores are combined using the weights in row 11
(defaults: Velocity 0.40, SD 0.30, Group 0.30). Weights must sum to 1.0.
     Composite = W_vel × Norm_Spread
               + W_sd  × Norm_SD
               + W_moa × Norm_MOA
LOWEST composite score wins (0.000 = best on all three factors).
The 'Rank' column shows each candidate's position (1 = best).
Change the weights to reprioritize (e.g., bump Group to 0.50 if
accuracy matters more than velocity consistency for your use case).</t>
      </text>
    </comment>
    <comment ref="J18"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 ref="J19"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 ref="J20"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 ref="J21"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 ref="J22"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List>
</comments>
</file>

<file path=xl/comments/comment2.xml><?xml version="1.0" encoding="utf-8"?>
<comments xmlns="http://schemas.openxmlformats.org/spreadsheetml/2006/main">
  <authors>
    <author>None</author>
    <author>Notes</author>
  </authors>
  <commentList>
    <comment ref="C22" authorId="0" shapeId="0">
      <text>
        <t>Suggested Jump (composite score)
Lowest weighted blend of velocity spread, SD, and group MOA
across a 3-step rolling window. Lower is better.
Always confirm the winner with a fresh 5-shot group
before committing to a load.</t>
      </text>
    </comment>
    <comment ref="A29" authorId="1" shapeId="0">
      <text>
        <t>MIDDLE JUMP
The center jump of a 3-step window (low / middle / high). Each test gets evaluated as the middle of a window using its neighbors on either side, so end-of-table jumps don't get a window.</t>
      </text>
    </comment>
    <comment ref="B29" authorId="1" shapeId="0">
      <text>
        <t>LOW JUMP
The jump one step shallower than the middle (closer to the lands). Used together with the High jump to compute Velocity Spread for this window.</t>
      </text>
    </comment>
    <comment ref="C29" authorId="1" shapeId="0">
      <text>
        <t>HIGH JUMP
The jump one step deeper than the middle (further off the lands). Used with the Low jump to compute Velocity Spread for this window.</t>
      </text>
    </comment>
    <comment ref="D29" authorId="1" shapeId="0">
      <text>
        <t>VELOCITY SPREAD
MAX(Avg Vel) − MIN(Avg Vel) across the three jumps in the window (low, middle, high).
Tighter spread = a flatter velocity node — less sensitive to small seating-depth variation. Lower is better.</t>
      </text>
    </comment>
    <comment ref="E29" authorId="1" shapeId="0">
      <text>
        <t>SHOT-STRING STANDARD DEVIATION
Standard deviation of the 5 shots fired at the middle jump. Pulled directly from the data table (column L of row matching this middle jump).
Lower SD = more consistent ignition and burn. Lower is better.</t>
      </text>
    </comment>
    <comment ref="F29" authorId="1" shapeId="0">
      <text>
        <t>MEAN RADIUS — MOA
Mean Radius at the middle jump, converted to MOA:
    MR (MOA) = MR(in) ÷ (Distance/100) ÷ 1.047
Mean Radius is statistically more reliable than extreme-spread group size because it uses every shot's distance from group center, not just the two outliers. Lower is better.
FALLBACK: if you didn't measure Mean Radius for a row, this falls back to Group (in) for that row so scoring still works.</t>
      </text>
    </comment>
    <comment ref="G29" authorId="1" shapeId="0">
      <text>
        <t>VERTICAL DISPERSION — MOA
Vertical-only dispersion at the middle jump, converted to MOA. If you didn't enter a Vertical (in) value, this falls back to the full Group (MOA) so the formula still produces a number.
Useful when you measure vertical separately (e.g., for ELR work). Lower is better.</t>
      </text>
    </comment>
    <comment ref="H29" authorId="1" shapeId="0">
      <text>
        <t>NORMALIZED VELOCITY SPREAD (0–1)
    (this Vel Spread − min) / (max − min)
across all 8 candidate windows.
Best window scores 0, worst scores 1. Used as input to the weighted Composite Score.</t>
      </text>
    </comment>
    <comment ref="I29" authorId="1" shapeId="0">
      <text>
        <t>NORMALIZED SD (0–1)
    (this SD − min) / (max − min)
across all 8 candidate windows.
Best scores 0, worst scores 1. Input to Composite Score.</t>
      </text>
    </comment>
    <comment ref="J29" authorId="1" shapeId="0">
      <text>
        <t>NORMALIZED MEAN RADIUS (0–1)
    (this MR (MOA) − min) / (max − min)
across all 8 candidate windows.
Best scores 0, worst scores 1. Input to Composite Score with the Group/MR weight from row 28.</t>
      </text>
    </comment>
    <comment ref="K29" authorId="1" shapeId="0">
      <text>
        <t>NORMALIZED VERTICAL MOA (0–1)
    (this Vert MOA − min) / (max − min)
across all 8 candidate windows.
Best scores 0, worst scores 1. Input to Composite Score.</t>
      </text>
    </comment>
    <comment ref="L29" authorId="1" shapeId="0">
      <text>
        <t>COMPOSITE SCORE (Seating Depth) — HOW IT'S CALCULATED
Each candidate jump (middle of a 3-step window) is scored on:
  1. Velocity Spread — spread of avg velocities across low/mid/high
     jumps in the window.
  2. SD — shot-string standard deviation at the middle jump.
  3. Mean Radius (MOA) — average distance of each shot from group
     center, at the middle jump. Best single indicator for tuning.
     If MR isn't entered for a row, this falls back to Group (in).
  4. Vertical (MOA) — vertical-only dispersion at the middle jump.
     Falls back to MR (MOA) if Vertical (in) isn't entered.
Each factor is normalized 0–1 across the candidates:
    Normalized = (value − min) / (max − min)
Best-in-class gets 0, worst gets 1.
Combined using the weights in row 28
(defaults: Velocity 0.15, SD 0.25, MR 0.25, Vertical 0.35).
Weights must sum to 1.0.
    Composite = W_vel × Norm_Spread
              + W_sd  × Norm_SD
              + W_mr  × Norm_MR
              + W_vrt × Norm_Vert
LOWEST composite wins. Rank shows each candidate's position.</t>
      </text>
    </comment>
    <comment ref="M29" authorId="1" shapeId="0">
      <text>
        <t>RANK
Ranks each candidate window from 1 (best) to 8 (worst) by Composite Score, lowest score wins.
    =RANK(Composite, all_composites, 1)
The Suggested Jump up top is whichever window has Rank = 1.</t>
      </text>
    </comment>
    <comment ref="O29" authorId="1" shapeId="0">
      <text>
        <t>BEST-IN-CLASS FLAGS
Shows which individual factors this window is the best at:
  • Vel ✓     — lowest Velocity Spread
  • SD ✓      — lowest shot-string SD
  • MR ✓      — smallest Mean Radius MOA
  • Vert ✓    — smallest Vertical MOA
A window can win multiple categories. The composite winner often isn't the best in every single category — that's the trade-off you're tuning with the weights.</t>
      </text>
    </comment>
  </commentList>
</comments>
</file>

<file path=xl/comments/comment3.xml><?xml version="1.0" encoding="utf-8"?>
<comments xmlns="http://schemas.openxmlformats.org/spreadsheetml/2006/main">
  <authors>
    <author>Notes</author>
  </authors>
  <commentList>
    <comment ref="A5" authorId="0" shapeId="0">
      <text>
        <t>TAG
Tag identifying which session this row maps to. P1–P10 → Load Log Powder Ladder Loads 1–10. S1–S10 → Seating Depth Tests 1–10. Don't reorder rows 6–15 (Loads) or 17–26 (Tests) — Load Log/SD shot cells reference exact rows.</t>
      </text>
    </comment>
    <comment ref="B5" authorId="0" shapeId="0">
      <text>
        <t>DATE
Date of the Garmin session.</t>
      </text>
    </comment>
    <comment ref="C5" authorId="0" shapeId="0">
      <text>
        <t>SESSION TITLE
First-line title from ShotView CSV.</t>
      </text>
    </comment>
    <comment ref="D5" authorId="0" shapeId="0">
      <text>
        <t># SHOTS
Auto-counts shots populated in this row.</t>
      </text>
    </comment>
    <comment ref="E5" authorId="0" shapeId="0">
      <text>
        <t>SHOT 1 (FPS)
Shot 1 velocity. Wired to Load Log/SD.</t>
      </text>
    </comment>
    <comment ref="F5" authorId="0" shapeId="0">
      <text>
        <t>SHOT 2 (FPS)
Shot 2 velocity. Wired.</t>
      </text>
    </comment>
    <comment ref="G5" authorId="0" shapeId="0">
      <text>
        <t>SHOT 3 (FPS)
Shot 3 velocity. Wired.</t>
      </text>
    </comment>
    <comment ref="H5" authorId="0" shapeId="0">
      <text>
        <t>SHOT 4 (FPS)
Shot 4 velocity. Wired.</t>
      </text>
    </comment>
    <comment ref="I5" authorId="0" shapeId="0">
      <text>
        <t>SHOT 5 (FPS)
Shot 5 velocity. Wired.</t>
      </text>
    </comment>
    <comment ref="J5" authorId="0" shapeId="0">
      <text>
        <t>SHOT 6 (FPS)
Optional 6th shot — NOT wired (Load Log expects 5).</t>
      </text>
    </comment>
    <comment ref="K5" authorId="0" shapeId="0">
      <text>
        <t>SHOT 7 (FPS)
Optional 7th — NOT wired.</t>
      </text>
    </comment>
    <comment ref="L5" authorId="0" shapeId="0">
      <text>
        <t>AVG VEL (FPS)
Auto: AVERAGE(E:K).</t>
      </text>
    </comment>
    <comment ref="M5" authorId="0" shapeId="0">
      <text>
        <t>SD (FPS)
Auto: STDEV(E:K).</t>
      </text>
    </comment>
    <comment ref="N5" authorId="0" shapeId="0">
      <text>
        <t>ES (FPS)
Auto: MAX − MIN.</t>
      </text>
    </comment>
    <comment ref="O5" authorId="0" shapeId="0">
      <text>
        <t>BULLET WT (GR)
From CSV's PROJECTILE WEIGHT row. Reference.</t>
      </text>
    </comment>
    <comment ref="P5" authorId="0" shapeId="0">
      <text>
        <t>AVG KE (FT·LB)
From CSV's AVG KINETIC ENERGY. Reference.</t>
      </text>
    </comment>
    <comment ref="Q5" authorId="0" shapeId="0">
      <text>
        <t>NOTES
Anything from the CSV's SESSION NOTE field.</t>
      </text>
    </comment>
  </commentList>
</comments>
</file>

<file path=xl/comments/comment4.xml><?xml version="1.0" encoding="utf-8"?>
<comments xmlns="http://schemas.openxmlformats.org/spreadsheetml/2006/main">
  <authors>
    <author>Notes</author>
  </authors>
  <commentList>
    <comment ref="A5" authorId="0" shapeId="0">
      <text>
        <t>TAG
Tag identifying which load/test this row maps to. P1–P10 → Load Log Powder Ladder Loads 1–10. S1–S10 → Seating Depth Tests 1–10. Type the SAME tag in BallisticX's Label field for each group, and the lookup matches.</t>
      </text>
    </comment>
    <comment ref="B5" authorId="0" shapeId="0">
      <text>
        <t>DATE
Date from BallisticX's CreatedAt field.</t>
      </text>
    </comment>
    <comment ref="C5" authorId="0" shapeId="0">
      <text>
        <t>DISTANCE (YD)
Distance to target.</t>
      </text>
    </comment>
    <comment ref="D5" authorId="0" shapeId="0">
      <text>
        <t>GROUP (IN)
Extreme spread group size (the 'Group Size' field). Maps to Load Log/Seating Depth Group (in) column.</t>
      </text>
    </comment>
    <comment ref="E5" authorId="0" shapeId="0">
      <text>
        <t>WIDTH (IN)
Overall horizontal width of the group. Diagnostic — helps identify wind/recoil patterns.</t>
      </text>
    </comment>
    <comment ref="F5" authorId="0" shapeId="0">
      <text>
        <t>HEIGHT (IN)
Overall vertical height of the group. Maps to Vertical (in) column on Load Log/SD.</t>
      </text>
    </comment>
    <comment ref="G5" authorId="0" shapeId="0">
      <text>
        <t>MR (IN)
Mean Radius — the most statistically robust accuracy metric. Maps to Mean Radius (in) on Load Log/SD.</t>
      </text>
    </comment>
    <comment ref="H5" authorId="0" shapeId="0">
      <text>
        <t>CEP (IN)
Circular Error Probable — alternative accuracy metric, statistically similar to MR. Reference.</t>
      </text>
    </comment>
    <comment ref="I5" authorId="0" shapeId="0">
      <text>
        <t>SD RADIAL (IN)
Standard deviation of shot positions from group center, 2D.</t>
      </text>
    </comment>
    <comment ref="J5" authorId="0" shapeId="0">
      <text>
        <t>SD VERT (IN)
Vertical-only dispersion SD. Best predictor of long-range hit probability.</t>
      </text>
    </comment>
    <comment ref="K5" authorId="0" shapeId="0">
      <text>
        <t>SD HORIZ (IN)
Horizontal-only dispersion SD. Useful for diagnosing wind during the session.</t>
      </text>
    </comment>
    <comment ref="L5" authorId="0" shapeId="0">
      <text>
        <t>CALIBER
From BallisticX caliber selector. Reference only.</t>
      </text>
    </comment>
    <comment ref="M5" authorId="0" shapeId="0">
      <text>
        <t>NOTES
Anything from BallisticX's measure type field, your own observations, etc.</t>
      </text>
    </comment>
  </commentList>
</comments>
</file>

<file path=xl/comments/comment5.xml><?xml version="1.0" encoding="utf-8"?>
<comments xmlns="http://schemas.openxmlformats.org/spreadsheetml/2006/main">
  <authors>
    <author>Notes</author>
  </authors>
  <commentList>
    <comment ref="A4" authorId="0" shapeId="0">
      <text>
        <t>#
Sequential record number — auto-fill or type manually.</t>
      </text>
    </comment>
    <comment ref="B4" authorId="0" shapeId="0">
      <text>
        <t>DATE ADDED
Date this load was confirmed and added to the library.</t>
      </text>
    </comment>
    <comment ref="C4" authorId="0" shapeId="0">
      <text>
        <t>LOAD NAME
Short identifier for this load (e.g., '6.5CM 140 ELD-M / H4350 / 41.5gr').</t>
      </text>
    </comment>
    <comment ref="D4" authorId="0" shapeId="0">
      <text>
        <t>RIFLE
Rifle this load was developed for. Loads are barrel-specific — keep them tied to the rifle.</t>
      </text>
    </comment>
    <comment ref="E4" authorId="0" shapeId="0">
      <text>
        <t>BULLET
Bullet model (e.g., 'Hornady ELD-M', 'Berger 140 Hybrid').</t>
      </text>
    </comment>
    <comment ref="F4" authorId="0" shapeId="0">
      <text>
        <t>BULLET WT (GR)
Bullet weight in grains. Used in the muzzle-energy formula.</t>
      </text>
    </comment>
    <comment ref="G4" authorId="0" shapeId="0">
      <text>
        <t>POWDER
Powder type.</t>
      </text>
    </comment>
    <comment ref="H4" authorId="0" shapeId="0">
      <text>
        <t>CHARGE (GR)
Final powder charge (grains).</t>
      </text>
    </comment>
    <comment ref="I4" authorId="0" shapeId="0">
      <text>
        <t>PRIMER
Primer (e.g., 'CCI BR-2', 'Fed 210M').</t>
      </text>
    </comment>
    <comment ref="J4" authorId="0" shapeId="0">
      <text>
        <t>BRASS
Brass headstamp (e.g., 'Hornady', 'Lapua', 'Peterson').</t>
      </text>
    </comment>
    <comment ref="K4" authorId="0" shapeId="0">
      <text>
        <t>CBTO (IN)
Cartridge Base-To-Ogive measurement. The actual seating dimension (more repeatable than COAL).</t>
      </text>
    </comment>
    <comment ref="L4" authorId="0" shapeId="0">
      <text>
        <t>JUMP (IN)
Bullet jump off the lands (positive number = off lands). From your seating-depth test.</t>
      </text>
    </comment>
    <comment ref="M4" authorId="0" shapeId="0">
      <text>
        <t>AVG VEL (FPS)
Average chronograph velocity over a confirmation 5–10 shot string.</t>
      </text>
    </comment>
    <comment ref="N4" authorId="0" shapeId="0">
      <text>
        <t>SD (FPS)
Shot-string standard deviation. Lower = more consistent ignition/burn.</t>
      </text>
    </comment>
    <comment ref="O4" authorId="0" shapeId="0">
      <text>
        <t>GROUP (MOA)
Confirmation group MOA (extreme spread).</t>
      </text>
    </comment>
    <comment ref="P4" authorId="0" shapeId="0">
      <text>
        <t>MR (MOA)
Mean Radius MOA — average distance of each shot from group center. Statistically more reliable than extreme spread.</t>
      </text>
    </comment>
    <comment ref="Q4" authorId="0" shapeId="0">
      <text>
        <t>NOTES / CONDITIONS
Lot numbers, density altitude during confirmation, brass annealing notes, weather, anything that helps repeat the load.</t>
      </text>
    </comment>
  </commentList>
</comments>
</file>

<file path=xl/comments/comment6.xml><?xml version="1.0" encoding="utf-8"?>
<comments xmlns="http://schemas.openxmlformats.org/spreadsheetml/2006/main">
  <authors>
    <author>Notes</author>
  </authors>
  <commentList>
    <comment ref="A8" authorId="0" shapeId="0">
      <text>
        <t>RANGE (YD)
Distance to target in yards. Standard increments 100→1000.</t>
      </text>
    </comment>
    <comment ref="B8" authorId="0" shapeId="0">
      <text>
        <t>MILS — ELEV
Elevation hold in MILS for this distance. Pull from your ballistic app or measured DOPE. Mil scopes typically: 1 click = 0.1 mil.</t>
      </text>
    </comment>
    <comment ref="C8" authorId="0" shapeId="0">
      <text>
        <t>MIL CLICKS
Number of clicks UP from your zero. Auto = Mils × 10 (assumes 0.1 mil per click).</t>
      </text>
    </comment>
    <comment ref="D8" authorId="0" shapeId="0">
      <text>
        <t>MOA — ELEV
Elevation hold in MOA for this distance. MOA scopes typically: 1 click = 1/4 MOA = 0.25 MOA.</t>
      </text>
    </comment>
    <comment ref="E8" authorId="0" shapeId="0">
      <text>
        <t>MOA CLICKS
Auto = MOA × 4 (assumes 1/4 MOA per click).</t>
      </text>
    </comment>
    <comment ref="F8" authorId="0" shapeId="0">
      <text>
        <t>WIND MILS / 10 MPH
Mils of wind hold for a 10-mph FULL-VALUE crosswind (90°). Scale linearly: a 5 mph wind = half this; a 6 mph wind = 0.6×; a half-value (45°) wind = half.</t>
      </text>
    </comment>
    <comment ref="G8" authorId="0" shapeId="0">
      <text>
        <t>WIND MIL CLK
Auto = Wind Mils × 10.</t>
      </text>
    </comment>
    <comment ref="H8" authorId="0" shapeId="0">
      <text>
        <t>WIND MOA / 10 MPH
MOA of wind hold for a 10-mph full-value crosswind.</t>
      </text>
    </comment>
    <comment ref="I8" authorId="0" shapeId="0">
      <text>
        <t>WIND MOA CLK
Auto = Wind MOA × 4.</t>
      </text>
    </comment>
    <comment ref="J8" authorId="0" shapeId="0">
      <text>
        <t>TOF (SEC)
Time of flight (optional). Useful for moving-target leads. From your ballistic app.</t>
      </text>
    </comment>
    <comment ref="K8" authorId="0" shapeId="0">
      <text>
        <t>NOTES
Anything else: spin drift correction, atmospheric notes, alternate hold-overs, this DOPE's confirm-fired status.</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_rels/drawing2.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drawing1.xml><?xml version="1.0" encoding="utf-8"?>
<wsDr xmlns="http://schemas.openxmlformats.org/drawingml/2006/spreadsheetDrawing">
  <twoCellAnchor editAs="oneCell">
    <from>
      <col>0</col>
      <colOff>0</colOff>
      <row>28</row>
      <rowOff>0</rowOff>
    </from>
    <to>
      <col>8</col>
      <colOff>534240</colOff>
      <row>44</row>
      <rowOff>168840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0</col>
      <colOff>0</colOff>
      <row>50</row>
      <rowOff>0</rowOff>
    </from>
    <to>
      <col>8</col>
      <colOff>534240</colOff>
      <row>66</row>
      <rowOff>168840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0</col>
      <colOff>0</colOff>
      <row>72</row>
      <rowOff>0</rowOff>
    </from>
    <to>
      <col>9</col>
      <colOff>258120</colOff>
      <row>90</row>
      <rowOff>149400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2.xml><?xml version="1.0" encoding="utf-8"?>
<wsDr xmlns="http://schemas.openxmlformats.org/drawingml/2006/spreadsheetDrawing">
  <twoCellAnchor editAs="oneCell">
    <from>
      <col>0</col>
      <colOff>0</colOff>
      <row>31</row>
      <rowOff>0</rowOff>
    </from>
    <to>
      <col>5</col>
      <colOff>591480</colOff>
      <row>49</row>
      <rowOff>149400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0</col>
      <colOff>0</colOff>
      <row>53</row>
      <rowOff>0</rowOff>
    </from>
    <to>
      <col>5</col>
      <colOff>591480</colOff>
      <row>71</row>
      <rowOff>149760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0</col>
      <colOff>0</colOff>
      <row>75</row>
      <rowOff>0</rowOff>
    </from>
    <to>
      <col>6</col>
      <colOff>389520</colOff>
      <row>95</row>
      <rowOff>130680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editAs="oneCell">
    <from>
      <col>0</col>
      <colOff>0</colOff>
      <row>38</row>
      <rowOff>0</rowOff>
    </from>
    <to>
      <col>14</col>
      <colOff>1281240</colOff>
      <row>54</row>
      <rowOff>168840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0</col>
      <colOff>0</colOff>
      <row>60</row>
      <rowOff>0</rowOff>
    </from>
    <to>
      <col>14</col>
      <colOff>1281240</colOff>
      <row>76</row>
      <rowOff>168840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0</col>
      <colOff>0</colOff>
      <row>82</row>
      <rowOff>0</rowOff>
    </from>
    <to>
      <col>14</col>
      <colOff>1281240</colOff>
      <row>98</row>
      <rowOff>168840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pitchFamily="0" charset="1"/>
        <a:ea typeface="Calibri" pitchFamily="0" charset="1"/>
        <a:cs typeface="Calibri" pitchFamily="0" charset="1"/>
      </a:majorFont>
      <a:minorFont>
        <a:latin typeface="Calibri" pitchFamily="0" charset="1"/>
        <a:ea typeface="Calibri" pitchFamily="0" charset="1"/>
        <a:cs typeface="Calibri"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comments" Target="/xl/comments/comment2.xml" Id="comments"/><Relationship Type="http://schemas.openxmlformats.org/officeDocument/2006/relationships/vmlDrawing" Target="/xl/drawings/commentsDrawing2.vml" Id="anysvml"/></Relationships>
</file>

<file path=xl/worksheets/_rels/sheet5.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commentsDrawing3.vml" Id="anysvml"/></Relationships>
</file>

<file path=xl/worksheets/_rels/sheet6.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commentsDrawing4.vml" Id="anysvml"/></Relationships>
</file>

<file path=xl/worksheets/_rels/sheet7.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commentsDrawing5.vml" Id="anysvml"/></Relationships>
</file>

<file path=xl/worksheets/_rels/sheet8.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commentsDrawing6.vml" Id="anysvml"/></Relationships>
</file>

<file path=xl/worksheets/sheet1.xml><?xml version="1.0" encoding="utf-8"?>
<worksheet xmlns="http://schemas.openxmlformats.org/spreadsheetml/2006/main">
  <sheetPr>
    <outlinePr summaryBelow="1" summaryRight="1"/>
    <pageSetUpPr fitToPage="1"/>
  </sheetPr>
  <dimension ref="A1:H16"/>
  <sheetViews>
    <sheetView workbookViewId="0">
      <selection activeCell="A1" sqref="A1"/>
    </sheetView>
  </sheetViews>
  <sheetFormatPr baseColWidth="8" defaultRowHeight="15"/>
  <cols>
    <col width="3" customWidth="1" style="141" min="1" max="1"/>
    <col width="16" customWidth="1" style="141" min="2" max="2"/>
    <col width="16" customWidth="1" style="141" min="3" max="3"/>
    <col width="16" customWidth="1" style="141" min="4" max="4"/>
    <col width="16" customWidth="1" style="141" min="5" max="5"/>
    <col width="16" customWidth="1" style="141" min="6" max="6"/>
    <col width="16" customWidth="1" style="141" min="7" max="7"/>
    <col width="16" customWidth="1" style="141" min="8" max="8"/>
  </cols>
  <sheetData>
    <row r="1" ht="28" customHeight="1" s="141">
      <c r="A1" s="308" t="inlineStr">
        <is>
          <t>After Range Day</t>
        </is>
      </c>
      <c r="B1" s="309" t="n"/>
      <c r="C1" s="309" t="n"/>
      <c r="D1" s="309" t="n"/>
      <c r="E1" s="309" t="n"/>
      <c r="F1" s="309" t="n"/>
      <c r="G1" s="309" t="n"/>
      <c r="H1" s="309" t="n"/>
    </row>
    <row r="2" ht="24" customHeight="1" s="141">
      <c r="A2" s="310" t="inlineStr">
        <is>
          <t>Drop CSVs in the import folders, double-click 'Import Rifle Data' on your Desktop, and the workbook fills in.</t>
        </is>
      </c>
      <c r="B2" s="309" t="n"/>
      <c r="C2" s="309" t="n"/>
      <c r="D2" s="309" t="n"/>
      <c r="E2" s="309" t="n"/>
      <c r="F2" s="309" t="n"/>
      <c r="G2" s="309" t="n"/>
      <c r="H2" s="309" t="n"/>
    </row>
    <row r="3" ht="4" customHeight="1" s="141">
      <c r="A3" s="309" t="n"/>
      <c r="B3" s="309" t="n"/>
      <c r="C3" s="309" t="n"/>
      <c r="D3" s="309" t="n"/>
      <c r="E3" s="309" t="n"/>
      <c r="F3" s="309" t="n"/>
      <c r="G3" s="309" t="n"/>
      <c r="H3" s="309" t="n"/>
    </row>
    <row r="4" ht="22" customHeight="1" s="141">
      <c r="A4" s="311" t="inlineStr">
        <is>
          <t>A.  Adding to your CURRENT load cycle (most range trips)</t>
        </is>
      </c>
      <c r="B4" s="309" t="n"/>
      <c r="C4" s="309" t="n"/>
      <c r="D4" s="309" t="n"/>
      <c r="E4" s="309" t="n"/>
      <c r="F4" s="309" t="n"/>
      <c r="G4" s="309" t="n"/>
      <c r="H4" s="309" t="n"/>
    </row>
    <row r="5" ht="88" customHeight="1" s="141">
      <c r="A5" s="310" t="inlineStr">
        <is>
          <t>1.  Save Garmin CSVs into  Garmin Imports/   (label them inside ShotView before exporting)
2.  Save BallisticX CSV into  BallisticX Imports/  and RENAME the file to your label, e.g. 'P1 45.5 H4350.csv'
3.  Close Excel. Double-click  'Import Rifle Data'  on your Desktop. Workbook opens with all data filled in.
4.  On Load Log, fill in date / temp / notes in the green Test Session bar, then save (Cmd+S).</t>
        </is>
      </c>
      <c r="B5" s="309" t="n"/>
      <c r="C5" s="309" t="n"/>
      <c r="D5" s="309" t="n"/>
      <c r="E5" s="309" t="n"/>
      <c r="F5" s="309" t="n"/>
      <c r="G5" s="309" t="n"/>
      <c r="H5" s="309" t="n"/>
    </row>
    <row r="6" ht="4" customHeight="1" s="141">
      <c r="A6" s="309" t="n"/>
      <c r="B6" s="309" t="n"/>
      <c r="C6" s="309" t="n"/>
      <c r="D6" s="309" t="n"/>
      <c r="E6" s="309" t="n"/>
      <c r="F6" s="309" t="n"/>
      <c r="G6" s="309" t="n"/>
      <c r="H6" s="309" t="n"/>
    </row>
    <row r="7" ht="22" customHeight="1" s="141">
      <c r="A7" s="312" t="inlineStr">
        <is>
          <t>B.  Starting a NEW load cycle (different cartridge, bullet, or powder)</t>
        </is>
      </c>
      <c r="B7" s="309" t="n"/>
      <c r="C7" s="309" t="n"/>
      <c r="D7" s="309" t="n"/>
      <c r="E7" s="309" t="n"/>
      <c r="F7" s="309" t="n"/>
      <c r="G7" s="309" t="n"/>
      <c r="H7" s="309" t="n"/>
    </row>
    <row r="8" ht="110" customHeight="1" s="141">
      <c r="A8" s="310" t="inlineStr">
        <is>
          <t>1.  Move the finished workbook into a 'Completed Loads' subfolder so the script ignores it.
2.  Move all CSVs from Garmin Imports/ and BallisticX Imports/ into archive subfolders inside each (e.g. 'Garmin Imports/2026-Spring 6.5CM/').
3.  Double-click  Rifle Loads Template (do not edit).xltx  → File → Save As → name it for the new cycle (e.g. '6.5CM 140 ELD-M H4350 May 2026.xlsx'). Save in the project folder.
4.  Drop the new range trip's CSVs into the import folders, then run Import Rifle Data as normal (steps in section A).</t>
        </is>
      </c>
      <c r="B8" s="309" t="n"/>
      <c r="C8" s="309" t="n"/>
      <c r="D8" s="309" t="n"/>
      <c r="E8" s="309" t="n"/>
      <c r="F8" s="309" t="n"/>
      <c r="G8" s="309" t="n"/>
      <c r="H8" s="309" t="n"/>
    </row>
    <row r="9" ht="4" customHeight="1" s="141">
      <c r="A9" s="309" t="n"/>
      <c r="B9" s="309" t="n"/>
      <c r="C9" s="309" t="n"/>
      <c r="D9" s="309" t="n"/>
      <c r="E9" s="309" t="n"/>
      <c r="F9" s="309" t="n"/>
      <c r="G9" s="309" t="n"/>
      <c r="H9" s="309" t="n"/>
    </row>
    <row r="10" ht="22" customHeight="1" s="141">
      <c r="A10" s="313" t="inlineStr">
        <is>
          <t>Label format:   &lt;tag&gt; &lt;number&gt; &lt;powder&gt;</t>
        </is>
      </c>
      <c r="B10" s="309" t="n"/>
      <c r="C10" s="309" t="n"/>
      <c r="D10" s="309" t="n"/>
      <c r="E10" s="309" t="n"/>
      <c r="F10" s="309" t="n"/>
      <c r="G10" s="309" t="n"/>
      <c r="H10" s="309" t="n"/>
    </row>
    <row r="11" ht="100" customHeight="1" s="141">
      <c r="A11" s="314" t="inlineStr">
        <is>
          <t>P1 45.5 H4350           →  Powder ladder Load 1, 45.5 gr of H4350
S7 0.070 H4350          →  Seating Depth Test 7, 0.070" jump
CONFIRM-1 41.5 H4350    →  Confirmation group
Use the SAME label for the matching Garmin session and BallisticX file. The first word (P1, S7, CONFIRM-1) is the row tag.</t>
        </is>
      </c>
      <c r="B11" s="309" t="n"/>
      <c r="C11" s="309" t="n"/>
      <c r="D11" s="309" t="n"/>
      <c r="E11" s="309" t="n"/>
      <c r="F11" s="309" t="n"/>
      <c r="G11" s="309" t="n"/>
      <c r="H11" s="309" t="n"/>
    </row>
    <row r="12" ht="4" customHeight="1" s="141">
      <c r="A12" s="309" t="n"/>
      <c r="B12" s="309" t="n"/>
      <c r="C12" s="309" t="n"/>
      <c r="D12" s="309" t="n"/>
      <c r="E12" s="309" t="n"/>
      <c r="F12" s="309" t="n"/>
      <c r="G12" s="309" t="n"/>
      <c r="H12" s="309" t="n"/>
    </row>
    <row r="13" ht="22" customHeight="1" s="141">
      <c r="A13" s="315" t="inlineStr">
        <is>
          <t>If something looks wrong</t>
        </is>
      </c>
      <c r="B13" s="309" t="n"/>
      <c r="C13" s="309" t="n"/>
      <c r="D13" s="309" t="n"/>
      <c r="E13" s="309" t="n"/>
      <c r="F13" s="309" t="n"/>
      <c r="G13" s="309" t="n"/>
      <c r="H13" s="309" t="n"/>
    </row>
    <row r="14" ht="98" customHeight="1" s="141">
      <c r="A14" s="310" t="inlineStr">
        <is>
          <t>•  Row stays blank  →  tag mismatch. The first word of the Garmin label or BallisticX filename must match the row's tag.
•  Charge or Jump blank  →  label was missing the number or had a typo.
•  Import won't run  →  Excel is open. Close it and try again.
•  Cell shows your typed value instead of auto-fill  →  you overwrote the formula. Ask Claude to repair it.
•  Script says SAFETY STOP  →  no CSVs in the import folders. Drop your CSVs in and re-run.</t>
        </is>
      </c>
      <c r="B14" s="309" t="n"/>
      <c r="C14" s="309" t="n"/>
      <c r="D14" s="309" t="n"/>
      <c r="E14" s="309" t="n"/>
      <c r="F14" s="309" t="n"/>
      <c r="G14" s="309" t="n"/>
      <c r="H14" s="309" t="n"/>
    </row>
    <row r="15" ht="4" customHeight="1" s="141">
      <c r="A15" s="309" t="n"/>
      <c r="B15" s="309" t="n"/>
      <c r="C15" s="309" t="n"/>
      <c r="D15" s="309" t="n"/>
      <c r="E15" s="309" t="n"/>
      <c r="F15" s="309" t="n"/>
      <c r="G15" s="309" t="n"/>
      <c r="H15" s="309" t="n"/>
    </row>
    <row r="16" ht="22" customHeight="1" s="141">
      <c r="A16" s="310" t="inlineStr">
        <is>
          <t>Need full setup or more detail? See  Setup Instructions.docx  in the project folder.</t>
        </is>
      </c>
      <c r="B16" s="309" t="n"/>
      <c r="C16" s="309" t="n"/>
      <c r="D16" s="309" t="n"/>
      <c r="E16" s="309" t="n"/>
      <c r="F16" s="309" t="n"/>
      <c r="G16" s="309" t="n"/>
      <c r="H16" s="309" t="n"/>
    </row>
  </sheetData>
  <sheetProtection selectLockedCells="0" selectUnlockedCells="0" sheet="1" objects="0" insertRows="1" insertHyperlinks="1" autoFilter="0" scenarios="0" formatColumns="0" deleteColumns="1" insertColumns="1" pivotTables="1" deleteRows="1" formatCells="0" formatRows="0" sort="0"/>
  <mergeCells count="11">
    <mergeCell ref="A1:H1"/>
    <mergeCell ref="A4:H4"/>
    <mergeCell ref="A7:H7"/>
    <mergeCell ref="A2:H2"/>
    <mergeCell ref="A16:H16"/>
    <mergeCell ref="A10:H10"/>
    <mergeCell ref="A13:H13"/>
    <mergeCell ref="A11:H11"/>
    <mergeCell ref="A14:H14"/>
    <mergeCell ref="A5:H5"/>
    <mergeCell ref="A8:H8"/>
  </mergeCells>
  <printOptions horizontalCentered="1"/>
  <pageMargins left="0.4" right="0.4" top="0.4" bottom="0.4" header="0.3" footer="0.3"/>
  <pageSetup orientation="portrait" paperSize="1" fitToHeight="1" fitToWidth="1"/>
</worksheet>
</file>

<file path=xl/worksheets/sheet2.xml><?xml version="1.0" encoding="utf-8"?>
<worksheet xmlns="http://schemas.openxmlformats.org/spreadsheetml/2006/main">
  <sheetPr filterMode="0">
    <outlinePr summaryBelow="1" summaryRight="1"/>
    <pageSetUpPr fitToPage="1"/>
  </sheetPr>
  <dimension ref="A1:AG30"/>
  <sheetViews>
    <sheetView showFormulas="0" showGridLines="1" showRowColHeaders="1" showZeros="1" rightToLeft="0" tabSelected="1" showOutlineSymbols="1" defaultGridColor="1" view="normal" topLeftCell="A1" colorId="64" zoomScale="100" zoomScaleNormal="100" zoomScalePageLayoutView="100" workbookViewId="0">
      <selection pane="topLeft" activeCell="A1" activeCellId="0" sqref="A1"/>
    </sheetView>
  </sheetViews>
  <sheetFormatPr baseColWidth="8" defaultColWidth="14.43359375" defaultRowHeight="15" customHeight="1" zeroHeight="0" outlineLevelRow="0"/>
  <cols>
    <col width="11" customWidth="1" style="140" min="1" max="7"/>
    <col width="14" customWidth="1" style="140" min="8" max="14"/>
    <col width="8.43" customWidth="1" style="140" min="15" max="33"/>
  </cols>
  <sheetData>
    <row r="1" ht="31.5" customHeight="1" s="141">
      <c r="A1" s="316" t="inlineStr">
        <is>
          <t>Rifle Load Development Log</t>
        </is>
      </c>
      <c r="B1" s="309" t="n"/>
      <c r="C1" s="309" t="n"/>
      <c r="D1" s="309" t="n"/>
      <c r="E1" s="309" t="n"/>
      <c r="F1" s="309" t="n"/>
      <c r="G1" s="309" t="n"/>
      <c r="H1" s="309" t="n"/>
      <c r="I1" s="309" t="n"/>
      <c r="J1" s="309" t="n"/>
      <c r="K1" s="309" t="n"/>
      <c r="L1" s="309" t="n"/>
      <c r="M1" s="309" t="n"/>
      <c r="N1" s="309" t="n"/>
      <c r="O1" s="317" t="n"/>
      <c r="P1" s="317" t="n"/>
      <c r="Q1" s="317" t="n"/>
      <c r="R1" s="317" t="n"/>
      <c r="S1" s="317" t="n"/>
      <c r="T1" s="317" t="n"/>
      <c r="U1" s="317" t="n"/>
      <c r="V1" s="317" t="n"/>
      <c r="W1" s="317" t="n"/>
      <c r="X1" s="317" t="n"/>
      <c r="Y1" s="317" t="n"/>
      <c r="Z1" s="317" t="n"/>
      <c r="AA1" s="317" t="n"/>
      <c r="AB1" s="317" t="n"/>
      <c r="AC1" s="317" t="n"/>
      <c r="AD1" s="317" t="n"/>
      <c r="AE1" s="317" t="n"/>
      <c r="AF1" s="317" t="n"/>
      <c r="AG1" s="317" t="n"/>
    </row>
    <row r="2" ht="33.75" customHeight="1" s="141">
      <c r="A2" s="318" t="inlineStr">
        <is>
          <t>SUGGESTED CHARGE →</t>
        </is>
      </c>
      <c r="B2" s="309" t="n"/>
      <c r="C2" s="309" t="n"/>
      <c r="D2" s="157">
        <f>Charts!B3</f>
        <v/>
      </c>
      <c r="E2" s="309" t="n"/>
      <c r="F2" s="318" t="inlineStr">
        <is>
          <t>Avg Vel:</t>
        </is>
      </c>
      <c r="G2" s="158">
        <f>Charts!E5</f>
        <v/>
      </c>
      <c r="H2" s="309" t="n"/>
      <c r="I2" s="318" t="inlineStr">
        <is>
          <t>SD:</t>
        </is>
      </c>
      <c r="J2" s="159">
        <f>Charts!G3</f>
        <v/>
      </c>
      <c r="K2" s="318" t="inlineStr">
        <is>
          <t>MR:</t>
        </is>
      </c>
      <c r="L2" s="160">
        <f>Charts!G4</f>
        <v/>
      </c>
      <c r="M2" s="318" t="inlineStr">
        <is>
          <t>Best in:</t>
        </is>
      </c>
      <c r="N2" s="161">
        <f>Charts!G5</f>
        <v/>
      </c>
      <c r="O2" s="317" t="n"/>
      <c r="P2" s="317" t="n"/>
      <c r="Q2" s="317" t="n"/>
      <c r="R2" s="317" t="n"/>
      <c r="S2" s="317" t="n"/>
      <c r="T2" s="317" t="n"/>
      <c r="U2" s="317" t="n"/>
      <c r="V2" s="317" t="n"/>
      <c r="W2" s="317" t="n"/>
      <c r="X2" s="317" t="n"/>
      <c r="Y2" s="317" t="n"/>
      <c r="Z2" s="317" t="n"/>
      <c r="AA2" s="317" t="n"/>
      <c r="AB2" s="317" t="n"/>
      <c r="AC2" s="317" t="n"/>
      <c r="AD2" s="317" t="n"/>
      <c r="AE2" s="317" t="n"/>
      <c r="AF2" s="317" t="n"/>
      <c r="AG2" s="317" t="n"/>
    </row>
    <row r="3" ht="3.75" customHeight="1" s="141">
      <c r="A3" s="317" t="n"/>
      <c r="B3" s="317" t="n"/>
      <c r="C3" s="317" t="n"/>
      <c r="D3" s="317" t="n"/>
      <c r="E3" s="317" t="n"/>
      <c r="F3" s="317" t="n"/>
      <c r="G3" s="317" t="n"/>
      <c r="H3" s="317" t="n"/>
      <c r="I3" s="317" t="n"/>
      <c r="J3" s="317" t="n"/>
      <c r="K3" s="317" t="n"/>
      <c r="L3" s="317" t="n"/>
      <c r="M3" s="317" t="n"/>
      <c r="N3" s="317" t="n"/>
      <c r="O3" s="317" t="n"/>
      <c r="P3" s="317" t="n"/>
      <c r="Q3" s="317" t="n"/>
      <c r="R3" s="317" t="n"/>
      <c r="S3" s="317" t="n"/>
      <c r="T3" s="317" t="n"/>
      <c r="U3" s="317" t="n"/>
      <c r="V3" s="317" t="n"/>
      <c r="W3" s="317" t="n"/>
      <c r="X3" s="317" t="n"/>
      <c r="Y3" s="317" t="n"/>
      <c r="Z3" s="317" t="n"/>
      <c r="AA3" s="317" t="n"/>
      <c r="AB3" s="317" t="n"/>
      <c r="AC3" s="317" t="n"/>
      <c r="AD3" s="317" t="n"/>
      <c r="AE3" s="317" t="n"/>
      <c r="AF3" s="317" t="n"/>
      <c r="AG3" s="317" t="n"/>
    </row>
    <row r="4" ht="24" customHeight="1" s="141">
      <c r="A4" s="319" t="inlineStr">
        <is>
          <t>RIFLE &amp; SHOOTER</t>
        </is>
      </c>
      <c r="B4" s="309" t="n"/>
      <c r="C4" s="309" t="n"/>
      <c r="D4" s="309" t="n"/>
      <c r="E4" s="309" t="n"/>
      <c r="F4" s="309" t="n"/>
      <c r="G4" s="309" t="n"/>
      <c r="H4" s="309" t="n"/>
      <c r="I4" s="309" t="n"/>
      <c r="J4" s="309" t="n"/>
      <c r="K4" s="309" t="n"/>
      <c r="L4" s="309" t="n"/>
      <c r="M4" s="309" t="n"/>
      <c r="N4" s="309" t="n"/>
      <c r="O4" s="317" t="n"/>
      <c r="P4" s="317" t="n"/>
      <c r="Q4" s="317" t="n"/>
      <c r="R4" s="317" t="n"/>
      <c r="S4" s="317" t="n"/>
      <c r="T4" s="317" t="n"/>
      <c r="U4" s="317" t="n"/>
      <c r="V4" s="317" t="n"/>
      <c r="W4" s="317" t="n"/>
      <c r="X4" s="317" t="n"/>
      <c r="Y4" s="317" t="n"/>
      <c r="Z4" s="317" t="n"/>
      <c r="AA4" s="317" t="n"/>
      <c r="AB4" s="317" t="n"/>
      <c r="AC4" s="317" t="n"/>
      <c r="AD4" s="317" t="n"/>
      <c r="AE4" s="317" t="n"/>
      <c r="AF4" s="317" t="n"/>
      <c r="AG4" s="317" t="n"/>
    </row>
    <row r="5" ht="31.5" customHeight="1" s="141">
      <c r="A5" s="320" t="inlineStr">
        <is>
          <t>Rifle:</t>
        </is>
      </c>
      <c r="B5" s="321" t="n"/>
      <c r="C5" s="322" t="n"/>
      <c r="D5" s="322" t="n"/>
      <c r="E5" s="323" t="n"/>
      <c r="F5" s="320" t="inlineStr">
        <is>
          <t>Shooter:</t>
        </is>
      </c>
      <c r="G5" s="321" t="n"/>
      <c r="H5" s="322" t="n"/>
      <c r="I5" s="322" t="n"/>
      <c r="J5" s="323" t="n"/>
      <c r="K5" s="320" t="inlineStr">
        <is>
          <t>Cartridge:</t>
        </is>
      </c>
      <c r="L5" s="321" t="n"/>
      <c r="M5" s="322" t="n"/>
      <c r="N5" s="323" t="n"/>
      <c r="O5" s="317" t="n"/>
      <c r="P5" s="317" t="n"/>
      <c r="Q5" s="317" t="n"/>
      <c r="R5" s="317" t="n"/>
      <c r="S5" s="317" t="n"/>
      <c r="T5" s="317" t="n"/>
      <c r="U5" s="317" t="n"/>
      <c r="V5" s="317" t="n"/>
      <c r="W5" s="317" t="n"/>
      <c r="X5" s="317" t="n"/>
      <c r="Y5" s="317" t="n"/>
      <c r="Z5" s="317" t="n"/>
      <c r="AA5" s="317" t="n"/>
      <c r="AB5" s="317" t="n"/>
      <c r="AC5" s="317" t="n"/>
      <c r="AD5" s="317" t="n"/>
      <c r="AE5" s="317" t="n"/>
      <c r="AF5" s="317" t="n"/>
      <c r="AG5" s="317" t="n"/>
    </row>
    <row r="6" ht="31.5" customHeight="1" s="141">
      <c r="A6" s="320" t="inlineStr">
        <is>
          <t>Barrel:</t>
        </is>
      </c>
      <c r="B6" s="321" t="n"/>
      <c r="C6" s="322" t="n"/>
      <c r="D6" s="322" t="n"/>
      <c r="E6" s="323" t="n"/>
      <c r="F6" s="320" t="inlineStr">
        <is>
          <t>Optic:</t>
        </is>
      </c>
      <c r="G6" s="321" t="n"/>
      <c r="H6" s="322" t="n"/>
      <c r="I6" s="322" t="n"/>
      <c r="J6" s="323" t="n"/>
      <c r="K6" s="320" t="inlineStr">
        <is>
          <t>Chrono:</t>
        </is>
      </c>
      <c r="L6" s="321" t="n"/>
      <c r="M6" s="322" t="n"/>
      <c r="N6" s="323" t="n"/>
      <c r="O6" s="317" t="n"/>
      <c r="P6" s="317" t="n"/>
      <c r="Q6" s="317" t="n"/>
      <c r="R6" s="317" t="n"/>
      <c r="S6" s="317" t="n"/>
      <c r="T6" s="317" t="n"/>
      <c r="U6" s="317" t="n"/>
      <c r="V6" s="317" t="n"/>
      <c r="W6" s="317" t="n"/>
      <c r="X6" s="317" t="n"/>
      <c r="Y6" s="317" t="n"/>
      <c r="Z6" s="317" t="n"/>
      <c r="AA6" s="317" t="n"/>
      <c r="AB6" s="317" t="n"/>
      <c r="AC6" s="317" t="n"/>
      <c r="AD6" s="317" t="n"/>
      <c r="AE6" s="317" t="n"/>
      <c r="AF6" s="317" t="n"/>
      <c r="AG6" s="317" t="n"/>
    </row>
    <row r="7" ht="6" customHeight="1" s="141">
      <c r="A7" s="317" t="n"/>
      <c r="B7" s="317" t="n"/>
      <c r="C7" s="317" t="n"/>
      <c r="D7" s="317" t="n"/>
      <c r="E7" s="317" t="n"/>
      <c r="F7" s="317" t="n"/>
      <c r="G7" s="317" t="n"/>
      <c r="H7" s="317" t="n"/>
      <c r="I7" s="317" t="n"/>
      <c r="J7" s="317" t="n"/>
      <c r="K7" s="317" t="n"/>
      <c r="L7" s="317" t="n"/>
      <c r="M7" s="317" t="n"/>
      <c r="N7" s="317" t="n"/>
      <c r="O7" s="317" t="n"/>
      <c r="P7" s="317" t="n"/>
      <c r="Q7" s="317" t="n"/>
      <c r="R7" s="317" t="n"/>
      <c r="S7" s="317" t="n"/>
      <c r="T7" s="317" t="n"/>
      <c r="U7" s="317" t="n"/>
      <c r="V7" s="317" t="n"/>
      <c r="W7" s="317" t="n"/>
      <c r="X7" s="317" t="n"/>
      <c r="Y7" s="317" t="n"/>
      <c r="Z7" s="317" t="n"/>
      <c r="AA7" s="317" t="n"/>
      <c r="AB7" s="317" t="n"/>
      <c r="AC7" s="317" t="n"/>
      <c r="AD7" s="317" t="n"/>
      <c r="AE7" s="317" t="n"/>
      <c r="AF7" s="317" t="n"/>
      <c r="AG7" s="317" t="n"/>
    </row>
    <row r="8" ht="24" customHeight="1" s="141">
      <c r="A8" s="324" t="inlineStr">
        <is>
          <t>LOAD COMPONENTS  (constants for this powder ladder)</t>
        </is>
      </c>
      <c r="B8" s="309" t="n"/>
      <c r="C8" s="309" t="n"/>
      <c r="D8" s="309" t="n"/>
      <c r="E8" s="309" t="n"/>
      <c r="F8" s="309" t="n"/>
      <c r="G8" s="309" t="n"/>
      <c r="H8" s="309" t="n"/>
      <c r="I8" s="309" t="n"/>
      <c r="J8" s="309" t="n"/>
      <c r="K8" s="309" t="n"/>
      <c r="L8" s="309" t="n"/>
      <c r="M8" s="309" t="n"/>
      <c r="N8" s="309" t="n"/>
      <c r="O8" s="317" t="n"/>
      <c r="P8" s="317" t="n"/>
      <c r="Q8" s="317" t="n"/>
      <c r="R8" s="317" t="n"/>
      <c r="S8" s="317" t="n"/>
      <c r="T8" s="317" t="n"/>
      <c r="U8" s="317" t="n"/>
      <c r="V8" s="317" t="n"/>
      <c r="W8" s="317" t="n"/>
      <c r="X8" s="317" t="n"/>
      <c r="Y8" s="317" t="n"/>
      <c r="Z8" s="317" t="n"/>
      <c r="AA8" s="317" t="n"/>
      <c r="AB8" s="317" t="n"/>
      <c r="AC8" s="317" t="n"/>
      <c r="AD8" s="317" t="n"/>
      <c r="AE8" s="317" t="n"/>
      <c r="AF8" s="317" t="n"/>
      <c r="AG8" s="317" t="n"/>
    </row>
    <row r="9" ht="31.5" customHeight="1" s="141">
      <c r="A9" s="325" t="inlineStr">
        <is>
          <t>Bullet:</t>
        </is>
      </c>
      <c r="B9" s="326" t="n"/>
      <c r="C9" s="322" t="n"/>
      <c r="D9" s="323" t="n"/>
      <c r="E9" s="325" t="inlineStr">
        <is>
          <t>Powder:</t>
        </is>
      </c>
      <c r="F9" s="169">
        <f>IFERROR(LOOKUP(2,1/(GarminSessions!$C$2:$C$200&lt;&gt;""),GarminSessions!$C$2:$C$200),"")</f>
        <v/>
      </c>
      <c r="G9" s="323" t="n"/>
      <c r="H9" s="325" t="inlineStr">
        <is>
          <t>Primer:</t>
        </is>
      </c>
      <c r="I9" s="326" t="n"/>
      <c r="J9" s="323" t="n"/>
      <c r="K9" s="325" t="inlineStr">
        <is>
          <t>Brass:</t>
        </is>
      </c>
      <c r="L9" s="326" t="n"/>
      <c r="M9" s="322" t="n"/>
      <c r="N9" s="323" t="n"/>
      <c r="O9" s="317" t="n"/>
      <c r="P9" s="317" t="n"/>
      <c r="Q9" s="317" t="n"/>
      <c r="R9" s="317" t="n"/>
      <c r="S9" s="317" t="n"/>
      <c r="T9" s="317" t="n"/>
      <c r="U9" s="317" t="n"/>
      <c r="V9" s="317" t="n"/>
      <c r="W9" s="317" t="n"/>
      <c r="X9" s="317" t="n"/>
      <c r="Y9" s="317" t="n"/>
      <c r="Z9" s="317" t="n"/>
      <c r="AA9" s="317" t="n"/>
      <c r="AB9" s="317" t="n"/>
      <c r="AC9" s="317" t="n"/>
      <c r="AD9" s="317" t="n"/>
      <c r="AE9" s="317" t="n"/>
      <c r="AF9" s="317" t="n"/>
      <c r="AG9" s="317" t="n"/>
    </row>
    <row r="10" ht="31.5" customHeight="1" s="141">
      <c r="A10" s="325" t="inlineStr">
        <is>
          <t>CBTO:</t>
        </is>
      </c>
      <c r="B10" s="327" t="n"/>
      <c r="C10" s="322" t="n"/>
      <c r="D10" s="322" t="n"/>
      <c r="E10" s="323" t="n"/>
      <c r="F10" s="325" t="inlineStr">
        <is>
          <t>Off Lands:</t>
        </is>
      </c>
      <c r="G10" s="328" t="n"/>
      <c r="H10" s="322" t="n"/>
      <c r="I10" s="322" t="n"/>
      <c r="J10" s="323" t="n"/>
      <c r="K10" s="325" t="inlineStr">
        <is>
          <t>Dist (yd):</t>
        </is>
      </c>
      <c r="L10" s="329" t="n"/>
      <c r="M10" s="322" t="n"/>
      <c r="N10" s="323" t="n"/>
      <c r="O10" s="317" t="n"/>
      <c r="P10" s="317" t="n"/>
      <c r="Q10" s="317" t="n"/>
      <c r="R10" s="317" t="n"/>
      <c r="S10" s="317" t="n"/>
      <c r="T10" s="317" t="n"/>
      <c r="U10" s="317" t="n"/>
      <c r="V10" s="317" t="n"/>
      <c r="W10" s="317" t="n"/>
      <c r="X10" s="317" t="n"/>
      <c r="Y10" s="317" t="n"/>
      <c r="Z10" s="317" t="n"/>
      <c r="AA10" s="317" t="n"/>
      <c r="AB10" s="317" t="n"/>
      <c r="AC10" s="317" t="n"/>
      <c r="AD10" s="317" t="n"/>
      <c r="AE10" s="317" t="n"/>
      <c r="AF10" s="317" t="n"/>
      <c r="AG10" s="317" t="n"/>
    </row>
    <row r="11" ht="6" customHeight="1" s="141">
      <c r="A11" s="317" t="n"/>
      <c r="B11" s="317" t="n"/>
      <c r="C11" s="317" t="n"/>
      <c r="D11" s="317" t="n"/>
      <c r="E11" s="317" t="n"/>
      <c r="F11" s="317" t="n"/>
      <c r="G11" s="317" t="n"/>
      <c r="H11" s="317" t="n"/>
      <c r="I11" s="317" t="n"/>
      <c r="J11" s="317" t="n"/>
      <c r="K11" s="317" t="n"/>
      <c r="L11" s="317" t="n"/>
      <c r="M11" s="317" t="n"/>
      <c r="N11" s="317" t="n"/>
      <c r="O11" s="317" t="n"/>
      <c r="P11" s="317" t="n"/>
      <c r="Q11" s="317" t="n"/>
      <c r="R11" s="317" t="n"/>
      <c r="S11" s="317" t="n"/>
      <c r="T11" s="317" t="n"/>
      <c r="U11" s="317" t="n"/>
      <c r="V11" s="317" t="n"/>
      <c r="W11" s="317" t="n"/>
      <c r="X11" s="317" t="n"/>
      <c r="Y11" s="317" t="n"/>
      <c r="Z11" s="317" t="n"/>
      <c r="AA11" s="317" t="n"/>
      <c r="AB11" s="317" t="n"/>
      <c r="AC11" s="317" t="n"/>
      <c r="AD11" s="317" t="n"/>
      <c r="AE11" s="317" t="n"/>
      <c r="AF11" s="317" t="n"/>
      <c r="AG11" s="317" t="n"/>
    </row>
    <row r="12" ht="24" customHeight="1" s="141">
      <c r="A12" s="324" t="inlineStr">
        <is>
          <t>TEST SESSION  (date / conditions)</t>
        </is>
      </c>
      <c r="B12" s="309" t="n"/>
      <c r="C12" s="309" t="n"/>
      <c r="D12" s="309" t="n"/>
      <c r="E12" s="309" t="n"/>
      <c r="F12" s="309" t="n"/>
      <c r="G12" s="309" t="n"/>
      <c r="H12" s="309" t="n"/>
      <c r="I12" s="309" t="n"/>
      <c r="J12" s="309" t="n"/>
      <c r="K12" s="309" t="n"/>
      <c r="L12" s="309" t="n"/>
      <c r="M12" s="309" t="n"/>
      <c r="N12" s="309" t="n"/>
      <c r="O12" s="317" t="n"/>
      <c r="P12" s="317" t="n"/>
      <c r="Q12" s="317" t="n"/>
      <c r="R12" s="317" t="n"/>
      <c r="S12" s="317" t="n"/>
      <c r="T12" s="317" t="n"/>
      <c r="U12" s="317" t="n"/>
      <c r="V12" s="317" t="n"/>
      <c r="W12" s="317" t="n"/>
      <c r="X12" s="317" t="n"/>
      <c r="Y12" s="317" t="n"/>
      <c r="Z12" s="317" t="n"/>
      <c r="AA12" s="317" t="n"/>
      <c r="AB12" s="317" t="n"/>
      <c r="AC12" s="317" t="n"/>
      <c r="AD12" s="317" t="n"/>
      <c r="AE12" s="317" t="n"/>
      <c r="AF12" s="317" t="n"/>
      <c r="AG12" s="317" t="n"/>
    </row>
    <row r="13" ht="31.5" customHeight="1" s="141">
      <c r="A13" s="330" t="inlineStr">
        <is>
          <t>Date:</t>
        </is>
      </c>
      <c r="B13" s="331" t="n"/>
      <c r="C13" s="322" t="n"/>
      <c r="D13" s="322" t="n"/>
      <c r="E13" s="323" t="n"/>
      <c r="F13" s="330" t="inlineStr">
        <is>
          <t>Temp (°F):</t>
        </is>
      </c>
      <c r="G13" s="332" t="n"/>
      <c r="H13" s="322" t="n"/>
      <c r="I13" s="322" t="n"/>
      <c r="J13" s="323" t="n"/>
      <c r="K13" s="330" t="inlineStr">
        <is>
          <t>Notes:</t>
        </is>
      </c>
      <c r="L13" s="331" t="n"/>
      <c r="M13" s="322" t="n"/>
      <c r="N13" s="323" t="n"/>
      <c r="O13" s="317" t="n"/>
      <c r="P13" s="317" t="n"/>
      <c r="Q13" s="317" t="n"/>
      <c r="R13" s="317" t="n"/>
      <c r="S13" s="317" t="n"/>
      <c r="T13" s="317" t="n"/>
      <c r="U13" s="317" t="n"/>
      <c r="V13" s="317" t="n"/>
      <c r="W13" s="317" t="n"/>
      <c r="X13" s="317" t="n"/>
      <c r="Y13" s="317" t="n"/>
      <c r="Z13" s="317" t="n"/>
      <c r="AA13" s="317" t="n"/>
      <c r="AB13" s="317" t="n"/>
      <c r="AC13" s="317" t="n"/>
      <c r="AD13" s="317" t="n"/>
      <c r="AE13" s="317" t="n"/>
      <c r="AF13" s="317" t="n"/>
      <c r="AG13" s="317" t="n"/>
    </row>
    <row r="14" ht="7.5" customHeight="1" s="141">
      <c r="A14" s="317" t="n"/>
      <c r="B14" s="317" t="n"/>
      <c r="C14" s="317" t="n"/>
      <c r="D14" s="317" t="n"/>
      <c r="E14" s="317" t="n"/>
      <c r="F14" s="317" t="n"/>
      <c r="G14" s="317" t="n"/>
      <c r="H14" s="317" t="n"/>
      <c r="I14" s="317" t="n"/>
      <c r="J14" s="317" t="n"/>
      <c r="K14" s="317" t="n"/>
      <c r="L14" s="317" t="n"/>
      <c r="M14" s="317" t="n"/>
      <c r="N14" s="317" t="n"/>
      <c r="O14" s="317" t="n"/>
      <c r="P14" s="317" t="n"/>
      <c r="Q14" s="317" t="n"/>
      <c r="R14" s="317" t="n"/>
      <c r="S14" s="317" t="n"/>
      <c r="T14" s="317" t="n"/>
      <c r="U14" s="317" t="n"/>
      <c r="V14" s="317" t="n"/>
      <c r="W14" s="317" t="n"/>
      <c r="X14" s="317" t="n"/>
      <c r="Y14" s="317" t="n"/>
      <c r="Z14" s="317" t="n"/>
      <c r="AA14" s="317" t="n"/>
      <c r="AB14" s="317" t="n"/>
      <c r="AC14" s="317" t="n"/>
      <c r="AD14" s="317" t="n"/>
      <c r="AE14" s="317" t="n"/>
      <c r="AF14" s="317" t="n"/>
      <c r="AG14" s="317" t="n"/>
    </row>
    <row r="15" ht="36" customHeight="1" s="141">
      <c r="A15" s="333" t="inlineStr">
        <is>
          <t>Load #</t>
        </is>
      </c>
      <c r="B15" s="333" t="inlineStr">
        <is>
          <t>Charge (gr)</t>
        </is>
      </c>
      <c r="C15" s="333" t="inlineStr">
        <is>
          <t>Shot 1</t>
        </is>
      </c>
      <c r="D15" s="333" t="inlineStr">
        <is>
          <t>Shot 2</t>
        </is>
      </c>
      <c r="E15" s="333" t="inlineStr">
        <is>
          <t>Shot 3</t>
        </is>
      </c>
      <c r="F15" s="333" t="inlineStr">
        <is>
          <t>Shot 4</t>
        </is>
      </c>
      <c r="G15" s="333" t="inlineStr">
        <is>
          <t>Shot 5</t>
        </is>
      </c>
      <c r="H15" s="333" t="inlineStr">
        <is>
          <t>Avg Vel</t>
        </is>
      </c>
      <c r="I15" s="333" t="inlineStr">
        <is>
          <t>ES</t>
        </is>
      </c>
      <c r="J15" s="333" t="inlineStr">
        <is>
          <t>SD</t>
        </is>
      </c>
      <c r="K15" s="333" t="inlineStr">
        <is>
          <t>Group (in)</t>
        </is>
      </c>
      <c r="L15" s="333" t="inlineStr">
        <is>
          <t>Vertical (in)</t>
        </is>
      </c>
      <c r="M15" s="333" t="inlineStr">
        <is>
          <t>Mean Radius (in)</t>
        </is>
      </c>
      <c r="N15" s="333" t="inlineStr">
        <is>
          <t>Notes</t>
        </is>
      </c>
      <c r="O15" s="317" t="n"/>
      <c r="P15" s="317" t="n"/>
      <c r="Q15" s="317" t="n"/>
      <c r="R15" s="317" t="n"/>
      <c r="S15" s="317" t="n"/>
      <c r="T15" s="317" t="n"/>
      <c r="U15" s="317" t="n"/>
      <c r="V15" s="317" t="n"/>
      <c r="W15" s="317" t="n"/>
      <c r="X15" s="317" t="n"/>
      <c r="Y15" s="317" t="n"/>
      <c r="Z15" s="317" t="n"/>
      <c r="AA15" s="317" t="n"/>
      <c r="AB15" s="317" t="n"/>
      <c r="AC15" s="317" t="n"/>
      <c r="AD15" s="317" t="n"/>
      <c r="AE15" s="317" t="n"/>
      <c r="AF15" s="317" t="n"/>
      <c r="AG15" s="317" t="n"/>
    </row>
    <row r="16" ht="18" customHeight="1" s="141">
      <c r="A16" s="334" t="n">
        <v>1</v>
      </c>
      <c r="B16" s="178">
        <f>IFERROR(LOOKUP(2,1/(GarminSessions!$A$2:$A$200="P1"),GarminSessions!$B$2:$B$200),"")</f>
        <v/>
      </c>
      <c r="C16" s="179">
        <f>IF('Garmin Xero Import'!E6="","",'Garmin Xero Import'!E6)</f>
        <v/>
      </c>
      <c r="D16" s="179">
        <f>IF('Garmin Xero Import'!F6="","",'Garmin Xero Import'!F6)</f>
        <v/>
      </c>
      <c r="E16" s="179">
        <f>IF('Garmin Xero Import'!G6="","",'Garmin Xero Import'!G6)</f>
        <v/>
      </c>
      <c r="F16" s="179">
        <f>IF('Garmin Xero Import'!H6="","",'Garmin Xero Import'!H6)</f>
        <v/>
      </c>
      <c r="G16" s="179">
        <f>IF('Garmin Xero Import'!I6="","",'Garmin Xero Import'!I6)</f>
        <v/>
      </c>
      <c r="H16" s="180">
        <f>IF('Garmin Xero Import'!L6="","",'Garmin Xero Import'!L6)</f>
        <v/>
      </c>
      <c r="I16" s="180">
        <f>IF('Garmin Xero Import'!N6="","",'Garmin Xero Import'!N6)</f>
        <v/>
      </c>
      <c r="J16" s="181">
        <f>IF('Garmin Xero Import'!M6="","",'Garmin Xero Import'!M6)</f>
        <v/>
      </c>
      <c r="K16" s="182">
        <f>IF('BallisticX Import'!D6="","",'BallisticX Import'!D6)</f>
        <v/>
      </c>
      <c r="L16" s="182">
        <f>IF('BallisticX Import'!F6="","",'BallisticX Import'!F6)</f>
        <v/>
      </c>
      <c r="M16" s="182">
        <f>IF('BallisticX Import'!G6="","",'BallisticX Import'!G6)</f>
        <v/>
      </c>
      <c r="N16" s="335" t="n"/>
      <c r="O16" s="317" t="n"/>
      <c r="P16" s="317" t="n"/>
      <c r="Q16" s="317" t="n"/>
      <c r="R16" s="317" t="n"/>
      <c r="S16" s="317" t="n"/>
      <c r="T16" s="317" t="n"/>
      <c r="U16" s="317" t="n"/>
      <c r="V16" s="317" t="n"/>
      <c r="W16" s="317" t="n"/>
      <c r="X16" s="317" t="n"/>
      <c r="Y16" s="317" t="n"/>
      <c r="Z16" s="317" t="n"/>
      <c r="AA16" s="317" t="n"/>
      <c r="AB16" s="317" t="n"/>
      <c r="AC16" s="317" t="n"/>
      <c r="AD16" s="317" t="n"/>
      <c r="AE16" s="317" t="n"/>
      <c r="AF16" s="317" t="n"/>
      <c r="AG16" s="317" t="n"/>
    </row>
    <row r="17" ht="18" customHeight="1" s="141">
      <c r="A17" s="336" t="n">
        <v>2</v>
      </c>
      <c r="B17" s="185">
        <f>IFERROR(LOOKUP(2,1/(GarminSessions!$A$2:$A$200="P2"),GarminSessions!$B$2:$B$200),"")</f>
        <v/>
      </c>
      <c r="C17" s="186">
        <f>IF('Garmin Xero Import'!E7="","",'Garmin Xero Import'!E7)</f>
        <v/>
      </c>
      <c r="D17" s="186">
        <f>IF('Garmin Xero Import'!F7="","",'Garmin Xero Import'!F7)</f>
        <v/>
      </c>
      <c r="E17" s="186">
        <f>IF('Garmin Xero Import'!G7="","",'Garmin Xero Import'!G7)</f>
        <v/>
      </c>
      <c r="F17" s="186">
        <f>IF('Garmin Xero Import'!H7="","",'Garmin Xero Import'!H7)</f>
        <v/>
      </c>
      <c r="G17" s="186">
        <f>IF('Garmin Xero Import'!I7="","",'Garmin Xero Import'!I7)</f>
        <v/>
      </c>
      <c r="H17" s="187">
        <f>IF('Garmin Xero Import'!L7="","",'Garmin Xero Import'!L7)</f>
        <v/>
      </c>
      <c r="I17" s="187">
        <f>IF('Garmin Xero Import'!N7="","",'Garmin Xero Import'!N7)</f>
        <v/>
      </c>
      <c r="J17" s="188">
        <f>IF('Garmin Xero Import'!M7="","",'Garmin Xero Import'!M7)</f>
        <v/>
      </c>
      <c r="K17" s="189">
        <f>IF('BallisticX Import'!D7="","",'BallisticX Import'!D7)</f>
        <v/>
      </c>
      <c r="L17" s="189">
        <f>IF('BallisticX Import'!F7="","",'BallisticX Import'!F7)</f>
        <v/>
      </c>
      <c r="M17" s="189">
        <f>IF('BallisticX Import'!G7="","",'BallisticX Import'!G7)</f>
        <v/>
      </c>
      <c r="N17" s="337" t="n"/>
      <c r="O17" s="317" t="n"/>
      <c r="P17" s="317" t="n"/>
      <c r="Q17" s="317" t="n"/>
      <c r="R17" s="317" t="n"/>
      <c r="S17" s="317" t="n"/>
      <c r="T17" s="317" t="n"/>
      <c r="U17" s="317" t="n"/>
      <c r="V17" s="317" t="n"/>
      <c r="W17" s="317" t="n"/>
      <c r="X17" s="317" t="n"/>
      <c r="Y17" s="317" t="n"/>
      <c r="Z17" s="317" t="n"/>
      <c r="AA17" s="317" t="n"/>
      <c r="AB17" s="317" t="n"/>
      <c r="AC17" s="317" t="n"/>
      <c r="AD17" s="317" t="n"/>
      <c r="AE17" s="317" t="n"/>
      <c r="AF17" s="317" t="n"/>
      <c r="AG17" s="317" t="n"/>
    </row>
    <row r="18" ht="18" customHeight="1" s="141">
      <c r="A18" s="334" t="n">
        <v>3</v>
      </c>
      <c r="B18" s="178">
        <f>IFERROR(LOOKUP(2,1/(GarminSessions!$A$2:$A$200="P3"),GarminSessions!$B$2:$B$200),"")</f>
        <v/>
      </c>
      <c r="C18" s="179">
        <f>IF('Garmin Xero Import'!E8="","",'Garmin Xero Import'!E8)</f>
        <v/>
      </c>
      <c r="D18" s="179">
        <f>IF('Garmin Xero Import'!F8="","",'Garmin Xero Import'!F8)</f>
        <v/>
      </c>
      <c r="E18" s="179">
        <f>IF('Garmin Xero Import'!G8="","",'Garmin Xero Import'!G8)</f>
        <v/>
      </c>
      <c r="F18" s="179">
        <f>IF('Garmin Xero Import'!H8="","",'Garmin Xero Import'!H8)</f>
        <v/>
      </c>
      <c r="G18" s="179">
        <f>IF('Garmin Xero Import'!I8="","",'Garmin Xero Import'!I8)</f>
        <v/>
      </c>
      <c r="H18" s="180">
        <f>IF('Garmin Xero Import'!L8="","",'Garmin Xero Import'!L8)</f>
        <v/>
      </c>
      <c r="I18" s="180">
        <f>IF('Garmin Xero Import'!N8="","",'Garmin Xero Import'!N8)</f>
        <v/>
      </c>
      <c r="J18" s="181">
        <f>IF('Garmin Xero Import'!M8="","",'Garmin Xero Import'!M8)</f>
        <v/>
      </c>
      <c r="K18" s="182">
        <f>IF('BallisticX Import'!D8="","",'BallisticX Import'!D8)</f>
        <v/>
      </c>
      <c r="L18" s="182">
        <f>IF('BallisticX Import'!F8="","",'BallisticX Import'!F8)</f>
        <v/>
      </c>
      <c r="M18" s="182">
        <f>IF('BallisticX Import'!G8="","",'BallisticX Import'!G8)</f>
        <v/>
      </c>
      <c r="N18" s="335" t="n"/>
      <c r="O18" s="317" t="n"/>
      <c r="P18" s="317" t="n"/>
      <c r="Q18" s="317" t="n"/>
      <c r="R18" s="317" t="n"/>
      <c r="S18" s="317" t="n"/>
      <c r="T18" s="317" t="n"/>
      <c r="U18" s="317" t="n"/>
      <c r="V18" s="317" t="n"/>
      <c r="W18" s="317" t="n"/>
      <c r="X18" s="317" t="n"/>
      <c r="Y18" s="317" t="n"/>
      <c r="Z18" s="317" t="n"/>
      <c r="AA18" s="317" t="n"/>
      <c r="AB18" s="317" t="n"/>
      <c r="AC18" s="317" t="n"/>
      <c r="AD18" s="317" t="n"/>
      <c r="AE18" s="317" t="n"/>
      <c r="AF18" s="317" t="n"/>
      <c r="AG18" s="317" t="n"/>
    </row>
    <row r="19" ht="18" customHeight="1" s="141">
      <c r="A19" s="336" t="n">
        <v>4</v>
      </c>
      <c r="B19" s="185">
        <f>IFERROR(LOOKUP(2,1/(GarminSessions!$A$2:$A$200="P4"),GarminSessions!$B$2:$B$200),"")</f>
        <v/>
      </c>
      <c r="C19" s="186">
        <f>IF('Garmin Xero Import'!E9="","",'Garmin Xero Import'!E9)</f>
        <v/>
      </c>
      <c r="D19" s="186">
        <f>IF('Garmin Xero Import'!F9="","",'Garmin Xero Import'!F9)</f>
        <v/>
      </c>
      <c r="E19" s="186">
        <f>IF('Garmin Xero Import'!G9="","",'Garmin Xero Import'!G9)</f>
        <v/>
      </c>
      <c r="F19" s="186">
        <f>IF('Garmin Xero Import'!H9="","",'Garmin Xero Import'!H9)</f>
        <v/>
      </c>
      <c r="G19" s="186">
        <f>IF('Garmin Xero Import'!I9="","",'Garmin Xero Import'!I9)</f>
        <v/>
      </c>
      <c r="H19" s="187">
        <f>IF('Garmin Xero Import'!L9="","",'Garmin Xero Import'!L9)</f>
        <v/>
      </c>
      <c r="I19" s="187">
        <f>IF('Garmin Xero Import'!N9="","",'Garmin Xero Import'!N9)</f>
        <v/>
      </c>
      <c r="J19" s="188">
        <f>IF('Garmin Xero Import'!M9="","",'Garmin Xero Import'!M9)</f>
        <v/>
      </c>
      <c r="K19" s="189">
        <f>IF('BallisticX Import'!D9="","",'BallisticX Import'!D9)</f>
        <v/>
      </c>
      <c r="L19" s="189">
        <f>IF('BallisticX Import'!F9="","",'BallisticX Import'!F9)</f>
        <v/>
      </c>
      <c r="M19" s="189">
        <f>IF('BallisticX Import'!G9="","",'BallisticX Import'!G9)</f>
        <v/>
      </c>
      <c r="N19" s="337" t="n"/>
      <c r="O19" s="317" t="n"/>
      <c r="P19" s="317" t="n"/>
      <c r="Q19" s="317" t="n"/>
      <c r="R19" s="317" t="n"/>
      <c r="S19" s="317" t="n"/>
      <c r="T19" s="317" t="n"/>
      <c r="U19" s="317" t="n"/>
      <c r="V19" s="317" t="n"/>
      <c r="W19" s="317" t="n"/>
      <c r="X19" s="317" t="n"/>
      <c r="Y19" s="317" t="n"/>
      <c r="Z19" s="317" t="n"/>
      <c r="AA19" s="317" t="n"/>
      <c r="AB19" s="317" t="n"/>
      <c r="AC19" s="317" t="n"/>
      <c r="AD19" s="317" t="n"/>
      <c r="AE19" s="317" t="n"/>
      <c r="AF19" s="317" t="n"/>
      <c r="AG19" s="317" t="n"/>
    </row>
    <row r="20" ht="18" customHeight="1" s="141">
      <c r="A20" s="334" t="n">
        <v>5</v>
      </c>
      <c r="B20" s="178">
        <f>IFERROR(LOOKUP(2,1/(GarminSessions!$A$2:$A$200="P5"),GarminSessions!$B$2:$B$200),"")</f>
        <v/>
      </c>
      <c r="C20" s="179">
        <f>IF('Garmin Xero Import'!E10="","",'Garmin Xero Import'!E10)</f>
        <v/>
      </c>
      <c r="D20" s="179">
        <f>IF('Garmin Xero Import'!F10="","",'Garmin Xero Import'!F10)</f>
        <v/>
      </c>
      <c r="E20" s="179">
        <f>IF('Garmin Xero Import'!G10="","",'Garmin Xero Import'!G10)</f>
        <v/>
      </c>
      <c r="F20" s="179">
        <f>IF('Garmin Xero Import'!H10="","",'Garmin Xero Import'!H10)</f>
        <v/>
      </c>
      <c r="G20" s="179">
        <f>IF('Garmin Xero Import'!I10="","",'Garmin Xero Import'!I10)</f>
        <v/>
      </c>
      <c r="H20" s="180">
        <f>IF('Garmin Xero Import'!L10="","",'Garmin Xero Import'!L10)</f>
        <v/>
      </c>
      <c r="I20" s="180">
        <f>IF('Garmin Xero Import'!N10="","",'Garmin Xero Import'!N10)</f>
        <v/>
      </c>
      <c r="J20" s="181">
        <f>IF('Garmin Xero Import'!M10="","",'Garmin Xero Import'!M10)</f>
        <v/>
      </c>
      <c r="K20" s="182">
        <f>IF('BallisticX Import'!D10="","",'BallisticX Import'!D10)</f>
        <v/>
      </c>
      <c r="L20" s="182">
        <f>IF('BallisticX Import'!F10="","",'BallisticX Import'!F10)</f>
        <v/>
      </c>
      <c r="M20" s="182">
        <f>IF('BallisticX Import'!G10="","",'BallisticX Import'!G10)</f>
        <v/>
      </c>
      <c r="N20" s="335" t="n"/>
      <c r="O20" s="317" t="n"/>
      <c r="P20" s="317" t="n"/>
      <c r="Q20" s="317" t="n"/>
      <c r="R20" s="317" t="n"/>
      <c r="S20" s="317" t="n"/>
      <c r="T20" s="317" t="n"/>
      <c r="U20" s="317" t="n"/>
      <c r="V20" s="317" t="n"/>
      <c r="W20" s="317" t="n"/>
      <c r="X20" s="317" t="n"/>
      <c r="Y20" s="317" t="n"/>
      <c r="Z20" s="317" t="n"/>
      <c r="AA20" s="317" t="n"/>
      <c r="AB20" s="317" t="n"/>
      <c r="AC20" s="317" t="n"/>
      <c r="AD20" s="317" t="n"/>
      <c r="AE20" s="317" t="n"/>
      <c r="AF20" s="317" t="n"/>
      <c r="AG20" s="317" t="n"/>
    </row>
    <row r="21" ht="18" customHeight="1" s="141">
      <c r="A21" s="336" t="n">
        <v>6</v>
      </c>
      <c r="B21" s="185">
        <f>IFERROR(LOOKUP(2,1/(GarminSessions!$A$2:$A$200="P6"),GarminSessions!$B$2:$B$200),"")</f>
        <v/>
      </c>
      <c r="C21" s="186">
        <f>IF('Garmin Xero Import'!E11="","",'Garmin Xero Import'!E11)</f>
        <v/>
      </c>
      <c r="D21" s="186">
        <f>IF('Garmin Xero Import'!F11="","",'Garmin Xero Import'!F11)</f>
        <v/>
      </c>
      <c r="E21" s="186">
        <f>IF('Garmin Xero Import'!G11="","",'Garmin Xero Import'!G11)</f>
        <v/>
      </c>
      <c r="F21" s="186">
        <f>IF('Garmin Xero Import'!H11="","",'Garmin Xero Import'!H11)</f>
        <v/>
      </c>
      <c r="G21" s="186">
        <f>IF('Garmin Xero Import'!I11="","",'Garmin Xero Import'!I11)</f>
        <v/>
      </c>
      <c r="H21" s="187">
        <f>IF('Garmin Xero Import'!L11="","",'Garmin Xero Import'!L11)</f>
        <v/>
      </c>
      <c r="I21" s="187">
        <f>IF('Garmin Xero Import'!N11="","",'Garmin Xero Import'!N11)</f>
        <v/>
      </c>
      <c r="J21" s="188">
        <f>IF('Garmin Xero Import'!M11="","",'Garmin Xero Import'!M11)</f>
        <v/>
      </c>
      <c r="K21" s="189">
        <f>IF('BallisticX Import'!D11="","",'BallisticX Import'!D11)</f>
        <v/>
      </c>
      <c r="L21" s="189">
        <f>IF('BallisticX Import'!F11="","",'BallisticX Import'!F11)</f>
        <v/>
      </c>
      <c r="M21" s="189">
        <f>IF('BallisticX Import'!G11="","",'BallisticX Import'!G11)</f>
        <v/>
      </c>
      <c r="N21" s="337" t="n"/>
      <c r="O21" s="317" t="n"/>
      <c r="P21" s="317" t="n"/>
      <c r="Q21" s="317" t="n"/>
      <c r="R21" s="317" t="n"/>
      <c r="S21" s="317" t="n"/>
      <c r="T21" s="317" t="n"/>
      <c r="U21" s="317" t="n"/>
      <c r="V21" s="317" t="n"/>
      <c r="W21" s="317" t="n"/>
      <c r="X21" s="317" t="n"/>
      <c r="Y21" s="317" t="n"/>
      <c r="Z21" s="317" t="n"/>
      <c r="AA21" s="317" t="n"/>
      <c r="AB21" s="317" t="n"/>
      <c r="AC21" s="317" t="n"/>
      <c r="AD21" s="317" t="n"/>
      <c r="AE21" s="317" t="n"/>
      <c r="AF21" s="317" t="n"/>
      <c r="AG21" s="317" t="n"/>
    </row>
    <row r="22" ht="18" customHeight="1" s="141">
      <c r="A22" s="334" t="n">
        <v>7</v>
      </c>
      <c r="B22" s="178">
        <f>IFERROR(LOOKUP(2,1/(GarminSessions!$A$2:$A$200="P7"),GarminSessions!$B$2:$B$200),"")</f>
        <v/>
      </c>
      <c r="C22" s="179">
        <f>IF('Garmin Xero Import'!E12="","",'Garmin Xero Import'!E12)</f>
        <v/>
      </c>
      <c r="D22" s="179">
        <f>IF('Garmin Xero Import'!F12="","",'Garmin Xero Import'!F12)</f>
        <v/>
      </c>
      <c r="E22" s="179">
        <f>IF('Garmin Xero Import'!G12="","",'Garmin Xero Import'!G12)</f>
        <v/>
      </c>
      <c r="F22" s="179">
        <f>IF('Garmin Xero Import'!H12="","",'Garmin Xero Import'!H12)</f>
        <v/>
      </c>
      <c r="G22" s="179">
        <f>IF('Garmin Xero Import'!I12="","",'Garmin Xero Import'!I12)</f>
        <v/>
      </c>
      <c r="H22" s="180">
        <f>IF('Garmin Xero Import'!L12="","",'Garmin Xero Import'!L12)</f>
        <v/>
      </c>
      <c r="I22" s="180">
        <f>IF('Garmin Xero Import'!N12="","",'Garmin Xero Import'!N12)</f>
        <v/>
      </c>
      <c r="J22" s="181">
        <f>IF('Garmin Xero Import'!M12="","",'Garmin Xero Import'!M12)</f>
        <v/>
      </c>
      <c r="K22" s="182">
        <f>IF('BallisticX Import'!D12="","",'BallisticX Import'!D12)</f>
        <v/>
      </c>
      <c r="L22" s="182">
        <f>IF('BallisticX Import'!F12="","",'BallisticX Import'!F12)</f>
        <v/>
      </c>
      <c r="M22" s="182">
        <f>IF('BallisticX Import'!G12="","",'BallisticX Import'!G12)</f>
        <v/>
      </c>
      <c r="N22" s="335" t="n"/>
      <c r="O22" s="317" t="n"/>
      <c r="P22" s="317" t="n"/>
      <c r="Q22" s="317" t="n"/>
      <c r="R22" s="317" t="n"/>
      <c r="S22" s="317" t="n"/>
      <c r="T22" s="317" t="n"/>
      <c r="U22" s="317" t="n"/>
      <c r="V22" s="317" t="n"/>
      <c r="W22" s="317" t="n"/>
      <c r="X22" s="317" t="n"/>
      <c r="Y22" s="317" t="n"/>
      <c r="Z22" s="317" t="n"/>
      <c r="AA22" s="317" t="n"/>
      <c r="AB22" s="317" t="n"/>
      <c r="AC22" s="317" t="n"/>
      <c r="AD22" s="317" t="n"/>
      <c r="AE22" s="317" t="n"/>
      <c r="AF22" s="317" t="n"/>
      <c r="AG22" s="317" t="n"/>
    </row>
    <row r="23" ht="18" customHeight="1" s="141">
      <c r="A23" s="336" t="n">
        <v>8</v>
      </c>
      <c r="B23" s="185">
        <f>IFERROR(LOOKUP(2,1/(GarminSessions!$A$2:$A$200="P8"),GarminSessions!$B$2:$B$200),"")</f>
        <v/>
      </c>
      <c r="C23" s="186">
        <f>IF('Garmin Xero Import'!E13="","",'Garmin Xero Import'!E13)</f>
        <v/>
      </c>
      <c r="D23" s="186">
        <f>IF('Garmin Xero Import'!F13="","",'Garmin Xero Import'!F13)</f>
        <v/>
      </c>
      <c r="E23" s="186">
        <f>IF('Garmin Xero Import'!G13="","",'Garmin Xero Import'!G13)</f>
        <v/>
      </c>
      <c r="F23" s="186">
        <f>IF('Garmin Xero Import'!H13="","",'Garmin Xero Import'!H13)</f>
        <v/>
      </c>
      <c r="G23" s="186">
        <f>IF('Garmin Xero Import'!I13="","",'Garmin Xero Import'!I13)</f>
        <v/>
      </c>
      <c r="H23" s="187">
        <f>IF('Garmin Xero Import'!L13="","",'Garmin Xero Import'!L13)</f>
        <v/>
      </c>
      <c r="I23" s="187">
        <f>IF('Garmin Xero Import'!N13="","",'Garmin Xero Import'!N13)</f>
        <v/>
      </c>
      <c r="J23" s="188">
        <f>IF('Garmin Xero Import'!M13="","",'Garmin Xero Import'!M13)</f>
        <v/>
      </c>
      <c r="K23" s="189">
        <f>IF('BallisticX Import'!D13="","",'BallisticX Import'!D13)</f>
        <v/>
      </c>
      <c r="L23" s="189">
        <f>IF('BallisticX Import'!F13="","",'BallisticX Import'!F13)</f>
        <v/>
      </c>
      <c r="M23" s="189">
        <f>IF('BallisticX Import'!G13="","",'BallisticX Import'!G13)</f>
        <v/>
      </c>
      <c r="N23" s="337" t="n"/>
      <c r="O23" s="317" t="n"/>
      <c r="P23" s="317" t="n"/>
      <c r="Q23" s="317" t="n"/>
      <c r="R23" s="317" t="n"/>
      <c r="S23" s="317" t="n"/>
      <c r="T23" s="317" t="n"/>
      <c r="U23" s="317" t="n"/>
      <c r="V23" s="317" t="n"/>
      <c r="W23" s="317" t="n"/>
      <c r="X23" s="317" t="n"/>
      <c r="Y23" s="317" t="n"/>
      <c r="Z23" s="317" t="n"/>
      <c r="AA23" s="317" t="n"/>
      <c r="AB23" s="317" t="n"/>
      <c r="AC23" s="317" t="n"/>
      <c r="AD23" s="317" t="n"/>
      <c r="AE23" s="317" t="n"/>
      <c r="AF23" s="317" t="n"/>
      <c r="AG23" s="317" t="n"/>
    </row>
    <row r="24" ht="18" customHeight="1" s="141">
      <c r="A24" s="334" t="n">
        <v>9</v>
      </c>
      <c r="B24" s="178">
        <f>IFERROR(LOOKUP(2,1/(GarminSessions!$A$2:$A$200="P9"),GarminSessions!$B$2:$B$200),"")</f>
        <v/>
      </c>
      <c r="C24" s="179">
        <f>IF('Garmin Xero Import'!E14="","",'Garmin Xero Import'!E14)</f>
        <v/>
      </c>
      <c r="D24" s="179">
        <f>IF('Garmin Xero Import'!F14="","",'Garmin Xero Import'!F14)</f>
        <v/>
      </c>
      <c r="E24" s="179">
        <f>IF('Garmin Xero Import'!G14="","",'Garmin Xero Import'!G14)</f>
        <v/>
      </c>
      <c r="F24" s="179">
        <f>IF('Garmin Xero Import'!H14="","",'Garmin Xero Import'!H14)</f>
        <v/>
      </c>
      <c r="G24" s="179">
        <f>IF('Garmin Xero Import'!I14="","",'Garmin Xero Import'!I14)</f>
        <v/>
      </c>
      <c r="H24" s="180">
        <f>IF('Garmin Xero Import'!L14="","",'Garmin Xero Import'!L14)</f>
        <v/>
      </c>
      <c r="I24" s="180">
        <f>IF('Garmin Xero Import'!N14="","",'Garmin Xero Import'!N14)</f>
        <v/>
      </c>
      <c r="J24" s="181">
        <f>IF('Garmin Xero Import'!M14="","",'Garmin Xero Import'!M14)</f>
        <v/>
      </c>
      <c r="K24" s="182">
        <f>IF('BallisticX Import'!D14="","",'BallisticX Import'!D14)</f>
        <v/>
      </c>
      <c r="L24" s="182">
        <f>IF('BallisticX Import'!F14="","",'BallisticX Import'!F14)</f>
        <v/>
      </c>
      <c r="M24" s="182">
        <f>IF('BallisticX Import'!G14="","",'BallisticX Import'!G14)</f>
        <v/>
      </c>
      <c r="N24" s="335" t="n"/>
      <c r="O24" s="317" t="n"/>
      <c r="P24" s="317" t="n"/>
      <c r="Q24" s="317" t="n"/>
      <c r="R24" s="317" t="n"/>
      <c r="S24" s="317" t="n"/>
      <c r="T24" s="317" t="n"/>
      <c r="U24" s="317" t="n"/>
      <c r="V24" s="317" t="n"/>
      <c r="W24" s="317" t="n"/>
      <c r="X24" s="317" t="n"/>
      <c r="Y24" s="317" t="n"/>
      <c r="Z24" s="317" t="n"/>
      <c r="AA24" s="317" t="n"/>
      <c r="AB24" s="317" t="n"/>
      <c r="AC24" s="317" t="n"/>
      <c r="AD24" s="317" t="n"/>
      <c r="AE24" s="317" t="n"/>
      <c r="AF24" s="317" t="n"/>
      <c r="AG24" s="317" t="n"/>
    </row>
    <row r="25" ht="18" customHeight="1" s="141">
      <c r="A25" s="336" t="n">
        <v>10</v>
      </c>
      <c r="B25" s="185">
        <f>IFERROR(LOOKUP(2,1/(GarminSessions!$A$2:$A$200="P10"),GarminSessions!$B$2:$B$200),"")</f>
        <v/>
      </c>
      <c r="C25" s="186">
        <f>IF('Garmin Xero Import'!E15="","",'Garmin Xero Import'!E15)</f>
        <v/>
      </c>
      <c r="D25" s="186">
        <f>IF('Garmin Xero Import'!F15="","",'Garmin Xero Import'!F15)</f>
        <v/>
      </c>
      <c r="E25" s="186">
        <f>IF('Garmin Xero Import'!G15="","",'Garmin Xero Import'!G15)</f>
        <v/>
      </c>
      <c r="F25" s="186">
        <f>IF('Garmin Xero Import'!H15="","",'Garmin Xero Import'!H15)</f>
        <v/>
      </c>
      <c r="G25" s="186">
        <f>IF('Garmin Xero Import'!I15="","",'Garmin Xero Import'!I15)</f>
        <v/>
      </c>
      <c r="H25" s="187">
        <f>IF('Garmin Xero Import'!L15="","",'Garmin Xero Import'!L15)</f>
        <v/>
      </c>
      <c r="I25" s="187">
        <f>IF('Garmin Xero Import'!N15="","",'Garmin Xero Import'!N15)</f>
        <v/>
      </c>
      <c r="J25" s="188">
        <f>IF('Garmin Xero Import'!M15="","",'Garmin Xero Import'!M15)</f>
        <v/>
      </c>
      <c r="K25" s="189">
        <f>IF('BallisticX Import'!D15="","",'BallisticX Import'!D15)</f>
        <v/>
      </c>
      <c r="L25" s="189">
        <f>IF('BallisticX Import'!F15="","",'BallisticX Import'!F15)</f>
        <v/>
      </c>
      <c r="M25" s="189">
        <f>IF('BallisticX Import'!G15="","",'BallisticX Import'!G15)</f>
        <v/>
      </c>
      <c r="N25" s="337" t="n"/>
      <c r="O25" s="317" t="n"/>
      <c r="P25" s="317" t="n"/>
      <c r="Q25" s="317" t="n"/>
      <c r="R25" s="317" t="n"/>
      <c r="S25" s="317" t="n"/>
      <c r="T25" s="317" t="n"/>
      <c r="U25" s="317" t="n"/>
      <c r="V25" s="317" t="n"/>
      <c r="W25" s="317" t="n"/>
      <c r="X25" s="317" t="n"/>
      <c r="Y25" s="317" t="n"/>
      <c r="Z25" s="317" t="n"/>
      <c r="AA25" s="317" t="n"/>
      <c r="AB25" s="317" t="n"/>
      <c r="AC25" s="317" t="n"/>
      <c r="AD25" s="317" t="n"/>
      <c r="AE25" s="317" t="n"/>
      <c r="AF25" s="317" t="n"/>
      <c r="AG25" s="317" t="n"/>
    </row>
    <row r="26" ht="7.5" customHeight="1" s="141">
      <c r="A26" s="317" t="n"/>
      <c r="B26" s="317" t="n"/>
      <c r="C26" s="317" t="n"/>
      <c r="D26" s="317" t="n"/>
      <c r="E26" s="317" t="n"/>
      <c r="F26" s="317" t="n"/>
      <c r="G26" s="317" t="n"/>
      <c r="H26" s="317" t="n"/>
      <c r="I26" s="317" t="n"/>
      <c r="J26" s="317" t="n"/>
      <c r="K26" s="317" t="n"/>
      <c r="L26" s="317" t="n"/>
      <c r="M26" s="317" t="n"/>
      <c r="N26" s="317" t="n"/>
      <c r="O26" s="317" t="n"/>
      <c r="P26" s="317" t="n"/>
      <c r="Q26" s="317" t="n"/>
      <c r="R26" s="317" t="n"/>
      <c r="S26" s="317" t="n"/>
      <c r="T26" s="317" t="n"/>
      <c r="U26" s="317" t="n"/>
      <c r="V26" s="317" t="n"/>
      <c r="W26" s="317" t="n"/>
      <c r="X26" s="317" t="n"/>
      <c r="Y26" s="317" t="n"/>
      <c r="Z26" s="317" t="n"/>
      <c r="AA26" s="317" t="n"/>
      <c r="AB26" s="317" t="n"/>
      <c r="AC26" s="317" t="n"/>
      <c r="AD26" s="317" t="n"/>
      <c r="AE26" s="317" t="n"/>
      <c r="AF26" s="317" t="n"/>
      <c r="AG26" s="317" t="n"/>
    </row>
    <row r="27" ht="24" customHeight="1" s="141">
      <c r="A27" s="338" t="inlineStr">
        <is>
          <t>COMPARISON CHARTS</t>
        </is>
      </c>
      <c r="B27" s="309" t="n"/>
      <c r="C27" s="309" t="n"/>
      <c r="D27" s="309" t="n"/>
      <c r="E27" s="309" t="n"/>
      <c r="F27" s="309" t="n"/>
      <c r="G27" s="309" t="n"/>
      <c r="H27" s="309" t="n"/>
      <c r="I27" s="309" t="n"/>
      <c r="J27" s="309" t="n"/>
      <c r="K27" s="309" t="n"/>
      <c r="L27" s="309" t="n"/>
      <c r="M27" s="309" t="n"/>
      <c r="N27" s="309" t="n"/>
      <c r="O27" s="317" t="n"/>
      <c r="P27" s="317" t="n"/>
      <c r="Q27" s="317" t="n"/>
      <c r="R27" s="317" t="n"/>
      <c r="S27" s="317" t="n"/>
      <c r="T27" s="317" t="n"/>
      <c r="U27" s="317" t="n"/>
      <c r="V27" s="317" t="n"/>
      <c r="W27" s="317" t="n"/>
      <c r="X27" s="317" t="n"/>
      <c r="Y27" s="317" t="n"/>
      <c r="Z27" s="317" t="n"/>
      <c r="AA27" s="317" t="n"/>
      <c r="AB27" s="317" t="n"/>
      <c r="AC27" s="317" t="n"/>
      <c r="AD27" s="317" t="n"/>
      <c r="AE27" s="317" t="n"/>
      <c r="AF27" s="317" t="n"/>
      <c r="AG27" s="317" t="n"/>
    </row>
    <row r="28" ht="15.75" customHeight="1" s="141">
      <c r="A28" s="317" t="n"/>
      <c r="B28" s="317" t="n"/>
      <c r="C28" s="317" t="n"/>
      <c r="D28" s="317" t="n"/>
      <c r="E28" s="317" t="n"/>
      <c r="F28" s="317" t="n"/>
      <c r="G28" s="317" t="n"/>
      <c r="H28" s="317" t="n"/>
      <c r="I28" s="317" t="n"/>
      <c r="J28" s="317" t="n"/>
      <c r="K28" s="317" t="n"/>
      <c r="L28" s="317" t="n"/>
      <c r="M28" s="317" t="n"/>
      <c r="N28" s="317" t="n"/>
      <c r="O28" s="317" t="n"/>
      <c r="P28" s="317" t="n"/>
      <c r="Q28" s="317" t="n"/>
      <c r="R28" s="317" t="n"/>
      <c r="S28" s="317" t="n"/>
      <c r="T28" s="317" t="n"/>
      <c r="U28" s="317" t="n"/>
      <c r="V28" s="317" t="n"/>
      <c r="W28" s="317" t="n"/>
      <c r="X28" s="317" t="n"/>
      <c r="Y28" s="317" t="n"/>
      <c r="Z28" s="317" t="n"/>
      <c r="AA28" s="317" t="n"/>
      <c r="AB28" s="317" t="n"/>
      <c r="AC28" s="317" t="n"/>
      <c r="AD28" s="317" t="n"/>
      <c r="AE28" s="317" t="n"/>
      <c r="AF28" s="317" t="n"/>
      <c r="AG28" s="317" t="n"/>
    </row>
    <row r="29" ht="15.75" customHeight="1" s="141">
      <c r="A29" s="317" t="n"/>
      <c r="B29" s="317" t="n"/>
      <c r="C29" s="317" t="n"/>
      <c r="D29" s="317" t="n"/>
      <c r="E29" s="317" t="n"/>
      <c r="F29" s="317" t="n"/>
      <c r="G29" s="317" t="n"/>
      <c r="H29" s="317" t="n"/>
      <c r="I29" s="317" t="n"/>
      <c r="J29" s="317" t="n"/>
      <c r="K29" s="317" t="n"/>
      <c r="L29" s="317" t="n"/>
      <c r="M29" s="317" t="n"/>
      <c r="N29" s="317" t="n"/>
      <c r="O29" s="317" t="n"/>
      <c r="P29" s="317" t="n"/>
      <c r="Q29" s="317" t="n"/>
      <c r="R29" s="317" t="n"/>
      <c r="S29" s="317" t="n"/>
      <c r="T29" s="317" t="n"/>
      <c r="U29" s="317" t="n"/>
      <c r="V29" s="317" t="n"/>
      <c r="W29" s="317" t="n"/>
      <c r="X29" s="317" t="n"/>
      <c r="Y29" s="317" t="n"/>
      <c r="Z29" s="317" t="n"/>
      <c r="AA29" s="317" t="n"/>
      <c r="AB29" s="317" t="n"/>
      <c r="AC29" s="317" t="n"/>
      <c r="AD29" s="317" t="n"/>
      <c r="AE29" s="317" t="n"/>
      <c r="AF29" s="317" t="n"/>
      <c r="AG29" s="317" t="n"/>
    </row>
    <row r="30" ht="15.75" customHeight="1" s="141">
      <c r="A30" s="317" t="n"/>
      <c r="B30" s="317" t="n"/>
      <c r="C30" s="317" t="n"/>
      <c r="D30" s="317" t="n"/>
      <c r="E30" s="317" t="n"/>
      <c r="F30" s="317" t="n"/>
      <c r="G30" s="317" t="n"/>
      <c r="H30" s="317" t="n"/>
      <c r="I30" s="317" t="n"/>
      <c r="J30" s="317" t="n"/>
      <c r="K30" s="317" t="n"/>
      <c r="L30" s="317" t="n"/>
      <c r="M30" s="317" t="n"/>
      <c r="N30" s="317" t="n"/>
      <c r="O30" s="317" t="n"/>
      <c r="P30" s="317" t="n"/>
      <c r="Q30" s="317" t="n"/>
      <c r="R30" s="317" t="n"/>
      <c r="S30" s="317" t="n"/>
      <c r="T30" s="317" t="n"/>
      <c r="U30" s="317" t="n"/>
      <c r="V30" s="317" t="n"/>
      <c r="W30" s="317" t="n"/>
      <c r="X30" s="317" t="n"/>
      <c r="Y30" s="317" t="n"/>
      <c r="Z30" s="317" t="n"/>
      <c r="AA30" s="317" t="n"/>
      <c r="AB30" s="317" t="n"/>
      <c r="AC30" s="317" t="n"/>
      <c r="AD30" s="317" t="n"/>
      <c r="AE30" s="317" t="n"/>
      <c r="AF30" s="317" t="n"/>
      <c r="AG30" s="317" t="n"/>
    </row>
    <row r="31" ht="15.75" customHeight="1" s="141"/>
    <row r="32" ht="15.75" customHeight="1" s="141"/>
    <row r="33" ht="15.75" customHeight="1" s="141"/>
    <row r="34" ht="15.75" customHeight="1" s="141"/>
    <row r="35" ht="15.75" customHeight="1" s="141"/>
    <row r="36" ht="15.75" customHeight="1" s="141"/>
    <row r="37" ht="15.75" customHeight="1" s="141"/>
    <row r="38" ht="15.75" customHeight="1" s="141"/>
    <row r="39" ht="15.75" customHeight="1" s="141"/>
    <row r="40" ht="15.75" customHeight="1" s="141"/>
    <row r="41" ht="15.75" customHeight="1" s="141"/>
    <row r="42" ht="15.75" customHeight="1" s="141"/>
    <row r="43" ht="15.75" customHeight="1" s="141"/>
    <row r="44" ht="15.75" customHeight="1" s="141"/>
    <row r="45" ht="15.75" customHeight="1" s="141"/>
    <row r="46" ht="15.75" customHeight="1" s="141"/>
    <row r="47" ht="15.75" customHeight="1" s="141"/>
    <row r="48" ht="15.75" customHeight="1" s="141"/>
    <row r="49" ht="15.75" customHeight="1" s="141"/>
    <row r="50" ht="15.75" customHeight="1" s="141"/>
    <row r="51" ht="15.75" customHeight="1" s="141"/>
    <row r="52" ht="15.75" customHeight="1" s="141"/>
    <row r="53" ht="15.75" customHeight="1" s="141"/>
    <row r="54" ht="15.75" customHeight="1" s="141"/>
    <row r="55" ht="15.75" customHeight="1" s="141"/>
    <row r="56" ht="15.75" customHeight="1" s="141"/>
    <row r="57" ht="15.75" customHeight="1" s="141"/>
    <row r="58" ht="15.75" customHeight="1" s="141"/>
    <row r="59" ht="15.75" customHeight="1" s="141"/>
    <row r="60" ht="15.75" customHeight="1" s="141"/>
    <row r="61" ht="15.75" customHeight="1" s="141"/>
    <row r="62" ht="15.75" customHeight="1" s="141"/>
    <row r="63" ht="15.75" customHeight="1" s="141"/>
    <row r="64" ht="15.75" customHeight="1" s="141"/>
    <row r="65" ht="15.75" customHeight="1" s="141"/>
    <row r="66" ht="15.75" customHeight="1" s="141"/>
    <row r="67" ht="15.75" customHeight="1" s="141"/>
    <row r="68" ht="15.75" customHeight="1" s="141"/>
    <row r="69" ht="15.75" customHeight="1" s="141"/>
    <row r="70" ht="15.75" customHeight="1" s="141"/>
    <row r="71" ht="15.75" customHeight="1" s="141"/>
    <row r="72" ht="15.75" customHeight="1" s="141"/>
    <row r="73" ht="15.75" customHeight="1" s="141"/>
    <row r="74" ht="15.75" customHeight="1" s="141"/>
    <row r="75" ht="15.75" customHeight="1" s="141"/>
    <row r="76" ht="15.75" customHeight="1" s="141"/>
    <row r="77" ht="15.75" customHeight="1" s="141"/>
    <row r="78" ht="15.75" customHeight="1" s="141"/>
    <row r="79" ht="15.75" customHeight="1" s="141"/>
    <row r="80" ht="15.75" customHeight="1" s="141"/>
    <row r="81" ht="15.75" customHeight="1" s="141"/>
    <row r="82" ht="15.75" customHeight="1" s="141"/>
    <row r="83" ht="15.75" customHeight="1" s="141"/>
    <row r="84" ht="15.75" customHeight="1" s="141"/>
    <row r="85" ht="15.75" customHeight="1" s="141"/>
    <row r="86" ht="15.75" customHeight="1" s="141"/>
    <row r="87" ht="15.75" customHeight="1" s="141"/>
    <row r="88" ht="15.75" customHeight="1" s="141"/>
    <row r="89" ht="15.75" customHeight="1" s="141"/>
    <row r="90" ht="15.75" customHeight="1" s="141"/>
    <row r="91" ht="15.75" customHeight="1" s="141"/>
    <row r="92" ht="15.75" customHeight="1" s="141"/>
    <row r="93" ht="15.75" customHeight="1" s="141"/>
    <row r="94" ht="15.75" customHeight="1" s="141"/>
    <row r="95" ht="15.75" customHeight="1" s="141"/>
    <row r="96" ht="15.75" customHeight="1" s="141"/>
    <row r="97" ht="15.75" customHeight="1" s="141"/>
    <row r="98" ht="15.75" customHeight="1" s="141"/>
    <row r="99" ht="15.75" customHeight="1" s="141"/>
    <row r="100" ht="15.75" customHeight="1" s="141"/>
    <row r="101" ht="15.75" customHeight="1" s="141"/>
    <row r="102" ht="15.75" customHeight="1" s="141"/>
    <row r="103" ht="15.75" customHeight="1" s="141"/>
    <row r="104" ht="15.75" customHeight="1" s="141"/>
    <row r="105" ht="15.75" customHeight="1" s="141"/>
    <row r="106" ht="15.75" customHeight="1" s="141"/>
    <row r="107" ht="15.75" customHeight="1" s="141"/>
    <row r="108" ht="15.75" customHeight="1" s="141"/>
    <row r="109" ht="15.75" customHeight="1" s="141"/>
    <row r="110" ht="15.75" customHeight="1" s="141"/>
    <row r="111" ht="15.75" customHeight="1" s="141"/>
    <row r="112" ht="15.75" customHeight="1" s="141"/>
    <row r="113" ht="15.75" customHeight="1" s="141"/>
    <row r="114" ht="15.75" customHeight="1" s="141"/>
    <row r="115" ht="15.75" customHeight="1" s="141"/>
    <row r="116" ht="15.75" customHeight="1" s="141"/>
    <row r="117" ht="15.75" customHeight="1" s="141"/>
    <row r="118" ht="15.75" customHeight="1" s="141"/>
    <row r="119" ht="15.75" customHeight="1" s="141"/>
    <row r="120" ht="15.75" customHeight="1" s="141"/>
    <row r="121" ht="15.75" customHeight="1" s="141"/>
    <row r="122" ht="15.75" customHeight="1" s="141"/>
    <row r="123" ht="15.75" customHeight="1" s="141"/>
    <row r="124" ht="15.75" customHeight="1" s="141"/>
    <row r="125" ht="15.75" customHeight="1" s="141"/>
    <row r="126" ht="15.75" customHeight="1" s="141"/>
    <row r="127" ht="15.75" customHeight="1" s="141"/>
    <row r="128" ht="15.75" customHeight="1" s="141"/>
    <row r="129" ht="15.75" customHeight="1" s="141"/>
    <row r="130" ht="15.75" customHeight="1" s="141"/>
    <row r="131" ht="15.75" customHeight="1" s="141"/>
    <row r="132" ht="15.75" customHeight="1" s="141"/>
    <row r="133" ht="15.75" customHeight="1" s="141"/>
    <row r="134" ht="15.75" customHeight="1" s="141"/>
    <row r="135" ht="15.75" customHeight="1" s="141"/>
    <row r="136" ht="15.75" customHeight="1" s="141"/>
    <row r="137" ht="15.75" customHeight="1" s="141"/>
    <row r="138" ht="15.75" customHeight="1" s="141"/>
    <row r="139" ht="15.75" customHeight="1" s="141"/>
    <row r="140" ht="15.75" customHeight="1" s="141"/>
    <row r="141" ht="15.75" customHeight="1" s="141"/>
    <row r="142" ht="15.75" customHeight="1" s="141"/>
    <row r="143" ht="15.75" customHeight="1" s="141"/>
    <row r="144" ht="15.75" customHeight="1" s="141"/>
    <row r="145" ht="15.75" customHeight="1" s="141"/>
    <row r="146" ht="15.75" customHeight="1" s="141"/>
    <row r="147" ht="15.75" customHeight="1" s="141"/>
    <row r="148" ht="15.75" customHeight="1" s="141"/>
    <row r="149" ht="15.75" customHeight="1" s="141"/>
    <row r="150" ht="15.75" customHeight="1" s="141"/>
    <row r="151" ht="15.75" customHeight="1" s="141"/>
    <row r="152" ht="15.75" customHeight="1" s="141"/>
    <row r="153" ht="15.75" customHeight="1" s="141"/>
    <row r="154" ht="15.75" customHeight="1" s="141"/>
    <row r="155" ht="15.75" customHeight="1" s="141"/>
    <row r="156" ht="15.75" customHeight="1" s="141"/>
    <row r="157" ht="15.75" customHeight="1" s="141"/>
    <row r="158" ht="15.75" customHeight="1" s="141"/>
    <row r="159" ht="15.75" customHeight="1" s="141"/>
    <row r="160" ht="15.75" customHeight="1" s="141"/>
    <row r="161" ht="15.75" customHeight="1" s="141"/>
    <row r="162" ht="15.75" customHeight="1" s="141"/>
    <row r="163" ht="15.75" customHeight="1" s="141"/>
    <row r="164" ht="15.75" customHeight="1" s="141"/>
    <row r="165" ht="15.75" customHeight="1" s="141"/>
    <row r="166" ht="15.75" customHeight="1" s="141"/>
    <row r="167" ht="15.75" customHeight="1" s="141"/>
    <row r="168" ht="15.75" customHeight="1" s="141"/>
    <row r="169" ht="15.75" customHeight="1" s="141"/>
    <row r="170" ht="15.75" customHeight="1" s="141"/>
    <row r="171" ht="15.75" customHeight="1" s="141"/>
    <row r="172" ht="15.75" customHeight="1" s="141"/>
    <row r="173" ht="15.75" customHeight="1" s="141"/>
    <row r="174" ht="15.75" customHeight="1" s="141"/>
    <row r="175" ht="15.75" customHeight="1" s="141"/>
    <row r="176" ht="15.75" customHeight="1" s="141"/>
    <row r="177" ht="15.75" customHeight="1" s="141"/>
    <row r="178" ht="15.75" customHeight="1" s="141"/>
    <row r="179" ht="15.75" customHeight="1" s="141"/>
    <row r="180" ht="15.75" customHeight="1" s="141"/>
    <row r="181" ht="15.75" customHeight="1" s="141"/>
    <row r="182" ht="15.75" customHeight="1" s="141"/>
    <row r="183" ht="15.75" customHeight="1" s="141"/>
    <row r="184" ht="15.75" customHeight="1" s="141"/>
    <row r="185" ht="15.75" customHeight="1" s="141"/>
    <row r="186" ht="15.75" customHeight="1" s="141"/>
    <row r="187" ht="15.75" customHeight="1" s="141"/>
    <row r="188" ht="15.75" customHeight="1" s="141"/>
    <row r="189" ht="15.75" customHeight="1" s="141"/>
    <row r="190" ht="15.75" customHeight="1" s="141"/>
    <row r="191" ht="15.75" customHeight="1" s="141"/>
    <row r="192" ht="15.75" customHeight="1" s="141"/>
    <row r="193" ht="15.75" customHeight="1" s="141"/>
    <row r="194" ht="15.75" customHeight="1" s="141"/>
    <row r="195" ht="15.75" customHeight="1" s="141"/>
    <row r="196" ht="15.75" customHeight="1" s="141"/>
    <row r="197" ht="15.75" customHeight="1" s="141"/>
    <row r="198" ht="15.75" customHeight="1" s="141"/>
    <row r="199" ht="15.75" customHeight="1" s="141"/>
    <row r="200" ht="15.75" customHeight="1" s="141"/>
    <row r="201" ht="15.75" customHeight="1" s="141"/>
    <row r="202" ht="15.75" customHeight="1" s="141"/>
    <row r="203" ht="15.75" customHeight="1" s="141"/>
    <row r="204" ht="15.75" customHeight="1" s="141"/>
    <row r="205" ht="15.75" customHeight="1" s="141"/>
    <row r="206" ht="15.75" customHeight="1" s="141"/>
    <row r="207" ht="15.75" customHeight="1" s="141"/>
    <row r="208" ht="15.75" customHeight="1" s="141"/>
    <row r="209" ht="15.75" customHeight="1" s="141"/>
    <row r="210" ht="15.75" customHeight="1" s="141"/>
    <row r="211" ht="15.75" customHeight="1" s="141"/>
    <row r="212" ht="15.75" customHeight="1" s="141"/>
    <row r="213" ht="15.75" customHeight="1" s="141"/>
    <row r="214" ht="15.75" customHeight="1" s="141"/>
    <row r="215" ht="15.75" customHeight="1" s="141"/>
    <row r="216" ht="15.75" customHeight="1" s="141"/>
    <row r="217" ht="15.75" customHeight="1" s="141"/>
    <row r="218" ht="15.75" customHeight="1" s="141"/>
    <row r="219" ht="15.75" customHeight="1" s="141"/>
    <row r="220" ht="15.75" customHeight="1" s="141"/>
    <row r="221" ht="15.75" customHeight="1" s="141"/>
    <row r="222" ht="15.75" customHeight="1" s="141"/>
    <row r="223" ht="15.75" customHeight="1" s="141"/>
    <row r="224" ht="15.75" customHeight="1" s="141"/>
    <row r="225" ht="15.75" customHeight="1" s="141"/>
    <row r="226" ht="15.75" customHeight="1" s="141"/>
    <row r="227" ht="15.75" customHeight="1" s="141"/>
    <row r="228" ht="15.75" customHeight="1" s="141"/>
    <row r="229" ht="15.75" customHeight="1" s="141"/>
    <row r="230" ht="15.75" customHeight="1" s="141"/>
    <row r="231" ht="15.75" customHeight="1" s="141"/>
    <row r="232" ht="15.75" customHeight="1" s="141"/>
    <row r="233" ht="15.75" customHeight="1" s="141"/>
    <row r="234" ht="15.75" customHeight="1" s="141"/>
    <row r="235" ht="15.75" customHeight="1" s="141"/>
    <row r="236" ht="15.75" customHeight="1" s="141"/>
    <row r="237" ht="15.75" customHeight="1" s="141"/>
    <row r="238" ht="15.75" customHeight="1" s="141"/>
    <row r="239" ht="15.75" customHeight="1" s="141"/>
    <row r="240" ht="15.75" customHeight="1" s="141"/>
    <row r="241" ht="15.75" customHeight="1" s="141"/>
    <row r="242" ht="15.75" customHeight="1" s="141"/>
    <row r="243" ht="15.75" customHeight="1" s="141"/>
    <row r="244" ht="15.75" customHeight="1" s="141"/>
    <row r="245" ht="15.75" customHeight="1" s="141"/>
    <row r="246" ht="15.75" customHeight="1" s="141"/>
    <row r="247" ht="15.75" customHeight="1" s="141"/>
    <row r="248" ht="15.75" customHeight="1" s="141"/>
    <row r="249" ht="15.75" customHeight="1" s="141"/>
    <row r="250" ht="15.75" customHeight="1" s="141"/>
    <row r="251" ht="15.75" customHeight="1" s="141"/>
    <row r="252" ht="15.75" customHeight="1" s="141"/>
    <row r="253" ht="15.75" customHeight="1" s="141"/>
    <row r="254" ht="15.75" customHeight="1" s="141"/>
    <row r="255" ht="15.75" customHeight="1" s="141"/>
    <row r="256" ht="15.75" customHeight="1" s="141"/>
    <row r="257" ht="15.75" customHeight="1" s="141"/>
    <row r="258" ht="15.75" customHeight="1" s="141"/>
    <row r="259" ht="15.75" customHeight="1" s="141"/>
    <row r="260" ht="15.75" customHeight="1" s="141"/>
    <row r="261" ht="15.75" customHeight="1" s="141"/>
    <row r="262" ht="15.75" customHeight="1" s="141"/>
    <row r="263" ht="15.75" customHeight="1" s="141"/>
    <row r="264" ht="15.75" customHeight="1" s="141"/>
    <row r="265" ht="15.75" customHeight="1" s="141"/>
    <row r="266" ht="15.75" customHeight="1" s="141"/>
    <row r="267" ht="15.75" customHeight="1" s="141"/>
    <row r="268" ht="15.75" customHeight="1" s="141"/>
    <row r="269" ht="15.75" customHeight="1" s="141"/>
    <row r="270" ht="15.75" customHeight="1" s="141"/>
    <row r="271" ht="15.75" customHeight="1" s="141"/>
    <row r="272" ht="15.75" customHeight="1" s="141"/>
    <row r="273" ht="15.75" customHeight="1" s="141"/>
    <row r="274" ht="15.75" customHeight="1" s="141"/>
    <row r="275" ht="15.75" customHeight="1" s="141"/>
    <row r="276" ht="15.75" customHeight="1" s="141"/>
    <row r="277" ht="15.75" customHeight="1" s="141"/>
    <row r="278" ht="15.75" customHeight="1" s="141"/>
    <row r="279" ht="15.75" customHeight="1" s="141"/>
    <row r="280" ht="15.75" customHeight="1" s="141"/>
    <row r="281" ht="15.75" customHeight="1" s="141"/>
    <row r="282" ht="15.75" customHeight="1" s="141"/>
    <row r="283" ht="15.75" customHeight="1" s="141"/>
    <row r="284" ht="15.75" customHeight="1" s="141"/>
    <row r="285" ht="15.75" customHeight="1" s="141"/>
    <row r="286" ht="15.75" customHeight="1" s="141"/>
    <row r="287" ht="15.75" customHeight="1" s="141"/>
    <row r="288" ht="15.75" customHeight="1" s="141"/>
    <row r="289" ht="15.75" customHeight="1" s="141"/>
    <row r="290" ht="15.75" customHeight="1" s="141"/>
    <row r="291" ht="15.75" customHeight="1" s="141"/>
    <row r="292" ht="15.75" customHeight="1" s="141"/>
    <row r="293" ht="15.75" customHeight="1" s="141"/>
    <row r="294" ht="15.75" customHeight="1" s="141"/>
    <row r="295" ht="15.75" customHeight="1" s="141"/>
    <row r="296" ht="15.75" customHeight="1" s="141"/>
    <row r="297" ht="15.75" customHeight="1" s="141"/>
    <row r="298" ht="15.75" customHeight="1" s="141"/>
    <row r="299" ht="15.75" customHeight="1" s="141"/>
    <row r="300" ht="15.75" customHeight="1" s="141"/>
    <row r="301" ht="15.75" customHeight="1" s="141"/>
    <row r="302" ht="15.75" customHeight="1" s="141"/>
    <row r="303" ht="15.75" customHeight="1" s="141"/>
    <row r="304" ht="15.75" customHeight="1" s="141"/>
    <row r="305" ht="15.75" customHeight="1" s="141"/>
    <row r="306" ht="15.75" customHeight="1" s="141"/>
    <row r="307" ht="15.75" customHeight="1" s="141"/>
    <row r="308" ht="15.75" customHeight="1" s="141"/>
    <row r="309" ht="15.75" customHeight="1" s="141"/>
    <row r="310" ht="15.75" customHeight="1" s="141"/>
    <row r="311" ht="15.75" customHeight="1" s="141"/>
    <row r="312" ht="15.75" customHeight="1" s="141"/>
    <row r="313" ht="15.75" customHeight="1" s="141"/>
    <row r="314" ht="15.75" customHeight="1" s="141"/>
    <row r="315" ht="15.75" customHeight="1" s="141"/>
    <row r="316" ht="15.75" customHeight="1" s="141"/>
    <row r="317" ht="15.75" customHeight="1" s="141"/>
    <row r="318" ht="15.75" customHeight="1" s="141"/>
    <row r="319" ht="15.75" customHeight="1" s="141"/>
    <row r="320" ht="15.75" customHeight="1" s="141"/>
    <row r="321" ht="15.75" customHeight="1" s="141"/>
    <row r="322" ht="15.75" customHeight="1" s="141"/>
    <row r="323" ht="15.75" customHeight="1" s="141"/>
    <row r="324" ht="15.75" customHeight="1" s="141"/>
    <row r="325" ht="15.75" customHeight="1" s="141"/>
    <row r="326" ht="15.75" customHeight="1" s="141"/>
    <row r="327" ht="15.75" customHeight="1" s="141"/>
    <row r="328" ht="15.75" customHeight="1" s="141"/>
    <row r="329" ht="15.75" customHeight="1" s="141"/>
    <row r="330" ht="15.75" customHeight="1" s="141"/>
    <row r="331" ht="15.75" customHeight="1" s="141"/>
    <row r="332" ht="15.75" customHeight="1" s="141"/>
    <row r="333" ht="15.75" customHeight="1" s="141"/>
    <row r="334" ht="15.75" customHeight="1" s="141"/>
    <row r="335" ht="15.75" customHeight="1" s="141"/>
    <row r="336" ht="15.75" customHeight="1" s="141"/>
    <row r="337" ht="15.75" customHeight="1" s="141"/>
    <row r="338" ht="15.75" customHeight="1" s="141"/>
    <row r="339" ht="15.75" customHeight="1" s="141"/>
    <row r="340" ht="15.75" customHeight="1" s="141"/>
    <row r="341" ht="15.75" customHeight="1" s="141"/>
    <row r="342" ht="15.75" customHeight="1" s="141"/>
    <row r="343" ht="15.75" customHeight="1" s="141"/>
    <row r="344" ht="15.75" customHeight="1" s="141"/>
    <row r="345" ht="15.75" customHeight="1" s="141"/>
    <row r="346" ht="15.75" customHeight="1" s="141"/>
    <row r="347" ht="15.75" customHeight="1" s="141"/>
    <row r="348" ht="15.75" customHeight="1" s="141"/>
    <row r="349" ht="15.75" customHeight="1" s="141"/>
    <row r="350" ht="15.75" customHeight="1" s="141"/>
    <row r="351" ht="15.75" customHeight="1" s="141"/>
    <row r="352" ht="15.75" customHeight="1" s="141"/>
    <row r="353" ht="15.75" customHeight="1" s="141"/>
    <row r="354" ht="15.75" customHeight="1" s="141"/>
    <row r="355" ht="15.75" customHeight="1" s="141"/>
    <row r="356" ht="15.75" customHeight="1" s="141"/>
    <row r="357" ht="15.75" customHeight="1" s="141"/>
    <row r="358" ht="15.75" customHeight="1" s="141"/>
    <row r="359" ht="15.75" customHeight="1" s="141"/>
    <row r="360" ht="15.75" customHeight="1" s="141"/>
    <row r="361" ht="15.75" customHeight="1" s="141"/>
    <row r="362" ht="15.75" customHeight="1" s="141"/>
    <row r="363" ht="15.75" customHeight="1" s="141"/>
    <row r="364" ht="15.75" customHeight="1" s="141"/>
    <row r="365" ht="15.75" customHeight="1" s="141"/>
    <row r="366" ht="15.75" customHeight="1" s="141"/>
    <row r="367" ht="15.75" customHeight="1" s="141"/>
    <row r="368" ht="15.75" customHeight="1" s="141"/>
    <row r="369" ht="15.75" customHeight="1" s="141"/>
    <row r="370" ht="15.75" customHeight="1" s="141"/>
    <row r="371" ht="15.75" customHeight="1" s="141"/>
    <row r="372" ht="15.75" customHeight="1" s="141"/>
    <row r="373" ht="15.75" customHeight="1" s="141"/>
    <row r="374" ht="15.75" customHeight="1" s="141"/>
    <row r="375" ht="15.75" customHeight="1" s="141"/>
    <row r="376" ht="15.75" customHeight="1" s="141"/>
    <row r="377" ht="15.75" customHeight="1" s="141"/>
    <row r="378" ht="15.75" customHeight="1" s="141"/>
    <row r="379" ht="15.75" customHeight="1" s="141"/>
    <row r="380" ht="15.75" customHeight="1" s="141"/>
    <row r="381" ht="15.75" customHeight="1" s="141"/>
    <row r="382" ht="15.75" customHeight="1" s="141"/>
    <row r="383" ht="15.75" customHeight="1" s="141"/>
    <row r="384" ht="15.75" customHeight="1" s="141"/>
    <row r="385" ht="15.75" customHeight="1" s="141"/>
    <row r="386" ht="15.75" customHeight="1" s="141"/>
    <row r="387" ht="15.75" customHeight="1" s="141"/>
    <row r="388" ht="15.75" customHeight="1" s="141"/>
    <row r="389" ht="15.75" customHeight="1" s="141"/>
    <row r="390" ht="15.75" customHeight="1" s="141"/>
    <row r="391" ht="15.75" customHeight="1" s="141"/>
    <row r="392" ht="15.75" customHeight="1" s="141"/>
    <row r="393" ht="15.75" customHeight="1" s="141"/>
    <row r="394" ht="15.75" customHeight="1" s="141"/>
    <row r="395" ht="15.75" customHeight="1" s="141"/>
    <row r="396" ht="15.75" customHeight="1" s="141"/>
    <row r="397" ht="15.75" customHeight="1" s="141"/>
    <row r="398" ht="15.75" customHeight="1" s="141"/>
    <row r="399" ht="15.75" customHeight="1" s="141"/>
    <row r="400" ht="15.75" customHeight="1" s="141"/>
    <row r="401" ht="15.75" customHeight="1" s="141"/>
    <row r="402" ht="15.75" customHeight="1" s="141"/>
    <row r="403" ht="15.75" customHeight="1" s="141"/>
    <row r="404" ht="15.75" customHeight="1" s="141"/>
    <row r="405" ht="15.75" customHeight="1" s="141"/>
    <row r="406" ht="15.75" customHeight="1" s="141"/>
    <row r="407" ht="15.75" customHeight="1" s="141"/>
    <row r="408" ht="15.75" customHeight="1" s="141"/>
    <row r="409" ht="15.75" customHeight="1" s="141"/>
    <row r="410" ht="15.75" customHeight="1" s="141"/>
    <row r="411" ht="15.75" customHeight="1" s="141"/>
    <row r="412" ht="15.75" customHeight="1" s="141"/>
    <row r="413" ht="15.75" customHeight="1" s="141"/>
    <row r="414" ht="15.75" customHeight="1" s="141"/>
    <row r="415" ht="15.75" customHeight="1" s="141"/>
    <row r="416" ht="15.75" customHeight="1" s="141"/>
    <row r="417" ht="15.75" customHeight="1" s="141"/>
    <row r="418" ht="15.75" customHeight="1" s="141"/>
    <row r="419" ht="15.75" customHeight="1" s="141"/>
    <row r="420" ht="15.75" customHeight="1" s="141"/>
    <row r="421" ht="15.75" customHeight="1" s="141"/>
    <row r="422" ht="15.75" customHeight="1" s="141"/>
    <row r="423" ht="15.75" customHeight="1" s="141"/>
    <row r="424" ht="15.75" customHeight="1" s="141"/>
    <row r="425" ht="15.75" customHeight="1" s="141"/>
    <row r="426" ht="15.75" customHeight="1" s="141"/>
    <row r="427" ht="15.75" customHeight="1" s="141"/>
    <row r="428" ht="15.75" customHeight="1" s="141"/>
    <row r="429" ht="15.75" customHeight="1" s="141"/>
    <row r="430" ht="15.75" customHeight="1" s="141"/>
    <row r="431" ht="15.75" customHeight="1" s="141"/>
    <row r="432" ht="15.75" customHeight="1" s="141"/>
    <row r="433" ht="15.75" customHeight="1" s="141"/>
    <row r="434" ht="15.75" customHeight="1" s="141"/>
    <row r="435" ht="15.75" customHeight="1" s="141"/>
    <row r="436" ht="15.75" customHeight="1" s="141"/>
    <row r="437" ht="15.75" customHeight="1" s="141"/>
    <row r="438" ht="15.75" customHeight="1" s="141"/>
    <row r="439" ht="15.75" customHeight="1" s="141"/>
    <row r="440" ht="15.75" customHeight="1" s="141"/>
    <row r="441" ht="15.75" customHeight="1" s="141"/>
    <row r="442" ht="15.75" customHeight="1" s="141"/>
    <row r="443" ht="15.75" customHeight="1" s="141"/>
    <row r="444" ht="15.75" customHeight="1" s="141"/>
    <row r="445" ht="15.75" customHeight="1" s="141"/>
    <row r="446" ht="15.75" customHeight="1" s="141"/>
    <row r="447" ht="15.75" customHeight="1" s="141"/>
    <row r="448" ht="15.75" customHeight="1" s="141"/>
    <row r="449" ht="15.75" customHeight="1" s="141"/>
    <row r="450" ht="15.75" customHeight="1" s="141"/>
    <row r="451" ht="15.75" customHeight="1" s="141"/>
    <row r="452" ht="15.75" customHeight="1" s="141"/>
    <row r="453" ht="15.75" customHeight="1" s="141"/>
    <row r="454" ht="15.75" customHeight="1" s="141"/>
    <row r="455" ht="15.75" customHeight="1" s="141"/>
    <row r="456" ht="15.75" customHeight="1" s="141"/>
    <row r="457" ht="15.75" customHeight="1" s="141"/>
    <row r="458" ht="15.75" customHeight="1" s="141"/>
    <row r="459" ht="15.75" customHeight="1" s="141"/>
    <row r="460" ht="15.75" customHeight="1" s="141"/>
    <row r="461" ht="15.75" customHeight="1" s="141"/>
    <row r="462" ht="15.75" customHeight="1" s="141"/>
    <row r="463" ht="15.75" customHeight="1" s="141"/>
    <row r="464" ht="15.75" customHeight="1" s="141"/>
    <row r="465" ht="15.75" customHeight="1" s="141"/>
    <row r="466" ht="15.75" customHeight="1" s="141"/>
    <row r="467" ht="15.75" customHeight="1" s="141"/>
    <row r="468" ht="15.75" customHeight="1" s="141"/>
    <row r="469" ht="15.75" customHeight="1" s="141"/>
    <row r="470" ht="15.75" customHeight="1" s="141"/>
    <row r="471" ht="15.75" customHeight="1" s="141"/>
    <row r="472" ht="15.75" customHeight="1" s="141"/>
    <row r="473" ht="15.75" customHeight="1" s="141"/>
    <row r="474" ht="15.75" customHeight="1" s="141"/>
    <row r="475" ht="15.75" customHeight="1" s="141"/>
    <row r="476" ht="15.75" customHeight="1" s="141"/>
    <row r="477" ht="15.75" customHeight="1" s="141"/>
    <row r="478" ht="15.75" customHeight="1" s="141"/>
    <row r="479" ht="15.75" customHeight="1" s="141"/>
    <row r="480" ht="15.75" customHeight="1" s="141"/>
    <row r="481" ht="15.75" customHeight="1" s="141"/>
    <row r="482" ht="15.75" customHeight="1" s="141"/>
    <row r="483" ht="15.75" customHeight="1" s="141"/>
    <row r="484" ht="15.75" customHeight="1" s="141"/>
    <row r="485" ht="15.75" customHeight="1" s="141"/>
    <row r="486" ht="15.75" customHeight="1" s="141"/>
    <row r="487" ht="15.75" customHeight="1" s="141"/>
    <row r="488" ht="15.75" customHeight="1" s="141"/>
    <row r="489" ht="15.75" customHeight="1" s="141"/>
    <row r="490" ht="15.75" customHeight="1" s="141"/>
    <row r="491" ht="15.75" customHeight="1" s="141"/>
    <row r="492" ht="15.75" customHeight="1" s="141"/>
    <row r="493" ht="15.75" customHeight="1" s="141"/>
    <row r="494" ht="15.75" customHeight="1" s="141"/>
    <row r="495" ht="15.75" customHeight="1" s="141"/>
    <row r="496" ht="15.75" customHeight="1" s="141"/>
    <row r="497" ht="15.75" customHeight="1" s="141"/>
    <row r="498" ht="15.75" customHeight="1" s="141"/>
    <row r="499" ht="15.75" customHeight="1" s="141"/>
    <row r="500" ht="15.75" customHeight="1" s="141"/>
    <row r="501" ht="15.75" customHeight="1" s="141"/>
    <row r="502" ht="15.75" customHeight="1" s="141"/>
    <row r="503" ht="15.75" customHeight="1" s="141"/>
    <row r="504" ht="15.75" customHeight="1" s="141"/>
    <row r="505" ht="15.75" customHeight="1" s="141"/>
    <row r="506" ht="15.75" customHeight="1" s="141"/>
    <row r="507" ht="15.75" customHeight="1" s="141"/>
    <row r="508" ht="15.75" customHeight="1" s="141"/>
    <row r="509" ht="15.75" customHeight="1" s="141"/>
    <row r="510" ht="15.75" customHeight="1" s="141"/>
    <row r="511" ht="15.75" customHeight="1" s="141"/>
    <row r="512" ht="15.75" customHeight="1" s="141"/>
    <row r="513" ht="15.75" customHeight="1" s="141"/>
    <row r="514" ht="15.75" customHeight="1" s="141"/>
    <row r="515" ht="15.75" customHeight="1" s="141"/>
    <row r="516" ht="15.75" customHeight="1" s="141"/>
    <row r="517" ht="15.75" customHeight="1" s="141"/>
    <row r="518" ht="15.75" customHeight="1" s="141"/>
    <row r="519" ht="15.75" customHeight="1" s="141"/>
    <row r="520" ht="15.75" customHeight="1" s="141"/>
    <row r="521" ht="15.75" customHeight="1" s="141"/>
    <row r="522" ht="15.75" customHeight="1" s="141"/>
    <row r="523" ht="15.75" customHeight="1" s="141"/>
    <row r="524" ht="15.75" customHeight="1" s="141"/>
    <row r="525" ht="15.75" customHeight="1" s="141"/>
    <row r="526" ht="15.75" customHeight="1" s="141"/>
    <row r="527" ht="15.75" customHeight="1" s="141"/>
    <row r="528" ht="15.75" customHeight="1" s="141"/>
    <row r="529" ht="15.75" customHeight="1" s="141"/>
    <row r="530" ht="15.75" customHeight="1" s="141"/>
    <row r="531" ht="15.75" customHeight="1" s="141"/>
    <row r="532" ht="15.75" customHeight="1" s="141"/>
    <row r="533" ht="15.75" customHeight="1" s="141"/>
    <row r="534" ht="15.75" customHeight="1" s="141"/>
    <row r="535" ht="15.75" customHeight="1" s="141"/>
    <row r="536" ht="15.75" customHeight="1" s="141"/>
    <row r="537" ht="15.75" customHeight="1" s="141"/>
    <row r="538" ht="15.75" customHeight="1" s="141"/>
    <row r="539" ht="15.75" customHeight="1" s="141"/>
    <row r="540" ht="15.75" customHeight="1" s="141"/>
    <row r="541" ht="15.75" customHeight="1" s="141"/>
    <row r="542" ht="15.75" customHeight="1" s="141"/>
    <row r="543" ht="15.75" customHeight="1" s="141"/>
    <row r="544" ht="15.75" customHeight="1" s="141"/>
    <row r="545" ht="15.75" customHeight="1" s="141"/>
    <row r="546" ht="15.75" customHeight="1" s="141"/>
    <row r="547" ht="15.75" customHeight="1" s="141"/>
    <row r="548" ht="15.75" customHeight="1" s="141"/>
    <row r="549" ht="15.75" customHeight="1" s="141"/>
    <row r="550" ht="15.75" customHeight="1" s="141"/>
    <row r="551" ht="15.75" customHeight="1" s="141"/>
    <row r="552" ht="15.75" customHeight="1" s="141"/>
    <row r="553" ht="15.75" customHeight="1" s="141"/>
    <row r="554" ht="15.75" customHeight="1" s="141"/>
    <row r="555" ht="15.75" customHeight="1" s="141"/>
    <row r="556" ht="15.75" customHeight="1" s="141"/>
    <row r="557" ht="15.75" customHeight="1" s="141"/>
    <row r="558" ht="15.75" customHeight="1" s="141"/>
    <row r="559" ht="15.75" customHeight="1" s="141"/>
    <row r="560" ht="15.75" customHeight="1" s="141"/>
    <row r="561" ht="15.75" customHeight="1" s="141"/>
    <row r="562" ht="15.75" customHeight="1" s="141"/>
    <row r="563" ht="15.75" customHeight="1" s="141"/>
    <row r="564" ht="15.75" customHeight="1" s="141"/>
    <row r="565" ht="15.75" customHeight="1" s="141"/>
    <row r="566" ht="15.75" customHeight="1" s="141"/>
    <row r="567" ht="15.75" customHeight="1" s="141"/>
    <row r="568" ht="15.75" customHeight="1" s="141"/>
    <row r="569" ht="15.75" customHeight="1" s="141"/>
    <row r="570" ht="15.75" customHeight="1" s="141"/>
    <row r="571" ht="15.75" customHeight="1" s="141"/>
    <row r="572" ht="15.75" customHeight="1" s="141"/>
    <row r="573" ht="15.75" customHeight="1" s="141"/>
    <row r="574" ht="15.75" customHeight="1" s="141"/>
    <row r="575" ht="15.75" customHeight="1" s="141"/>
    <row r="576" ht="15.75" customHeight="1" s="141"/>
    <row r="577" ht="15.75" customHeight="1" s="141"/>
    <row r="578" ht="15.75" customHeight="1" s="141"/>
    <row r="579" ht="15.75" customHeight="1" s="141"/>
    <row r="580" ht="15.75" customHeight="1" s="141"/>
    <row r="581" ht="15.75" customHeight="1" s="141"/>
    <row r="582" ht="15.75" customHeight="1" s="141"/>
    <row r="583" ht="15.75" customHeight="1" s="141"/>
    <row r="584" ht="15.75" customHeight="1" s="141"/>
    <row r="585" ht="15.75" customHeight="1" s="141"/>
    <row r="586" ht="15.75" customHeight="1" s="141"/>
    <row r="587" ht="15.75" customHeight="1" s="141"/>
    <row r="588" ht="15.75" customHeight="1" s="141"/>
    <row r="589" ht="15.75" customHeight="1" s="141"/>
    <row r="590" ht="15.75" customHeight="1" s="141"/>
    <row r="591" ht="15.75" customHeight="1" s="141"/>
    <row r="592" ht="15.75" customHeight="1" s="141"/>
    <row r="593" ht="15.75" customHeight="1" s="141"/>
    <row r="594" ht="15.75" customHeight="1" s="141"/>
    <row r="595" ht="15.75" customHeight="1" s="141"/>
    <row r="596" ht="15.75" customHeight="1" s="141"/>
    <row r="597" ht="15.75" customHeight="1" s="141"/>
    <row r="598" ht="15.75" customHeight="1" s="141"/>
    <row r="599" ht="15.75" customHeight="1" s="141"/>
    <row r="600" ht="15.75" customHeight="1" s="141"/>
    <row r="601" ht="15.75" customHeight="1" s="141"/>
    <row r="602" ht="15.75" customHeight="1" s="141"/>
    <row r="603" ht="15.75" customHeight="1" s="141"/>
    <row r="604" ht="15.75" customHeight="1" s="141"/>
    <row r="605" ht="15.75" customHeight="1" s="141"/>
    <row r="606" ht="15.75" customHeight="1" s="141"/>
    <row r="607" ht="15.75" customHeight="1" s="141"/>
    <row r="608" ht="15.75" customHeight="1" s="141"/>
    <row r="609" ht="15.75" customHeight="1" s="141"/>
    <row r="610" ht="15.75" customHeight="1" s="141"/>
    <row r="611" ht="15.75" customHeight="1" s="141"/>
    <row r="612" ht="15.75" customHeight="1" s="141"/>
    <row r="613" ht="15.75" customHeight="1" s="141"/>
    <row r="614" ht="15.75" customHeight="1" s="141"/>
    <row r="615" ht="15.75" customHeight="1" s="141"/>
    <row r="616" ht="15.75" customHeight="1" s="141"/>
    <row r="617" ht="15.75" customHeight="1" s="141"/>
    <row r="618" ht="15.75" customHeight="1" s="141"/>
    <row r="619" ht="15.75" customHeight="1" s="141"/>
    <row r="620" ht="15.75" customHeight="1" s="141"/>
    <row r="621" ht="15.75" customHeight="1" s="141"/>
    <row r="622" ht="15.75" customHeight="1" s="141"/>
    <row r="623" ht="15.75" customHeight="1" s="141"/>
    <row r="624" ht="15.75" customHeight="1" s="141"/>
    <row r="625" ht="15.75" customHeight="1" s="141"/>
    <row r="626" ht="15.75" customHeight="1" s="141"/>
    <row r="627" ht="15.75" customHeight="1" s="141"/>
    <row r="628" ht="15.75" customHeight="1" s="141"/>
    <row r="629" ht="15.75" customHeight="1" s="141"/>
    <row r="630" ht="15.75" customHeight="1" s="141"/>
    <row r="631" ht="15.75" customHeight="1" s="141"/>
    <row r="632" ht="15.75" customHeight="1" s="141"/>
    <row r="633" ht="15.75" customHeight="1" s="141"/>
    <row r="634" ht="15.75" customHeight="1" s="141"/>
    <row r="635" ht="15.75" customHeight="1" s="141"/>
    <row r="636" ht="15.75" customHeight="1" s="141"/>
    <row r="637" ht="15.75" customHeight="1" s="141"/>
    <row r="638" ht="15.75" customHeight="1" s="141"/>
    <row r="639" ht="15.75" customHeight="1" s="141"/>
    <row r="640" ht="15.75" customHeight="1" s="141"/>
    <row r="641" ht="15.75" customHeight="1" s="141"/>
    <row r="642" ht="15.75" customHeight="1" s="141"/>
    <row r="643" ht="15.75" customHeight="1" s="141"/>
    <row r="644" ht="15.75" customHeight="1" s="141"/>
    <row r="645" ht="15.75" customHeight="1" s="141"/>
    <row r="646" ht="15.75" customHeight="1" s="141"/>
    <row r="647" ht="15.75" customHeight="1" s="141"/>
    <row r="648" ht="15.75" customHeight="1" s="141"/>
    <row r="649" ht="15.75" customHeight="1" s="141"/>
    <row r="650" ht="15.75" customHeight="1" s="141"/>
    <row r="651" ht="15.75" customHeight="1" s="141"/>
    <row r="652" ht="15.75" customHeight="1" s="141"/>
    <row r="653" ht="15.75" customHeight="1" s="141"/>
    <row r="654" ht="15.75" customHeight="1" s="141"/>
    <row r="655" ht="15.75" customHeight="1" s="141"/>
    <row r="656" ht="15.75" customHeight="1" s="141"/>
    <row r="657" ht="15.75" customHeight="1" s="141"/>
    <row r="658" ht="15.75" customHeight="1" s="141"/>
    <row r="659" ht="15.75" customHeight="1" s="141"/>
    <row r="660" ht="15.75" customHeight="1" s="141"/>
    <row r="661" ht="15.75" customHeight="1" s="141"/>
    <row r="662" ht="15.75" customHeight="1" s="141"/>
    <row r="663" ht="15.75" customHeight="1" s="141"/>
    <row r="664" ht="15.75" customHeight="1" s="141"/>
    <row r="665" ht="15.75" customHeight="1" s="141"/>
    <row r="666" ht="15.75" customHeight="1" s="141"/>
    <row r="667" ht="15.75" customHeight="1" s="141"/>
    <row r="668" ht="15.75" customHeight="1" s="141"/>
    <row r="669" ht="15.75" customHeight="1" s="141"/>
    <row r="670" ht="15.75" customHeight="1" s="141"/>
    <row r="671" ht="15.75" customHeight="1" s="141"/>
    <row r="672" ht="15.75" customHeight="1" s="141"/>
    <row r="673" ht="15.75" customHeight="1" s="141"/>
    <row r="674" ht="15.75" customHeight="1" s="141"/>
    <row r="675" ht="15.75" customHeight="1" s="141"/>
    <row r="676" ht="15.75" customHeight="1" s="141"/>
    <row r="677" ht="15.75" customHeight="1" s="141"/>
    <row r="678" ht="15.75" customHeight="1" s="141"/>
    <row r="679" ht="15.75" customHeight="1" s="141"/>
    <row r="680" ht="15.75" customHeight="1" s="141"/>
    <row r="681" ht="15.75" customHeight="1" s="141"/>
    <row r="682" ht="15.75" customHeight="1" s="141"/>
    <row r="683" ht="15.75" customHeight="1" s="141"/>
    <row r="684" ht="15.75" customHeight="1" s="141"/>
    <row r="685" ht="15.75" customHeight="1" s="141"/>
    <row r="686" ht="15.75" customHeight="1" s="141"/>
    <row r="687" ht="15.75" customHeight="1" s="141"/>
    <row r="688" ht="15.75" customHeight="1" s="141"/>
    <row r="689" ht="15.75" customHeight="1" s="141"/>
    <row r="690" ht="15.75" customHeight="1" s="141"/>
    <row r="691" ht="15.75" customHeight="1" s="141"/>
    <row r="692" ht="15.75" customHeight="1" s="141"/>
    <row r="693" ht="15.75" customHeight="1" s="141"/>
    <row r="694" ht="15.75" customHeight="1" s="141"/>
    <row r="695" ht="15.75" customHeight="1" s="141"/>
    <row r="696" ht="15.75" customHeight="1" s="141"/>
    <row r="697" ht="15.75" customHeight="1" s="141"/>
    <row r="698" ht="15.75" customHeight="1" s="141"/>
    <row r="699" ht="15.75" customHeight="1" s="141"/>
    <row r="700" ht="15.75" customHeight="1" s="141"/>
    <row r="701" ht="15.75" customHeight="1" s="141"/>
    <row r="702" ht="15.75" customHeight="1" s="141"/>
    <row r="703" ht="15.75" customHeight="1" s="141"/>
    <row r="704" ht="15.75" customHeight="1" s="141"/>
    <row r="705" ht="15.75" customHeight="1" s="141"/>
    <row r="706" ht="15.75" customHeight="1" s="141"/>
    <row r="707" ht="15.75" customHeight="1" s="141"/>
    <row r="708" ht="15.75" customHeight="1" s="141"/>
    <row r="709" ht="15.75" customHeight="1" s="141"/>
    <row r="710" ht="15.75" customHeight="1" s="141"/>
    <row r="711" ht="15.75" customHeight="1" s="141"/>
    <row r="712" ht="15.75" customHeight="1" s="141"/>
    <row r="713" ht="15.75" customHeight="1" s="141"/>
    <row r="714" ht="15.75" customHeight="1" s="141"/>
    <row r="715" ht="15.75" customHeight="1" s="141"/>
    <row r="716" ht="15.75" customHeight="1" s="141"/>
    <row r="717" ht="15.75" customHeight="1" s="141"/>
    <row r="718" ht="15.75" customHeight="1" s="141"/>
    <row r="719" ht="15.75" customHeight="1" s="141"/>
    <row r="720" ht="15.75" customHeight="1" s="141"/>
    <row r="721" ht="15.75" customHeight="1" s="141"/>
    <row r="722" ht="15.75" customHeight="1" s="141"/>
    <row r="723" ht="15.75" customHeight="1" s="141"/>
    <row r="724" ht="15.75" customHeight="1" s="141"/>
    <row r="725" ht="15.75" customHeight="1" s="141"/>
    <row r="726" ht="15.75" customHeight="1" s="141"/>
    <row r="727" ht="15.75" customHeight="1" s="141"/>
    <row r="728" ht="15.75" customHeight="1" s="141"/>
    <row r="729" ht="15.75" customHeight="1" s="141"/>
    <row r="730" ht="15.75" customHeight="1" s="141"/>
    <row r="731" ht="15.75" customHeight="1" s="141"/>
    <row r="732" ht="15.75" customHeight="1" s="141"/>
    <row r="733" ht="15.75" customHeight="1" s="141"/>
    <row r="734" ht="15.75" customHeight="1" s="141"/>
    <row r="735" ht="15.75" customHeight="1" s="141"/>
    <row r="736" ht="15.75" customHeight="1" s="141"/>
    <row r="737" ht="15.75" customHeight="1" s="141"/>
    <row r="738" ht="15.75" customHeight="1" s="141"/>
    <row r="739" ht="15.75" customHeight="1" s="141"/>
    <row r="740" ht="15.75" customHeight="1" s="141"/>
    <row r="741" ht="15.75" customHeight="1" s="141"/>
    <row r="742" ht="15.75" customHeight="1" s="141"/>
    <row r="743" ht="15.75" customHeight="1" s="141"/>
    <row r="744" ht="15.75" customHeight="1" s="141"/>
    <row r="745" ht="15.75" customHeight="1" s="141"/>
    <row r="746" ht="15.75" customHeight="1" s="141"/>
    <row r="747" ht="15.75" customHeight="1" s="141"/>
    <row r="748" ht="15.75" customHeight="1" s="141"/>
    <row r="749" ht="15.75" customHeight="1" s="141"/>
    <row r="750" ht="15.75" customHeight="1" s="141"/>
    <row r="751" ht="15.75" customHeight="1" s="141"/>
    <row r="752" ht="15.75" customHeight="1" s="141"/>
    <row r="753" ht="15.75" customHeight="1" s="141"/>
    <row r="754" ht="15.75" customHeight="1" s="141"/>
    <row r="755" ht="15.75" customHeight="1" s="141"/>
    <row r="756" ht="15.75" customHeight="1" s="141"/>
    <row r="757" ht="15.75" customHeight="1" s="141"/>
    <row r="758" ht="15.75" customHeight="1" s="141"/>
    <row r="759" ht="15.75" customHeight="1" s="141"/>
    <row r="760" ht="15.75" customHeight="1" s="141"/>
    <row r="761" ht="15.75" customHeight="1" s="141"/>
    <row r="762" ht="15.75" customHeight="1" s="141"/>
    <row r="763" ht="15.75" customHeight="1" s="141"/>
    <row r="764" ht="15.75" customHeight="1" s="141"/>
    <row r="765" ht="15.75" customHeight="1" s="141"/>
    <row r="766" ht="15.75" customHeight="1" s="141"/>
    <row r="767" ht="15.75" customHeight="1" s="141"/>
    <row r="768" ht="15.75" customHeight="1" s="141"/>
    <row r="769" ht="15.75" customHeight="1" s="141"/>
    <row r="770" ht="15.75" customHeight="1" s="141"/>
    <row r="771" ht="15.75" customHeight="1" s="141"/>
    <row r="772" ht="15.75" customHeight="1" s="141"/>
    <row r="773" ht="15.75" customHeight="1" s="141"/>
    <row r="774" ht="15.75" customHeight="1" s="141"/>
    <row r="775" ht="15.75" customHeight="1" s="141"/>
    <row r="776" ht="15.75" customHeight="1" s="141"/>
    <row r="777" ht="15.75" customHeight="1" s="141"/>
    <row r="778" ht="15.75" customHeight="1" s="141"/>
    <row r="779" ht="15.75" customHeight="1" s="141"/>
    <row r="780" ht="15.75" customHeight="1" s="141"/>
    <row r="781" ht="15.75" customHeight="1" s="141"/>
    <row r="782" ht="15.75" customHeight="1" s="141"/>
    <row r="783" ht="15.75" customHeight="1" s="141"/>
    <row r="784" ht="15.75" customHeight="1" s="141"/>
    <row r="785" ht="15.75" customHeight="1" s="141"/>
    <row r="786" ht="15.75" customHeight="1" s="141"/>
    <row r="787" ht="15.75" customHeight="1" s="141"/>
    <row r="788" ht="15.75" customHeight="1" s="141"/>
    <row r="789" ht="15.75" customHeight="1" s="141"/>
    <row r="790" ht="15.75" customHeight="1" s="141"/>
    <row r="791" ht="15.75" customHeight="1" s="141"/>
    <row r="792" ht="15.75" customHeight="1" s="141"/>
    <row r="793" ht="15.75" customHeight="1" s="141"/>
    <row r="794" ht="15.75" customHeight="1" s="141"/>
    <row r="795" ht="15.75" customHeight="1" s="141"/>
    <row r="796" ht="15.75" customHeight="1" s="141"/>
    <row r="797" ht="15.75" customHeight="1" s="141"/>
    <row r="798" ht="15.75" customHeight="1" s="141"/>
    <row r="799" ht="15.75" customHeight="1" s="141"/>
    <row r="800" ht="15.75" customHeight="1" s="141"/>
    <row r="801" ht="15.75" customHeight="1" s="141"/>
    <row r="802" ht="15.75" customHeight="1" s="141"/>
    <row r="803" ht="15.75" customHeight="1" s="141"/>
    <row r="804" ht="15.75" customHeight="1" s="141"/>
    <row r="805" ht="15.75" customHeight="1" s="141"/>
    <row r="806" ht="15.75" customHeight="1" s="141"/>
    <row r="807" ht="15.75" customHeight="1" s="141"/>
    <row r="808" ht="15.75" customHeight="1" s="141"/>
    <row r="809" ht="15.75" customHeight="1" s="141"/>
    <row r="810" ht="15.75" customHeight="1" s="141"/>
    <row r="811" ht="15.75" customHeight="1" s="141"/>
    <row r="812" ht="15.75" customHeight="1" s="141"/>
    <row r="813" ht="15.75" customHeight="1" s="141"/>
    <row r="814" ht="15.75" customHeight="1" s="141"/>
    <row r="815" ht="15.75" customHeight="1" s="141"/>
    <row r="816" ht="15.75" customHeight="1" s="141"/>
    <row r="817" ht="15.75" customHeight="1" s="141"/>
    <row r="818" ht="15.75" customHeight="1" s="141"/>
    <row r="819" ht="15.75" customHeight="1" s="141"/>
    <row r="820" ht="15.75" customHeight="1" s="141"/>
    <row r="821" ht="15.75" customHeight="1" s="141"/>
    <row r="822" ht="15.75" customHeight="1" s="141"/>
    <row r="823" ht="15.75" customHeight="1" s="141"/>
    <row r="824" ht="15.75" customHeight="1" s="141"/>
    <row r="825" ht="15.75" customHeight="1" s="141"/>
    <row r="826" ht="15.75" customHeight="1" s="141"/>
    <row r="827" ht="15.75" customHeight="1" s="141"/>
    <row r="828" ht="15.75" customHeight="1" s="141"/>
    <row r="829" ht="15.75" customHeight="1" s="141"/>
    <row r="830" ht="15.75" customHeight="1" s="141"/>
    <row r="831" ht="15.75" customHeight="1" s="141"/>
    <row r="832" ht="15.75" customHeight="1" s="141"/>
    <row r="833" ht="15.75" customHeight="1" s="141"/>
    <row r="834" ht="15.75" customHeight="1" s="141"/>
    <row r="835" ht="15.75" customHeight="1" s="141"/>
    <row r="836" ht="15.75" customHeight="1" s="141"/>
    <row r="837" ht="15.75" customHeight="1" s="141"/>
    <row r="838" ht="15.75" customHeight="1" s="141"/>
    <row r="839" ht="15.75" customHeight="1" s="141"/>
    <row r="840" ht="15.75" customHeight="1" s="141"/>
    <row r="841" ht="15.75" customHeight="1" s="141"/>
    <row r="842" ht="15.75" customHeight="1" s="141"/>
    <row r="843" ht="15.75" customHeight="1" s="141"/>
    <row r="844" ht="15.75" customHeight="1" s="141"/>
    <row r="845" ht="15.75" customHeight="1" s="141"/>
    <row r="846" ht="15.75" customHeight="1" s="141"/>
    <row r="847" ht="15.75" customHeight="1" s="141"/>
    <row r="848" ht="15.75" customHeight="1" s="141"/>
    <row r="849" ht="15.75" customHeight="1" s="141"/>
    <row r="850" ht="15.75" customHeight="1" s="141"/>
    <row r="851" ht="15.75" customHeight="1" s="141"/>
    <row r="852" ht="15.75" customHeight="1" s="141"/>
    <row r="853" ht="15.75" customHeight="1" s="141"/>
    <row r="854" ht="15.75" customHeight="1" s="141"/>
    <row r="855" ht="15.75" customHeight="1" s="141"/>
    <row r="856" ht="15.75" customHeight="1" s="141"/>
    <row r="857" ht="15.75" customHeight="1" s="141"/>
    <row r="858" ht="15.75" customHeight="1" s="141"/>
    <row r="859" ht="15.75" customHeight="1" s="141"/>
    <row r="860" ht="15.75" customHeight="1" s="141"/>
    <row r="861" ht="15.75" customHeight="1" s="141"/>
    <row r="862" ht="15.75" customHeight="1" s="141"/>
    <row r="863" ht="15.75" customHeight="1" s="141"/>
    <row r="864" ht="15.75" customHeight="1" s="141"/>
    <row r="865" ht="15.75" customHeight="1" s="141"/>
    <row r="866" ht="15.75" customHeight="1" s="141"/>
    <row r="867" ht="15.75" customHeight="1" s="141"/>
    <row r="868" ht="15.75" customHeight="1" s="141"/>
    <row r="869" ht="15.75" customHeight="1" s="141"/>
    <row r="870" ht="15.75" customHeight="1" s="141"/>
    <row r="871" ht="15.75" customHeight="1" s="141"/>
    <row r="872" ht="15.75" customHeight="1" s="141"/>
    <row r="873" ht="15.75" customHeight="1" s="141"/>
    <row r="874" ht="15.75" customHeight="1" s="141"/>
    <row r="875" ht="15.75" customHeight="1" s="141"/>
    <row r="876" ht="15.75" customHeight="1" s="141"/>
    <row r="877" ht="15.75" customHeight="1" s="141"/>
    <row r="878" ht="15.75" customHeight="1" s="141"/>
    <row r="879" ht="15.75" customHeight="1" s="141"/>
    <row r="880" ht="15.75" customHeight="1" s="141"/>
    <row r="881" ht="15.75" customHeight="1" s="141"/>
    <row r="882" ht="15.75" customHeight="1" s="141"/>
    <row r="883" ht="15.75" customHeight="1" s="141"/>
    <row r="884" ht="15.75" customHeight="1" s="141"/>
    <row r="885" ht="15.75" customHeight="1" s="141"/>
    <row r="886" ht="15.75" customHeight="1" s="141"/>
    <row r="887" ht="15.75" customHeight="1" s="141"/>
    <row r="888" ht="15.75" customHeight="1" s="141"/>
    <row r="889" ht="15.75" customHeight="1" s="141"/>
    <row r="890" ht="15.75" customHeight="1" s="141"/>
    <row r="891" ht="15.75" customHeight="1" s="141"/>
    <row r="892" ht="15.75" customHeight="1" s="141"/>
    <row r="893" ht="15.75" customHeight="1" s="141"/>
    <row r="894" ht="15.75" customHeight="1" s="141"/>
    <row r="895" ht="15.75" customHeight="1" s="141"/>
    <row r="896" ht="15.75" customHeight="1" s="141"/>
    <row r="897" ht="15.75" customHeight="1" s="141"/>
    <row r="898" ht="15.75" customHeight="1" s="141"/>
    <row r="899" ht="15.75" customHeight="1" s="141"/>
    <row r="900" ht="15.75" customHeight="1" s="141"/>
    <row r="901" ht="15.75" customHeight="1" s="141"/>
    <row r="902" ht="15.75" customHeight="1" s="141"/>
    <row r="903" ht="15.75" customHeight="1" s="141"/>
    <row r="904" ht="15.75" customHeight="1" s="141"/>
    <row r="905" ht="15.75" customHeight="1" s="141"/>
    <row r="906" ht="15.75" customHeight="1" s="141"/>
    <row r="907" ht="15.75" customHeight="1" s="141"/>
    <row r="908" ht="15.75" customHeight="1" s="141"/>
    <row r="909" ht="15.75" customHeight="1" s="141"/>
    <row r="910" ht="15.75" customHeight="1" s="141"/>
    <row r="911" ht="15.75" customHeight="1" s="141"/>
    <row r="912" ht="15.75" customHeight="1" s="141"/>
    <row r="913" ht="15.75" customHeight="1" s="141"/>
    <row r="914" ht="15.75" customHeight="1" s="141"/>
    <row r="915" ht="15.75" customHeight="1" s="141"/>
    <row r="916" ht="15.75" customHeight="1" s="141"/>
    <row r="917" ht="15.75" customHeight="1" s="141"/>
    <row r="918" ht="15.75" customHeight="1" s="141"/>
    <row r="919" ht="15.75" customHeight="1" s="141"/>
    <row r="920" ht="15.75" customHeight="1" s="141"/>
    <row r="921" ht="15.75" customHeight="1" s="141"/>
    <row r="922" ht="15.75" customHeight="1" s="141"/>
    <row r="923" ht="15.75" customHeight="1" s="141"/>
    <row r="924" ht="15.75" customHeight="1" s="141"/>
    <row r="925" ht="15.75" customHeight="1" s="141"/>
    <row r="926" ht="15.75" customHeight="1" s="141"/>
    <row r="927" ht="15.75" customHeight="1" s="141"/>
    <row r="928" ht="15.75" customHeight="1" s="141"/>
    <row r="929" ht="15.75" customHeight="1" s="141"/>
    <row r="930" ht="15.75" customHeight="1" s="141"/>
    <row r="931" ht="15.75" customHeight="1" s="141"/>
    <row r="932" ht="15.75" customHeight="1" s="141"/>
    <row r="933" ht="15.75" customHeight="1" s="141"/>
    <row r="934" ht="15.75" customHeight="1" s="141"/>
    <row r="935" ht="15.75" customHeight="1" s="141"/>
    <row r="936" ht="15.75" customHeight="1" s="141"/>
    <row r="937" ht="15.75" customHeight="1" s="141"/>
    <row r="938" ht="15.75" customHeight="1" s="141"/>
    <row r="939" ht="15.75" customHeight="1" s="141"/>
    <row r="940" ht="15.75" customHeight="1" s="141"/>
    <row r="941" ht="15.75" customHeight="1" s="141"/>
    <row r="942" ht="15.75" customHeight="1" s="141"/>
    <row r="943" ht="15.75" customHeight="1" s="141"/>
    <row r="944" ht="15.75" customHeight="1" s="141"/>
    <row r="945" ht="15.75" customHeight="1" s="141"/>
    <row r="946" ht="15.75" customHeight="1" s="141"/>
    <row r="947" ht="15.75" customHeight="1" s="141"/>
    <row r="948" ht="15.75" customHeight="1" s="141"/>
    <row r="949" ht="15.75" customHeight="1" s="141"/>
    <row r="950" ht="15.75" customHeight="1" s="141"/>
    <row r="951" ht="15.75" customHeight="1" s="141"/>
    <row r="952" ht="15.75" customHeight="1" s="141"/>
    <row r="953" ht="15.75" customHeight="1" s="141"/>
    <row r="954" ht="15.75" customHeight="1" s="141"/>
    <row r="955" ht="15.75" customHeight="1" s="141"/>
    <row r="956" ht="15.75" customHeight="1" s="141"/>
    <row r="957" ht="15.75" customHeight="1" s="141"/>
    <row r="958" ht="15.75" customHeight="1" s="141"/>
    <row r="959" ht="15.75" customHeight="1" s="141"/>
    <row r="960" ht="15.75" customHeight="1" s="141"/>
    <row r="961" ht="15.75" customHeight="1" s="141"/>
    <row r="962" ht="15.75" customHeight="1" s="141"/>
    <row r="963" ht="15.75" customHeight="1" s="141"/>
    <row r="964" ht="15.75" customHeight="1" s="141"/>
    <row r="965" ht="15.75" customHeight="1" s="141"/>
    <row r="966" ht="15.75" customHeight="1" s="141"/>
    <row r="967" ht="15.75" customHeight="1" s="141"/>
    <row r="968" ht="15.75" customHeight="1" s="141"/>
    <row r="969" ht="15.75" customHeight="1" s="141"/>
    <row r="970" ht="15.75" customHeight="1" s="141"/>
    <row r="971" ht="15.75" customHeight="1" s="141"/>
    <row r="972" ht="15.75" customHeight="1" s="141"/>
    <row r="973" ht="15.75" customHeight="1" s="141"/>
    <row r="974" ht="15.75" customHeight="1" s="141"/>
    <row r="975" ht="15.75" customHeight="1" s="141"/>
    <row r="976" ht="15.75" customHeight="1" s="141"/>
    <row r="977" ht="15.75" customHeight="1" s="141"/>
    <row r="978" ht="15.75" customHeight="1" s="141"/>
    <row r="979" ht="15.75" customHeight="1" s="141"/>
    <row r="980" ht="15.75" customHeight="1" s="141"/>
    <row r="981" ht="15.75" customHeight="1" s="141"/>
    <row r="982" ht="15.75" customHeight="1" s="141"/>
    <row r="983" ht="15.75" customHeight="1" s="141"/>
    <row r="984" ht="15.75" customHeight="1" s="141"/>
    <row r="985" ht="15.75" customHeight="1" s="141"/>
    <row r="986" ht="15.75" customHeight="1" s="141"/>
    <row r="987" ht="15.75" customHeight="1" s="141"/>
    <row r="988" ht="15.75" customHeight="1" s="141"/>
    <row r="989" ht="15.75" customHeight="1" s="141"/>
    <row r="990" ht="15.75" customHeight="1" s="141"/>
    <row r="991" ht="15.75" customHeight="1" s="141"/>
    <row r="992" ht="15.75" customHeight="1" s="141"/>
    <row r="993" ht="15.75" customHeight="1" s="141"/>
    <row r="994" ht="15.75" customHeight="1" s="141"/>
    <row r="995" ht="15.75" customHeight="1" s="141"/>
    <row r="996" ht="15.75" customHeight="1" s="141"/>
    <row r="997" ht="15.75" customHeight="1" s="141"/>
    <row r="998" ht="15.75" customHeight="1" s="141"/>
    <row r="999" ht="15.75" customHeight="1" s="141"/>
    <row r="1000" ht="15.75" customHeight="1" s="141"/>
  </sheetData>
  <sheetProtection selectLockedCells="0" selectUnlockedCells="0" sheet="1" objects="0" insertRows="1" insertHyperlinks="1" autoFilter="0" scenarios="0" formatColumns="0" deleteColumns="1" insertColumns="1" pivotTables="1" deleteRows="1" formatCells="0" formatRows="0" sort="0"/>
  <mergeCells count="24">
    <mergeCell ref="G2:H2"/>
    <mergeCell ref="B6:E6"/>
    <mergeCell ref="L5:N5"/>
    <mergeCell ref="B5:E5"/>
    <mergeCell ref="A2:C2"/>
    <mergeCell ref="A1:N1"/>
    <mergeCell ref="L10:N10"/>
    <mergeCell ref="D2:E2"/>
    <mergeCell ref="L9:N9"/>
    <mergeCell ref="B9:D9"/>
    <mergeCell ref="L6:N6"/>
    <mergeCell ref="A27:N27"/>
    <mergeCell ref="A12:N12"/>
    <mergeCell ref="F9:G9"/>
    <mergeCell ref="G10:J10"/>
    <mergeCell ref="G6:J6"/>
    <mergeCell ref="G13:J13"/>
    <mergeCell ref="A8:N8"/>
    <mergeCell ref="A4:N4"/>
    <mergeCell ref="B13:E13"/>
    <mergeCell ref="L13:N13"/>
    <mergeCell ref="B10:E10"/>
    <mergeCell ref="G5:J5"/>
    <mergeCell ref="I9:J9"/>
  </mergeCells>
  <conditionalFormatting sqref="K16:K25">
    <cfRule type="colorScale" priority="2">
      <colorScale>
        <cfvo type="min" val="0"/>
        <cfvo type="percentile" val="50"/>
        <cfvo type="max" val="0"/>
        <color rgb="FF63BE7B"/>
        <color rgb="FFFFEB84"/>
        <color rgb="FFF8696B"/>
      </colorScale>
    </cfRule>
  </conditionalFormatting>
  <conditionalFormatting sqref="L16:L25">
    <cfRule type="colorScale" priority="3">
      <colorScale>
        <cfvo type="min" val="0"/>
        <cfvo type="percentile" val="50"/>
        <cfvo type="max" val="0"/>
        <color rgb="FF63BE7B"/>
        <color rgb="FFFFEB84"/>
        <color rgb="FFF8696B"/>
      </colorScale>
    </cfRule>
  </conditionalFormatting>
  <conditionalFormatting sqref="M16:M25">
    <cfRule type="colorScale" priority="4">
      <colorScale>
        <cfvo type="min" val="0"/>
        <cfvo type="percentile" val="50"/>
        <cfvo type="max" val="0"/>
        <color rgb="FF63BE7B"/>
        <color rgb="FFFFEB84"/>
        <color rgb="FFF8696B"/>
      </colorScale>
    </cfRule>
  </conditionalFormatting>
  <printOptions horizontalCentered="1" verticalCentered="0" headings="0" gridLines="0" gridLinesSet="1"/>
  <pageMargins left="0.25" right="0.25" top="0.4" bottom="0.4" header="0" footer="0"/>
  <pageSetup orientation="landscape" paperSize="1" scale="100" fitToHeight="0" fitToWidth="1" pageOrder="downThenOver" blackAndWhite="0" draft="0" horizontalDpi="300" verticalDpi="300" copies="1"/>
  <headerFooter differentOddEven="0" differentFirst="0">
    <oddHeader>&amp;C 1f4e78Load Log</oddHeader>
    <oddFooter>&amp;LRifle Load Development Log&amp;RPage &amp;P of </oddFooter>
    <evenHeader/>
    <evenFooter/>
    <firstHeader/>
    <firstFooter/>
  </headerFooter>
  <drawing xmlns:r="http://schemas.openxmlformats.org/officeDocument/2006/relationships" r:id="rId1"/>
</worksheet>
</file>

<file path=xl/worksheets/sheet3.xml><?xml version="1.0" encoding="utf-8"?>
<worksheet xmlns="http://schemas.openxmlformats.org/spreadsheetml/2006/main">
  <sheetPr filterMode="0">
    <outlinePr summaryBelow="1" summaryRight="1"/>
    <pageSetUpPr fitToPage="1"/>
  </sheetPr>
  <dimension ref="A1:U27"/>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3359375" defaultRowHeight="15" customHeight="1" zeroHeight="0" outlineLevelRow="0"/>
  <cols>
    <col width="26" customWidth="1" style="140" min="1" max="1"/>
    <col width="14" customWidth="1" style="140" min="2" max="3"/>
    <col width="17" customWidth="1" style="140" min="4" max="4"/>
    <col width="13" customWidth="1" style="140" min="5" max="7"/>
    <col width="10" customWidth="1" style="140" min="8" max="11"/>
    <col width="12" customWidth="1" style="140" min="12" max="12"/>
    <col width="7" customWidth="1" style="140" min="13" max="13"/>
    <col width="8.710000000000001" customWidth="1" style="140" min="14" max="26"/>
  </cols>
  <sheetData>
    <row r="1" ht="27.75" customHeight="1" s="141">
      <c r="A1" s="339" t="inlineStr">
        <is>
          <t>SUGGESTED BEST LOAD — Velocity + SD + Group Cross-Check</t>
        </is>
      </c>
      <c r="B1" s="309" t="n"/>
      <c r="C1" s="309" t="n"/>
      <c r="D1" s="309" t="n"/>
      <c r="E1" s="309" t="n"/>
      <c r="F1" s="309" t="n"/>
      <c r="G1" s="309" t="n"/>
      <c r="H1" s="309" t="n"/>
      <c r="I1" s="309" t="n"/>
      <c r="J1" s="309" t="n"/>
      <c r="K1" s="309" t="n"/>
      <c r="L1" s="309" t="n"/>
      <c r="M1" s="309" t="n"/>
      <c r="N1" s="309" t="n"/>
      <c r="O1" s="309" t="n"/>
      <c r="P1" s="309" t="n"/>
      <c r="Q1" s="309" t="n"/>
      <c r="R1" s="309" t="n"/>
      <c r="S1" s="309" t="n"/>
      <c r="T1" s="309" t="n"/>
      <c r="U1" s="309" t="n"/>
    </row>
    <row r="2">
      <c r="A2" s="309" t="n"/>
      <c r="B2" s="309" t="n"/>
      <c r="C2" s="309" t="n"/>
      <c r="D2" s="309" t="n"/>
      <c r="E2" s="309" t="n"/>
      <c r="F2" s="309" t="n"/>
      <c r="G2" s="309" t="n"/>
      <c r="H2" s="309" t="n"/>
      <c r="I2" s="309" t="n"/>
      <c r="J2" s="309" t="n"/>
      <c r="K2" s="309" t="n"/>
      <c r="L2" s="309" t="n"/>
      <c r="M2" s="309" t="n"/>
      <c r="N2" s="309" t="n"/>
      <c r="O2" s="309" t="n"/>
      <c r="P2" s="309" t="n"/>
      <c r="Q2" s="309" t="n"/>
      <c r="R2" s="309" t="n"/>
      <c r="S2" s="309" t="n"/>
      <c r="T2" s="309" t="n"/>
      <c r="U2" s="309" t="n"/>
    </row>
    <row r="3" ht="25.5" customHeight="1" s="141">
      <c r="A3" s="340" t="inlineStr">
        <is>
          <t>SUGGESTED CHARGE:</t>
        </is>
      </c>
      <c r="B3" s="194">
        <f>IFERROR(INDEX(A18:A25,MATCH(MIN(L18:L25),L18:L25,0)),"")</f>
        <v/>
      </c>
      <c r="C3" s="341" t="n"/>
      <c r="D3" s="342" t="inlineStr">
        <is>
          <t>Composite Score:</t>
        </is>
      </c>
      <c r="E3" s="197">
        <f>MIN(L18:L25)</f>
        <v/>
      </c>
      <c r="F3" s="342" t="inlineStr">
        <is>
          <t>SD:</t>
        </is>
      </c>
      <c r="G3" s="198">
        <f t="array" ref="G3:G3">IFERROR(INDEX(E18:E25,MATCH(MIN(L18:L25),L18:L25,0)),"")</f>
        <v/>
      </c>
      <c r="H3" s="309" t="n"/>
      <c r="I3" s="309" t="n"/>
      <c r="J3" s="309" t="n"/>
      <c r="K3" s="309" t="n"/>
      <c r="L3" s="309" t="n"/>
      <c r="M3" s="309" t="n"/>
      <c r="N3" s="309" t="n"/>
      <c r="O3" s="309" t="n"/>
      <c r="P3" s="309" t="n"/>
      <c r="Q3" s="309" t="n"/>
      <c r="R3" s="309" t="n"/>
      <c r="S3" s="309" t="n"/>
      <c r="T3" s="309" t="n"/>
      <c r="U3" s="309" t="n"/>
    </row>
    <row r="4" ht="25.5" customHeight="1" s="141">
      <c r="A4" s="309" t="n"/>
      <c r="B4" s="343" t="n"/>
      <c r="C4" s="309" t="n"/>
      <c r="D4" s="342" t="inlineStr">
        <is>
          <t>Velocity Spread:</t>
        </is>
      </c>
      <c r="E4" s="200">
        <f t="array" ref="E4:E4">IFERROR(INDEX(D18:D25,MATCH(MIN(L18:L25),L18:L25,0)),"")</f>
        <v/>
      </c>
      <c r="F4" s="342" t="inlineStr">
        <is>
          <t>Group:</t>
        </is>
      </c>
      <c r="G4" s="201">
        <f t="array" ref="G4:G4">IFERROR(INDEX(F18:F25,MATCH(MIN(L18:L25),L18:L25,0)),"")</f>
        <v/>
      </c>
      <c r="H4" s="309" t="n"/>
      <c r="I4" s="309" t="n"/>
      <c r="J4" s="309" t="n"/>
      <c r="K4" s="309" t="n"/>
      <c r="L4" s="309" t="n"/>
      <c r="M4" s="309" t="n"/>
      <c r="N4" s="309" t="n"/>
      <c r="O4" s="309" t="n"/>
      <c r="P4" s="309" t="n"/>
      <c r="Q4" s="309" t="n"/>
      <c r="R4" s="309" t="n"/>
      <c r="S4" s="309" t="n"/>
      <c r="T4" s="309" t="n"/>
      <c r="U4" s="309" t="n"/>
    </row>
    <row r="5" ht="25.5" customHeight="1" s="141">
      <c r="A5" s="309" t="n"/>
      <c r="B5" s="343" t="n"/>
      <c r="C5" s="309" t="n"/>
      <c r="D5" s="342" t="inlineStr">
        <is>
          <t>Avg Velocity:</t>
        </is>
      </c>
      <c r="E5" s="200">
        <f t="array" ref="E5:E5">IFERROR(INDEX('Load Log'!H16:H25,MATCH(INDEX(A18:A25,MATCH(MIN(L18:L25),L18:L25,0)),'Load Log'!B16:B25,0)),"")</f>
        <v/>
      </c>
      <c r="F5" s="342" t="inlineStr">
        <is>
          <t>Best-in-class:</t>
        </is>
      </c>
      <c r="G5" s="202">
        <f t="array" ref="G5:G5">IFERROR(TRIM(IF(INDEX(D18:D25,MATCH(MIN(L18:L25),L18:L25,0))=MIN(D18:D25),"Vel ✓ ","")&amp;IF(INDEX(E18:E25,MATCH(MIN(L18:L25),L18:L25,0))=MIN(E18:E25),"SD ✓ ","")&amp;IF(INDEX(F18:F25,MATCH(MIN(L18:L25),L18:L25,0))=MIN(F18:F25),"MR ✓ ","")&amp;IF(INDEX(G18:G25,MATCH(MIN(L18:L25),L18:L25,0))=MIN(G18:G25),"Vert ✓ ","")),"")</f>
        <v/>
      </c>
      <c r="H5" s="309" t="n"/>
      <c r="I5" s="309" t="n"/>
      <c r="J5" s="309" t="n"/>
      <c r="K5" s="309" t="n"/>
      <c r="L5" s="309" t="n"/>
      <c r="M5" s="309" t="n"/>
      <c r="N5" s="309" t="n"/>
      <c r="O5" s="309" t="n"/>
      <c r="P5" s="309" t="n"/>
      <c r="Q5" s="309" t="n"/>
      <c r="R5" s="309" t="n"/>
      <c r="S5" s="309" t="n"/>
      <c r="T5" s="309" t="n"/>
      <c r="U5" s="309" t="n"/>
    </row>
    <row r="6">
      <c r="A6" s="309" t="n"/>
      <c r="B6" s="309" t="n"/>
      <c r="C6" s="309" t="n"/>
      <c r="D6" s="309" t="n"/>
      <c r="E6" s="309" t="n"/>
      <c r="F6" s="309" t="n"/>
      <c r="G6" s="309" t="n"/>
      <c r="H6" s="309" t="n"/>
      <c r="I6" s="309" t="n"/>
      <c r="J6" s="309" t="n"/>
      <c r="K6" s="309" t="n"/>
      <c r="L6" s="309" t="n"/>
      <c r="M6" s="309" t="n"/>
      <c r="N6" s="309" t="n"/>
      <c r="O6" s="309" t="n"/>
      <c r="P6" s="309" t="n"/>
      <c r="Q6" s="309" t="n"/>
      <c r="R6" s="309" t="n"/>
      <c r="S6" s="309" t="n"/>
      <c r="T6" s="309" t="n"/>
      <c r="U6" s="309" t="n"/>
    </row>
    <row r="7" ht="30" customHeight="1" s="141">
      <c r="A7" s="344" t="inlineStr">
        <is>
          <t>Method: each middle charge of a 3-load window is scored on velocity spread, SD, and group MOA (each normalized 0-1, 0=best). Scored then combined using the weights below.  Lowest composite score wins.</t>
        </is>
      </c>
      <c r="B7" s="309" t="n"/>
      <c r="C7" s="309" t="n"/>
      <c r="D7" s="309" t="n"/>
      <c r="E7" s="309" t="n"/>
      <c r="F7" s="309" t="n"/>
      <c r="G7" s="309" t="n"/>
      <c r="H7" s="309" t="n"/>
      <c r="I7" s="309" t="n"/>
      <c r="J7" s="309" t="n"/>
      <c r="K7" s="309" t="n"/>
      <c r="L7" s="309" t="n"/>
      <c r="M7" s="309" t="n"/>
      <c r="N7" s="309" t="n"/>
      <c r="O7" s="309" t="n"/>
      <c r="P7" s="309" t="n"/>
      <c r="Q7" s="309" t="n"/>
      <c r="R7" s="309" t="n"/>
      <c r="S7" s="309" t="n"/>
      <c r="T7" s="309" t="n"/>
      <c r="U7" s="309" t="n"/>
    </row>
    <row r="8" ht="30" customHeight="1" s="141">
      <c r="A8" s="345" t="inlineStr">
        <is>
          <t>CAVEAT: Always cross-check your winner by shooting a confirmation group at the suggested charge plus 0.3–0.5 gr above and below. Flat velocity AND tight groups should both show up. Watch for pressure signs near max.</t>
        </is>
      </c>
      <c r="B8" s="309" t="n"/>
      <c r="C8" s="309" t="n"/>
      <c r="D8" s="309" t="n"/>
      <c r="E8" s="309" t="n"/>
      <c r="F8" s="309" t="n"/>
      <c r="G8" s="309" t="n"/>
      <c r="H8" s="309" t="n"/>
      <c r="I8" s="309" t="n"/>
      <c r="J8" s="309" t="n"/>
      <c r="K8" s="309" t="n"/>
      <c r="L8" s="309" t="n"/>
      <c r="M8" s="309" t="n"/>
      <c r="N8" s="309" t="n"/>
      <c r="O8" s="309" t="n"/>
      <c r="P8" s="309" t="n"/>
      <c r="Q8" s="309" t="n"/>
      <c r="R8" s="309" t="n"/>
      <c r="S8" s="309" t="n"/>
      <c r="T8" s="309" t="n"/>
      <c r="U8" s="309" t="n"/>
    </row>
    <row r="9">
      <c r="A9" s="309" t="n"/>
      <c r="B9" s="309" t="n"/>
      <c r="C9" s="309" t="n"/>
      <c r="D9" s="309" t="n"/>
      <c r="E9" s="309" t="n"/>
      <c r="F9" s="309" t="n"/>
      <c r="G9" s="309" t="n"/>
      <c r="H9" s="309" t="n"/>
      <c r="I9" s="309" t="n"/>
      <c r="J9" s="309" t="n"/>
      <c r="K9" s="309" t="n"/>
      <c r="L9" s="309" t="n"/>
      <c r="M9" s="309" t="n"/>
      <c r="N9" s="309" t="n"/>
      <c r="O9" s="309" t="n"/>
      <c r="P9" s="309" t="n"/>
      <c r="Q9" s="309" t="n"/>
      <c r="R9" s="309" t="n"/>
      <c r="S9" s="309" t="n"/>
      <c r="T9" s="309" t="n"/>
      <c r="U9" s="309" t="n"/>
    </row>
    <row r="10" ht="15" customHeight="1" s="141">
      <c r="A10" s="346" t="inlineStr">
        <is>
          <t>WEIGHTS (edit blue cells; must sum to 1.0):</t>
        </is>
      </c>
      <c r="B10" s="309" t="n"/>
      <c r="C10" s="309" t="n"/>
      <c r="D10" s="309" t="n"/>
      <c r="E10" s="309" t="n"/>
      <c r="F10" s="309" t="n"/>
      <c r="G10" s="309" t="n"/>
      <c r="H10" s="309" t="n"/>
      <c r="I10" s="309" t="n"/>
      <c r="J10" s="309" t="n"/>
      <c r="K10" s="309" t="n"/>
      <c r="L10" s="309" t="n"/>
      <c r="M10" s="309" t="n"/>
      <c r="N10" s="309" t="n"/>
      <c r="O10" s="309" t="n"/>
      <c r="P10" s="309" t="n"/>
      <c r="Q10" s="309" t="n"/>
      <c r="R10" s="309" t="n"/>
      <c r="S10" s="309" t="n"/>
      <c r="T10" s="309" t="n"/>
      <c r="U10" s="309" t="n"/>
    </row>
    <row r="11" ht="15" customHeight="1" s="141">
      <c r="A11" s="347" t="inlineStr">
        <is>
          <t>Velocity</t>
        </is>
      </c>
      <c r="B11" s="348" t="n">
        <v>0.3</v>
      </c>
      <c r="C11" s="347" t="inlineStr">
        <is>
          <t>SD</t>
        </is>
      </c>
      <c r="D11" s="348" t="n">
        <v>0.2</v>
      </c>
      <c r="E11" s="347" t="inlineStr">
        <is>
          <t>MR</t>
        </is>
      </c>
      <c r="F11" s="348" t="n">
        <v>0.2</v>
      </c>
      <c r="G11" s="347" t="inlineStr">
        <is>
          <t>Vertical</t>
        </is>
      </c>
      <c r="H11" s="348" t="n">
        <v>0.3</v>
      </c>
      <c r="I11" s="347" t="inlineStr">
        <is>
          <t>Sum:</t>
        </is>
      </c>
      <c r="J11" s="208">
        <f>SUM(B11,D11,F11,H11)</f>
        <v/>
      </c>
      <c r="K11" s="309" t="n"/>
      <c r="L11" s="309" t="n"/>
      <c r="M11" s="309" t="n"/>
      <c r="N11" s="309" t="n"/>
      <c r="O11" s="309" t="n"/>
      <c r="P11" s="309" t="n"/>
      <c r="Q11" s="309" t="n"/>
      <c r="R11" s="309" t="n"/>
      <c r="S11" s="309" t="n"/>
      <c r="T11" s="309" t="n"/>
      <c r="U11" s="309" t="n"/>
    </row>
    <row r="12">
      <c r="A12" s="309" t="n"/>
      <c r="B12" s="309" t="n"/>
      <c r="C12" s="309" t="n"/>
      <c r="D12" s="309" t="n"/>
      <c r="E12" s="309" t="n"/>
      <c r="F12" s="309" t="n"/>
      <c r="G12" s="309" t="n"/>
      <c r="H12" s="309" t="n"/>
      <c r="I12" s="309" t="n"/>
      <c r="J12" s="309" t="n"/>
      <c r="K12" s="309" t="n"/>
      <c r="L12" s="309" t="n"/>
      <c r="M12" s="309" t="n"/>
      <c r="N12" s="309" t="n"/>
      <c r="O12" s="309" t="n"/>
      <c r="P12" s="309" t="n"/>
      <c r="Q12" s="309" t="n"/>
      <c r="R12" s="309" t="n"/>
      <c r="S12" s="309" t="n"/>
      <c r="T12" s="309" t="n"/>
      <c r="U12" s="309" t="n"/>
    </row>
    <row r="13" ht="15" customHeight="1" s="141">
      <c r="A13" s="349" t="inlineStr">
        <is>
          <t>Candidate loads (3-charge window analysis)</t>
        </is>
      </c>
      <c r="B13" s="309" t="n"/>
      <c r="C13" s="309" t="n"/>
      <c r="D13" s="309" t="n"/>
      <c r="E13" s="309" t="n"/>
      <c r="F13" s="309" t="n"/>
      <c r="G13" s="309" t="n"/>
      <c r="H13" s="309" t="n"/>
      <c r="I13" s="309" t="n"/>
      <c r="J13" s="309" t="n"/>
      <c r="K13" s="309" t="n"/>
      <c r="L13" s="309" t="n"/>
      <c r="M13" s="309" t="n"/>
      <c r="N13" s="309" t="n"/>
      <c r="O13" s="309" t="n"/>
      <c r="P13" s="309" t="n"/>
      <c r="Q13" s="309" t="n"/>
      <c r="R13" s="309" t="n"/>
      <c r="S13" s="309" t="n"/>
      <c r="T13" s="309" t="n"/>
      <c r="U13" s="309" t="n"/>
    </row>
    <row r="14">
      <c r="A14" s="309" t="n"/>
      <c r="B14" s="309" t="n"/>
      <c r="C14" s="309" t="n"/>
      <c r="D14" s="309" t="n"/>
      <c r="E14" s="309" t="n"/>
      <c r="F14" s="309" t="n"/>
      <c r="G14" s="309" t="n"/>
      <c r="H14" s="309" t="n"/>
      <c r="I14" s="309" t="n"/>
      <c r="J14" s="309" t="n"/>
      <c r="K14" s="309" t="n"/>
      <c r="L14" s="309" t="n"/>
      <c r="M14" s="309" t="n"/>
      <c r="N14" s="309" t="n"/>
      <c r="O14" s="309" t="n"/>
      <c r="P14" s="309" t="n"/>
      <c r="Q14" s="309" t="n"/>
      <c r="R14" s="309" t="n"/>
      <c r="S14" s="309" t="n"/>
      <c r="T14" s="309" t="n"/>
      <c r="U14" s="309" t="n"/>
    </row>
    <row r="15">
      <c r="A15" s="309" t="n"/>
      <c r="B15" s="309" t="n"/>
      <c r="C15" s="309" t="n"/>
      <c r="D15" s="309" t="n"/>
      <c r="E15" s="309" t="n"/>
      <c r="F15" s="309" t="n"/>
      <c r="G15" s="309" t="n"/>
      <c r="H15" s="309" t="n"/>
      <c r="I15" s="309" t="n"/>
      <c r="J15" s="309" t="n"/>
      <c r="K15" s="309" t="n"/>
      <c r="L15" s="309" t="n"/>
      <c r="M15" s="309" t="n"/>
      <c r="N15" s="309" t="n"/>
      <c r="O15" s="309" t="n"/>
      <c r="P15" s="309" t="n"/>
      <c r="Q15" s="309" t="n"/>
      <c r="R15" s="309" t="n"/>
      <c r="S15" s="309" t="n"/>
      <c r="T15" s="309" t="n"/>
      <c r="U15" s="309" t="n"/>
    </row>
    <row r="16">
      <c r="A16" s="309" t="n"/>
      <c r="B16" s="309" t="n"/>
      <c r="C16" s="309" t="n"/>
      <c r="D16" s="309" t="n"/>
      <c r="E16" s="309" t="n"/>
      <c r="F16" s="309" t="n"/>
      <c r="G16" s="309" t="n"/>
      <c r="H16" s="309" t="n"/>
      <c r="I16" s="309" t="n"/>
      <c r="J16" s="309" t="n"/>
      <c r="K16" s="309" t="n"/>
      <c r="L16" s="309" t="n"/>
      <c r="M16" s="309" t="n"/>
      <c r="N16" s="309" t="n"/>
      <c r="O16" s="309" t="n"/>
      <c r="P16" s="309" t="n"/>
      <c r="Q16" s="309" t="n"/>
      <c r="R16" s="309" t="n"/>
      <c r="S16" s="309" t="n"/>
      <c r="T16" s="309" t="n"/>
      <c r="U16" s="309" t="n"/>
    </row>
    <row r="17" ht="30" customHeight="1" s="141">
      <c r="A17" s="350" t="inlineStr">
        <is>
          <t>Middle Charge</t>
        </is>
      </c>
      <c r="B17" s="350" t="inlineStr">
        <is>
          <t>Low</t>
        </is>
      </c>
      <c r="C17" s="350" t="inlineStr">
        <is>
          <t>High</t>
        </is>
      </c>
      <c r="D17" s="350" t="inlineStr">
        <is>
          <t>Vel Spread (fps)</t>
        </is>
      </c>
      <c r="E17" s="350" t="inlineStr">
        <is>
          <t>SD (fps)</t>
        </is>
      </c>
      <c r="F17" s="350" t="inlineStr">
        <is>
          <t>Mean Radius (MOA)</t>
        </is>
      </c>
      <c r="G17" s="350" t="inlineStr">
        <is>
          <t>Vertical (MOA)</t>
        </is>
      </c>
      <c r="H17" s="350" t="inlineStr">
        <is>
          <t>Norm Spread</t>
        </is>
      </c>
      <c r="I17" s="350" t="inlineStr">
        <is>
          <t>Norm SD</t>
        </is>
      </c>
      <c r="J17" s="350" t="inlineStr">
        <is>
          <t>Norm MR</t>
        </is>
      </c>
      <c r="K17" s="350" t="inlineStr">
        <is>
          <t>Norm Vert</t>
        </is>
      </c>
      <c r="L17" s="350" t="inlineStr">
        <is>
          <t>Composite Score</t>
        </is>
      </c>
      <c r="M17" s="350" t="inlineStr">
        <is>
          <t>Rank</t>
        </is>
      </c>
      <c r="N17" s="309" t="n"/>
      <c r="O17" s="309" t="n"/>
      <c r="P17" s="309" t="n"/>
      <c r="Q17" s="309" t="n"/>
      <c r="R17" s="309" t="n"/>
      <c r="S17" s="309" t="n"/>
      <c r="T17" s="309" t="n"/>
      <c r="U17" s="309" t="n"/>
    </row>
    <row r="18" ht="15" customHeight="1" s="141">
      <c r="A18" s="211">
        <f>'Load Log'!B17</f>
        <v/>
      </c>
      <c r="B18" s="211">
        <f>'Load Log'!B16</f>
        <v/>
      </c>
      <c r="C18" s="211">
        <f>'Load Log'!B18</f>
        <v/>
      </c>
      <c r="D18" s="212">
        <f>MAX('Load Log'!H16:H18)-MIN('Load Log'!H16:H18)</f>
        <v/>
      </c>
      <c r="E18" s="211">
        <f>'Load Log'!J17</f>
        <v/>
      </c>
      <c r="F18" s="213">
        <f>IFERROR(IF('Load Log'!M17="",'Load Log'!K17,'Load Log'!M17)/('Load Log'!$L$10/100)/1.047,"")</f>
        <v/>
      </c>
      <c r="G18" s="213">
        <f>IF('Load Log'!L17="",F18,'Load Log'!L17/('Load Log'!$L$10/100)/1.047)</f>
        <v/>
      </c>
      <c r="H18" s="214">
        <f>IFERROR((D18-MIN($D$18:$D$25))/(MAX($D$18:$D$25)-MIN($D$18:$D$25)),0)</f>
        <v/>
      </c>
      <c r="I18" s="214">
        <f>IFERROR((E18-MIN($E$18:$E$25))/(MAX($E$18:$E$25)-MIN($E$18:$E$25)),0)</f>
        <v/>
      </c>
      <c r="J18" s="214">
        <f>IFERROR((F18-MIN($F$18:$F$25))/(MAX($F$18:$F$25)-MIN($F$18:$F$25)),0)</f>
        <v/>
      </c>
      <c r="K18" s="214">
        <f>IFERROR((G18-MIN($G$18:$G$25))/(MAX($G$18:$G$25)-MIN($G$18:$G$25)),0)</f>
        <v/>
      </c>
      <c r="L18" s="214">
        <f>H18*$B$11+I18*$D$11+J18*$F$11+K18*$H$11</f>
        <v/>
      </c>
      <c r="M18" s="212">
        <f>RANK(L18,$L$18:$L$25,1)</f>
        <v/>
      </c>
      <c r="N18" s="309" t="n"/>
      <c r="O18" s="309" t="n"/>
      <c r="P18" s="309" t="n"/>
      <c r="Q18" s="309" t="n"/>
      <c r="R18" s="309" t="n"/>
      <c r="S18" s="309" t="n"/>
      <c r="T18" s="309" t="n"/>
      <c r="U18" s="309" t="n"/>
    </row>
    <row r="19" ht="15" customHeight="1" s="141">
      <c r="A19" s="215">
        <f>'Load Log'!B18</f>
        <v/>
      </c>
      <c r="B19" s="215">
        <f>'Load Log'!B17</f>
        <v/>
      </c>
      <c r="C19" s="215">
        <f>'Load Log'!B19</f>
        <v/>
      </c>
      <c r="D19" s="216">
        <f>MAX('Load Log'!H17:H19)-MIN('Load Log'!H17:H19)</f>
        <v/>
      </c>
      <c r="E19" s="215">
        <f>'Load Log'!J18</f>
        <v/>
      </c>
      <c r="F19" s="217">
        <f>IFERROR(IF('Load Log'!M18="",'Load Log'!K18,'Load Log'!M18)/('Load Log'!$L$10/100)/1.047,"")</f>
        <v/>
      </c>
      <c r="G19" s="213">
        <f>IF('Load Log'!L18="",F19,'Load Log'!L18/('Load Log'!$L$10/100)/1.047)</f>
        <v/>
      </c>
      <c r="H19" s="214">
        <f>IFERROR((D19-MIN($D$18:$D$25))/(MAX($D$18:$D$25)-MIN($D$18:$D$25)),0)</f>
        <v/>
      </c>
      <c r="I19" s="214">
        <f>IFERROR((E19-MIN($E$18:$E$25))/(MAX($E$18:$E$25)-MIN($E$18:$E$25)),0)</f>
        <v/>
      </c>
      <c r="J19" s="214">
        <f>IFERROR((F19-MIN($F$18:$F$25))/(MAX($F$18:$F$25)-MIN($F$18:$F$25)),0)</f>
        <v/>
      </c>
      <c r="K19" s="214">
        <f>IFERROR((G19-MIN($G$18:$G$25))/(MAX($G$18:$G$25)-MIN($G$18:$G$25)),0)</f>
        <v/>
      </c>
      <c r="L19" s="214">
        <f>H19*$B$11+I19*$D$11+J19*$F$11+K19*$H$11</f>
        <v/>
      </c>
      <c r="M19" s="212">
        <f>RANK(L19,$L$18:$L$25,1)</f>
        <v/>
      </c>
      <c r="N19" s="309" t="n"/>
      <c r="O19" s="309" t="n"/>
      <c r="P19" s="309" t="n"/>
      <c r="Q19" s="309" t="n"/>
      <c r="R19" s="309" t="n"/>
      <c r="S19" s="309" t="n"/>
      <c r="T19" s="309" t="n"/>
      <c r="U19" s="309" t="n"/>
    </row>
    <row r="20" ht="15" customHeight="1" s="141">
      <c r="A20" s="211">
        <f>'Load Log'!B19</f>
        <v/>
      </c>
      <c r="B20" s="211">
        <f>'Load Log'!B18</f>
        <v/>
      </c>
      <c r="C20" s="211">
        <f>'Load Log'!B20</f>
        <v/>
      </c>
      <c r="D20" s="212">
        <f>MAX('Load Log'!H18:H20)-MIN('Load Log'!H18:H20)</f>
        <v/>
      </c>
      <c r="E20" s="211">
        <f>'Load Log'!J19</f>
        <v/>
      </c>
      <c r="F20" s="213">
        <f>IFERROR(IF('Load Log'!M19="",'Load Log'!K19,'Load Log'!M19)/('Load Log'!$L$10/100)/1.047,"")</f>
        <v/>
      </c>
      <c r="G20" s="213">
        <f>IF('Load Log'!L19="",F20,'Load Log'!L19/('Load Log'!$L$10/100)/1.047)</f>
        <v/>
      </c>
      <c r="H20" s="214">
        <f>IFERROR((D20-MIN($D$18:$D$25))/(MAX($D$18:$D$25)-MIN($D$18:$D$25)),0)</f>
        <v/>
      </c>
      <c r="I20" s="214">
        <f>IFERROR((E20-MIN($E$18:$E$25))/(MAX($E$18:$E$25)-MIN($E$18:$E$25)),0)</f>
        <v/>
      </c>
      <c r="J20" s="214">
        <f>IFERROR((F20-MIN($F$18:$F$25))/(MAX($F$18:$F$25)-MIN($F$18:$F$25)),0)</f>
        <v/>
      </c>
      <c r="K20" s="214">
        <f>IFERROR((G20-MIN($G$18:$G$25))/(MAX($G$18:$G$25)-MIN($G$18:$G$25)),0)</f>
        <v/>
      </c>
      <c r="L20" s="214">
        <f>H20*$B$11+I20*$D$11+J20*$F$11+K20*$H$11</f>
        <v/>
      </c>
      <c r="M20" s="212">
        <f>RANK(L20,$L$18:$L$25,1)</f>
        <v/>
      </c>
      <c r="N20" s="309" t="n"/>
      <c r="O20" s="309" t="n"/>
      <c r="P20" s="309" t="n"/>
      <c r="Q20" s="309" t="n"/>
      <c r="R20" s="309" t="n"/>
      <c r="S20" s="309" t="n"/>
      <c r="T20" s="309" t="n"/>
      <c r="U20" s="309" t="n"/>
    </row>
    <row r="21" ht="15" customHeight="1" s="141">
      <c r="A21" s="215">
        <f>'Load Log'!B20</f>
        <v/>
      </c>
      <c r="B21" s="215">
        <f>'Load Log'!B19</f>
        <v/>
      </c>
      <c r="C21" s="215">
        <f>'Load Log'!B21</f>
        <v/>
      </c>
      <c r="D21" s="216">
        <f>MAX('Load Log'!H19:H21)-MIN('Load Log'!H19:H21)</f>
        <v/>
      </c>
      <c r="E21" s="215">
        <f>'Load Log'!J20</f>
        <v/>
      </c>
      <c r="F21" s="217">
        <f>IFERROR(IF('Load Log'!M20="",'Load Log'!K20,'Load Log'!M20)/('Load Log'!$L$10/100)/1.047,"")</f>
        <v/>
      </c>
      <c r="G21" s="213">
        <f>IF('Load Log'!L20="",F21,'Load Log'!L20/('Load Log'!$L$10/100)/1.047)</f>
        <v/>
      </c>
      <c r="H21" s="214">
        <f>IFERROR((D21-MIN($D$18:$D$25))/(MAX($D$18:$D$25)-MIN($D$18:$D$25)),0)</f>
        <v/>
      </c>
      <c r="I21" s="214">
        <f>IFERROR((E21-MIN($E$18:$E$25))/(MAX($E$18:$E$25)-MIN($E$18:$E$25)),0)</f>
        <v/>
      </c>
      <c r="J21" s="214">
        <f>IFERROR((F21-MIN($F$18:$F$25))/(MAX($F$18:$F$25)-MIN($F$18:$F$25)),0)</f>
        <v/>
      </c>
      <c r="K21" s="214">
        <f>IFERROR((G21-MIN($G$18:$G$25))/(MAX($G$18:$G$25)-MIN($G$18:$G$25)),0)</f>
        <v/>
      </c>
      <c r="L21" s="214">
        <f>H21*$B$11+I21*$D$11+J21*$F$11+K21*$H$11</f>
        <v/>
      </c>
      <c r="M21" s="212">
        <f>RANK(L21,$L$18:$L$25,1)</f>
        <v/>
      </c>
      <c r="N21" s="309" t="n"/>
      <c r="O21" s="309" t="n"/>
      <c r="P21" s="309" t="n"/>
      <c r="Q21" s="309" t="n"/>
      <c r="R21" s="309" t="n"/>
      <c r="S21" s="309" t="n"/>
      <c r="T21" s="309" t="n"/>
      <c r="U21" s="309" t="n"/>
    </row>
    <row r="22" ht="15" customHeight="1" s="141">
      <c r="A22" s="211">
        <f>'Load Log'!B21</f>
        <v/>
      </c>
      <c r="B22" s="211">
        <f>'Load Log'!B20</f>
        <v/>
      </c>
      <c r="C22" s="211">
        <f>'Load Log'!B22</f>
        <v/>
      </c>
      <c r="D22" s="212">
        <f>MAX('Load Log'!H20:H22)-MIN('Load Log'!H20:H22)</f>
        <v/>
      </c>
      <c r="E22" s="211">
        <f>'Load Log'!J21</f>
        <v/>
      </c>
      <c r="F22" s="213">
        <f>IFERROR(IF('Load Log'!M21="",'Load Log'!K21,'Load Log'!M21)/('Load Log'!$L$10/100)/1.047,"")</f>
        <v/>
      </c>
      <c r="G22" s="213">
        <f>IF('Load Log'!L21="",F22,'Load Log'!L21/('Load Log'!$L$10/100)/1.047)</f>
        <v/>
      </c>
      <c r="H22" s="214">
        <f>IFERROR((D22-MIN($D$18:$D$25))/(MAX($D$18:$D$25)-MIN($D$18:$D$25)),0)</f>
        <v/>
      </c>
      <c r="I22" s="214">
        <f>IFERROR((E22-MIN($E$18:$E$25))/(MAX($E$18:$E$25)-MIN($E$18:$E$25)),0)</f>
        <v/>
      </c>
      <c r="J22" s="214">
        <f>IFERROR((F22-MIN($F$18:$F$25))/(MAX($F$18:$F$25)-MIN($F$18:$F$25)),0)</f>
        <v/>
      </c>
      <c r="K22" s="214">
        <f>IFERROR((G22-MIN($G$18:$G$25))/(MAX($G$18:$G$25)-MIN($G$18:$G$25)),0)</f>
        <v/>
      </c>
      <c r="L22" s="214">
        <f>H22*$B$11+I22*$D$11+J22*$F$11+K22*$H$11</f>
        <v/>
      </c>
      <c r="M22" s="212">
        <f>RANK(L22,$L$18:$L$25,1)</f>
        <v/>
      </c>
      <c r="N22" s="309" t="n"/>
      <c r="O22" s="309" t="n"/>
      <c r="P22" s="309" t="n"/>
      <c r="Q22" s="309" t="n"/>
      <c r="R22" s="309" t="n"/>
      <c r="S22" s="309" t="n"/>
      <c r="T22" s="309" t="n"/>
      <c r="U22" s="309" t="n"/>
    </row>
    <row r="23" ht="15" customHeight="1" s="141">
      <c r="A23" s="218">
        <f>'Load Log'!B22</f>
        <v/>
      </c>
      <c r="B23" s="218">
        <f>'Load Log'!B21</f>
        <v/>
      </c>
      <c r="C23" s="218">
        <f>'Load Log'!B23</f>
        <v/>
      </c>
      <c r="D23" s="219">
        <f>MAX('Load Log'!H21:H23)-MIN('Load Log'!H21:H23)</f>
        <v/>
      </c>
      <c r="E23" s="218">
        <f>'Load Log'!J22</f>
        <v/>
      </c>
      <c r="F23" s="220">
        <f>IFERROR(IF('Load Log'!M22="",'Load Log'!K22,'Load Log'!M22)/('Load Log'!$L$10/100)/1.047,"")</f>
        <v/>
      </c>
      <c r="G23" s="213">
        <f>IF('Load Log'!L22="",F23,'Load Log'!L22/('Load Log'!$L$10/100)/1.047)</f>
        <v/>
      </c>
      <c r="H23" s="214">
        <f>IFERROR((D23-MIN($D$18:$D$25))/(MAX($D$18:$D$25)-MIN($D$18:$D$25)),0)</f>
        <v/>
      </c>
      <c r="I23" s="214">
        <f>IFERROR((E23-MIN($E$18:$E$25))/(MAX($E$18:$E$25)-MIN($E$18:$E$25)),0)</f>
        <v/>
      </c>
      <c r="J23" s="214">
        <f>IFERROR((F23-MIN($F$18:$F$25))/(MAX($F$18:$F$25)-MIN($F$18:$F$25)),0)</f>
        <v/>
      </c>
      <c r="K23" s="214">
        <f>IFERROR((G23-MIN($G$18:$G$25))/(MAX($G$18:$G$25)-MIN($G$18:$G$25)),0)</f>
        <v/>
      </c>
      <c r="L23" s="214">
        <f>H23*$B$11+I23*$D$11+J23*$F$11+K23*$H$11</f>
        <v/>
      </c>
      <c r="M23" s="212">
        <f>RANK(L23,$L$18:$L$25,1)</f>
        <v/>
      </c>
      <c r="N23" s="309" t="n"/>
      <c r="O23" s="309" t="n"/>
      <c r="P23" s="309" t="n"/>
      <c r="Q23" s="309" t="n"/>
      <c r="R23" s="309" t="n"/>
      <c r="S23" s="309" t="n"/>
      <c r="T23" s="309" t="n"/>
      <c r="U23" s="309" t="n"/>
    </row>
    <row r="24" ht="21.75" customHeight="1" s="141">
      <c r="A24" s="218">
        <f>'Load Log'!B23</f>
        <v/>
      </c>
      <c r="B24" s="218">
        <f>'Load Log'!B22</f>
        <v/>
      </c>
      <c r="C24" s="218">
        <f>'Load Log'!B24</f>
        <v/>
      </c>
      <c r="D24" s="219">
        <f>MAX('Load Log'!H22:H24)-MIN('Load Log'!H22:H24)</f>
        <v/>
      </c>
      <c r="E24" s="218">
        <f>'Load Log'!J23</f>
        <v/>
      </c>
      <c r="F24" s="220">
        <f>IFERROR(IF('Load Log'!M23="",'Load Log'!K23,'Load Log'!M23)/('Load Log'!$L$10/100)/1.047,"")</f>
        <v/>
      </c>
      <c r="G24" s="213">
        <f>IF('Load Log'!L23="",F24,'Load Log'!L23/('Load Log'!$L$10/100)/1.047)</f>
        <v/>
      </c>
      <c r="H24" s="214">
        <f>IFERROR((D24-MIN($D$18:$D$25))/(MAX($D$18:$D$25)-MIN($D$18:$D$25)),0)</f>
        <v/>
      </c>
      <c r="I24" s="214">
        <f>IFERROR((E24-MIN($E$18:$E$25))/(MAX($E$18:$E$25)-MIN($E$18:$E$25)),0)</f>
        <v/>
      </c>
      <c r="J24" s="214">
        <f>IFERROR((F24-MIN($F$18:$F$25))/(MAX($F$18:$F$25)-MIN($F$18:$F$25)),0)</f>
        <v/>
      </c>
      <c r="K24" s="214">
        <f>IFERROR((G24-MIN($G$18:$G$25))/(MAX($G$18:$G$25)-MIN($G$18:$G$25)),0)</f>
        <v/>
      </c>
      <c r="L24" s="214">
        <f>H24*$B$11+I24*$D$11+J24*$F$11+K24*$H$11</f>
        <v/>
      </c>
      <c r="M24" s="212">
        <f>RANK(L24,$L$18:$L$25,1)</f>
        <v/>
      </c>
      <c r="N24" s="351" t="n"/>
      <c r="O24" s="351" t="n"/>
      <c r="P24" s="351" t="n"/>
      <c r="Q24" s="351" t="n"/>
      <c r="R24" s="351" t="n"/>
      <c r="S24" s="351" t="n"/>
      <c r="T24" s="351" t="n"/>
      <c r="U24" s="351" t="n"/>
    </row>
    <row r="25" ht="15" customHeight="1" s="141">
      <c r="A25" s="218">
        <f>'Load Log'!B24</f>
        <v/>
      </c>
      <c r="B25" s="218">
        <f>'Load Log'!B23</f>
        <v/>
      </c>
      <c r="C25" s="218">
        <f>'Load Log'!B25</f>
        <v/>
      </c>
      <c r="D25" s="219">
        <f>MAX('Load Log'!H23:H25)-MIN('Load Log'!H23:H25)</f>
        <v/>
      </c>
      <c r="E25" s="218">
        <f>'Load Log'!J24</f>
        <v/>
      </c>
      <c r="F25" s="220">
        <f>IFERROR(IF('Load Log'!M24="",'Load Log'!K24,'Load Log'!M24)/('Load Log'!$L$10/100)/1.047,"")</f>
        <v/>
      </c>
      <c r="G25" s="213">
        <f>IF('Load Log'!L24="",F25,'Load Log'!L24/('Load Log'!$L$10/100)/1.047)</f>
        <v/>
      </c>
      <c r="H25" s="214">
        <f>IFERROR((D25-MIN($D$18:$D$25))/(MAX($D$18:$D$25)-MIN($D$18:$D$25)),0)</f>
        <v/>
      </c>
      <c r="I25" s="214">
        <f>IFERROR((E25-MIN($E$18:$E$25))/(MAX($E$18:$E$25)-MIN($E$18:$E$25)),0)</f>
        <v/>
      </c>
      <c r="J25" s="214">
        <f>IFERROR((F25-MIN($F$18:$F$25))/(MAX($F$18:$F$25)-MIN($F$18:$F$25)),0)</f>
        <v/>
      </c>
      <c r="K25" s="214">
        <f>IFERROR((G25-MIN($G$18:$G$25))/(MAX($G$18:$G$25)-MIN($G$18:$G$25)),0)</f>
        <v/>
      </c>
      <c r="L25" s="214">
        <f>H25*$B$11+I25*$D$11+J25*$F$11+K25*$H$11</f>
        <v/>
      </c>
      <c r="M25" s="212">
        <f>RANK(L25,$L$18:$L$25,1)</f>
        <v/>
      </c>
      <c r="N25" s="309" t="n"/>
      <c r="O25" s="309" t="n"/>
      <c r="P25" s="309" t="n"/>
      <c r="Q25" s="309" t="n"/>
      <c r="R25" s="309" t="n"/>
      <c r="S25" s="309" t="n"/>
      <c r="T25" s="309" t="n"/>
      <c r="U25" s="309" t="n"/>
    </row>
    <row r="26" ht="15.75" customHeight="1" s="141">
      <c r="A26" s="309" t="n"/>
      <c r="B26" s="309" t="n"/>
      <c r="C26" s="309" t="n"/>
      <c r="D26" s="309" t="n"/>
      <c r="E26" s="309" t="n"/>
      <c r="F26" s="309" t="n"/>
      <c r="G26" s="309" t="n"/>
      <c r="H26" s="309" t="n"/>
      <c r="I26" s="309" t="n"/>
      <c r="J26" s="309" t="n"/>
      <c r="K26" s="309" t="n"/>
      <c r="L26" s="309" t="n"/>
      <c r="M26" s="309" t="n"/>
      <c r="N26" s="309" t="n"/>
      <c r="O26" s="309" t="n"/>
      <c r="P26" s="309" t="n"/>
      <c r="Q26" s="309" t="n"/>
      <c r="R26" s="309" t="n"/>
      <c r="S26" s="309" t="n"/>
      <c r="T26" s="309" t="n"/>
      <c r="U26" s="309" t="n"/>
    </row>
    <row r="27" ht="21.75" customHeight="1" s="141">
      <c r="A27" s="352" t="inlineStr">
        <is>
          <t>COMPARISON CHARTS</t>
        </is>
      </c>
      <c r="B27" s="309" t="n"/>
      <c r="C27" s="309" t="n"/>
      <c r="D27" s="309" t="n"/>
      <c r="E27" s="309" t="n"/>
      <c r="F27" s="309" t="n"/>
      <c r="G27" s="309" t="n"/>
      <c r="H27" s="309" t="n"/>
      <c r="I27" s="309" t="n"/>
      <c r="J27" s="309" t="n"/>
      <c r="K27" s="309" t="n"/>
      <c r="L27" s="309" t="n"/>
      <c r="M27" s="309" t="n"/>
      <c r="N27" s="309" t="n"/>
      <c r="O27" s="309" t="n"/>
      <c r="P27" s="309" t="n"/>
      <c r="Q27" s="309" t="n"/>
      <c r="R27" s="309" t="n"/>
      <c r="S27" s="309" t="n"/>
      <c r="T27" s="309" t="n"/>
      <c r="U27" s="309" t="n"/>
    </row>
    <row r="28" ht="15.75" customHeight="1" s="141"/>
    <row r="29" ht="15.75" customHeight="1" s="141"/>
    <row r="30" ht="15.75" customHeight="1" s="141"/>
    <row r="31" ht="15.75" customHeight="1" s="141"/>
    <row r="32" ht="15.75" customHeight="1" s="141"/>
    <row r="33" ht="15.75" customHeight="1" s="141"/>
    <row r="34" ht="15.75" customHeight="1" s="141"/>
    <row r="35" ht="15.75" customHeight="1" s="141"/>
    <row r="36" ht="15.75" customHeight="1" s="141"/>
    <row r="37" ht="15.75" customHeight="1" s="141"/>
    <row r="38" ht="15.75" customHeight="1" s="141"/>
    <row r="39" ht="15.75" customHeight="1" s="141"/>
    <row r="40" ht="15.75" customHeight="1" s="141"/>
    <row r="41" ht="15.75" customHeight="1" s="141"/>
    <row r="42" ht="15.75" customHeight="1" s="141"/>
    <row r="43" ht="15.75" customHeight="1" s="141"/>
    <row r="44" ht="15.75" customHeight="1" s="141"/>
    <row r="45" ht="15.75" customHeight="1" s="141"/>
    <row r="46" ht="15.75" customHeight="1" s="141"/>
    <row r="47" ht="15.75" customHeight="1" s="141"/>
    <row r="48" ht="15.75" customHeight="1" s="141"/>
    <row r="49" ht="15.75" customHeight="1" s="141"/>
    <row r="50" ht="15.75" customHeight="1" s="141"/>
    <row r="51" ht="15.75" customHeight="1" s="141"/>
    <row r="52" ht="15.75" customHeight="1" s="141"/>
    <row r="53" ht="15.75" customHeight="1" s="141"/>
    <row r="54" ht="15.75" customHeight="1" s="141"/>
    <row r="55" ht="15.75" customHeight="1" s="141"/>
    <row r="56" ht="15.75" customHeight="1" s="141"/>
    <row r="57" ht="15.75" customHeight="1" s="141"/>
    <row r="58" ht="15.75" customHeight="1" s="141"/>
    <row r="59" ht="15.75" customHeight="1" s="141"/>
    <row r="60" ht="15.75" customHeight="1" s="141"/>
    <row r="61" ht="15.75" customHeight="1" s="141"/>
    <row r="62" ht="15.75" customHeight="1" s="141"/>
    <row r="63" ht="15.75" customHeight="1" s="141"/>
    <row r="64" ht="15.75" customHeight="1" s="141"/>
    <row r="65" ht="15.75" customHeight="1" s="141"/>
    <row r="66" ht="15.75" customHeight="1" s="141"/>
    <row r="67" ht="15.75" customHeight="1" s="141"/>
    <row r="68" ht="15.75" customHeight="1" s="141"/>
    <row r="69" ht="15.75" customHeight="1" s="141"/>
    <row r="70" ht="15.75" customHeight="1" s="141"/>
    <row r="71" ht="15.75" customHeight="1" s="141"/>
    <row r="72" ht="15.75" customHeight="1" s="141"/>
    <row r="73" ht="15.75" customHeight="1" s="141"/>
    <row r="74" ht="15.75" customHeight="1" s="141"/>
    <row r="75" ht="15.75" customHeight="1" s="141"/>
    <row r="76" ht="15.75" customHeight="1" s="141"/>
    <row r="77" ht="15.75" customHeight="1" s="141"/>
    <row r="78" ht="15.75" customHeight="1" s="141"/>
    <row r="79" ht="15.75" customHeight="1" s="141"/>
    <row r="80" ht="15.75" customHeight="1" s="141"/>
    <row r="81" ht="15.75" customHeight="1" s="141"/>
    <row r="82" ht="15.75" customHeight="1" s="141"/>
    <row r="83" ht="15.75" customHeight="1" s="141"/>
    <row r="84" ht="15.75" customHeight="1" s="141"/>
    <row r="85" ht="15.75" customHeight="1" s="141"/>
    <row r="86" ht="15.75" customHeight="1" s="141"/>
    <row r="87" ht="15.75" customHeight="1" s="141"/>
    <row r="88" ht="15.75" customHeight="1" s="141"/>
    <row r="89" ht="15.75" customHeight="1" s="141"/>
    <row r="90" ht="15.75" customHeight="1" s="141"/>
    <row r="91" ht="15.75" customHeight="1" s="141"/>
    <row r="92" ht="15.75" customHeight="1" s="141"/>
    <row r="93" ht="15.75" customHeight="1" s="141"/>
    <row r="94" ht="15.75" customHeight="1" s="141"/>
    <row r="95" ht="15.75" customHeight="1" s="141"/>
    <row r="96" ht="15.75" customHeight="1" s="141"/>
    <row r="97" ht="15.75" customHeight="1" s="141"/>
    <row r="98" ht="15.75" customHeight="1" s="141"/>
    <row r="99" ht="15.75" customHeight="1" s="141"/>
    <row r="100" ht="15.75" customHeight="1" s="141"/>
    <row r="101" ht="15.75" customHeight="1" s="141"/>
    <row r="102" ht="15.75" customHeight="1" s="141"/>
    <row r="103" ht="15.75" customHeight="1" s="141"/>
    <row r="104" ht="15.75" customHeight="1" s="141"/>
    <row r="105" ht="15.75" customHeight="1" s="141"/>
    <row r="106" ht="15.75" customHeight="1" s="141"/>
    <row r="107" ht="15.75" customHeight="1" s="141"/>
    <row r="108" ht="15.75" customHeight="1" s="141"/>
    <row r="109" ht="15.75" customHeight="1" s="141"/>
    <row r="110" ht="15.75" customHeight="1" s="141"/>
    <row r="111" ht="15.75" customHeight="1" s="141"/>
    <row r="112" ht="15.75" customHeight="1" s="141"/>
    <row r="113" ht="15.75" customHeight="1" s="141"/>
    <row r="114" ht="15.75" customHeight="1" s="141"/>
    <row r="115" ht="15.75" customHeight="1" s="141"/>
    <row r="116" ht="15.75" customHeight="1" s="141"/>
    <row r="117" ht="15.75" customHeight="1" s="141"/>
    <row r="118" ht="15.75" customHeight="1" s="141"/>
    <row r="119" ht="15.75" customHeight="1" s="141"/>
    <row r="120" ht="15.75" customHeight="1" s="141"/>
    <row r="121" ht="15.75" customHeight="1" s="141"/>
    <row r="122" ht="15.75" customHeight="1" s="141"/>
    <row r="123" ht="15.75" customHeight="1" s="141"/>
    <row r="124" ht="15.75" customHeight="1" s="141"/>
    <row r="125" ht="15.75" customHeight="1" s="141"/>
    <row r="126" ht="15.75" customHeight="1" s="141"/>
    <row r="127" ht="15.75" customHeight="1" s="141"/>
    <row r="128" ht="15.75" customHeight="1" s="141"/>
    <row r="129" ht="15.75" customHeight="1" s="141"/>
    <row r="130" ht="15.75" customHeight="1" s="141"/>
    <row r="131" ht="15.75" customHeight="1" s="141"/>
    <row r="132" ht="15.75" customHeight="1" s="141"/>
    <row r="133" ht="15.75" customHeight="1" s="141"/>
    <row r="134" ht="15.75" customHeight="1" s="141"/>
    <row r="135" ht="15.75" customHeight="1" s="141"/>
    <row r="136" ht="15.75" customHeight="1" s="141"/>
    <row r="137" ht="15.75" customHeight="1" s="141"/>
    <row r="138" ht="15.75" customHeight="1" s="141"/>
    <row r="139" ht="15.75" customHeight="1" s="141"/>
    <row r="140" ht="15.75" customHeight="1" s="141"/>
    <row r="141" ht="15.75" customHeight="1" s="141"/>
    <row r="142" ht="15.75" customHeight="1" s="141"/>
    <row r="143" ht="15.75" customHeight="1" s="141"/>
    <row r="144" ht="15.75" customHeight="1" s="141"/>
    <row r="145" ht="15.75" customHeight="1" s="141"/>
    <row r="146" ht="15.75" customHeight="1" s="141"/>
    <row r="147" ht="15.75" customHeight="1" s="141"/>
    <row r="148" ht="15.75" customHeight="1" s="141"/>
    <row r="149" ht="15.75" customHeight="1" s="141"/>
    <row r="150" ht="15.75" customHeight="1" s="141"/>
    <row r="151" ht="15.75" customHeight="1" s="141"/>
    <row r="152" ht="15.75" customHeight="1" s="141"/>
    <row r="153" ht="15.75" customHeight="1" s="141"/>
    <row r="154" ht="15.75" customHeight="1" s="141"/>
    <row r="155" ht="15.75" customHeight="1" s="141"/>
    <row r="156" ht="15.75" customHeight="1" s="141"/>
    <row r="157" ht="15.75" customHeight="1" s="141"/>
    <row r="158" ht="15.75" customHeight="1" s="141"/>
    <row r="159" ht="15.75" customHeight="1" s="141"/>
    <row r="160" ht="15.75" customHeight="1" s="141"/>
    <row r="161" ht="15.75" customHeight="1" s="141"/>
    <row r="162" ht="15.75" customHeight="1" s="141"/>
    <row r="163" ht="15.75" customHeight="1" s="141"/>
    <row r="164" ht="15.75" customHeight="1" s="141"/>
    <row r="165" ht="15.75" customHeight="1" s="141"/>
    <row r="166" ht="15.75" customHeight="1" s="141"/>
    <row r="167" ht="15.75" customHeight="1" s="141"/>
    <row r="168" ht="15.75" customHeight="1" s="141"/>
    <row r="169" ht="15.75" customHeight="1" s="141"/>
    <row r="170" ht="15.75" customHeight="1" s="141"/>
    <row r="171" ht="15.75" customHeight="1" s="141"/>
    <row r="172" ht="15.75" customHeight="1" s="141"/>
    <row r="173" ht="15.75" customHeight="1" s="141"/>
    <row r="174" ht="15.75" customHeight="1" s="141"/>
    <row r="175" ht="15.75" customHeight="1" s="141"/>
    <row r="176" ht="15.75" customHeight="1" s="141"/>
    <row r="177" ht="15.75" customHeight="1" s="141"/>
    <row r="178" ht="15.75" customHeight="1" s="141"/>
    <row r="179" ht="15.75" customHeight="1" s="141"/>
    <row r="180" ht="15.75" customHeight="1" s="141"/>
    <row r="181" ht="15.75" customHeight="1" s="141"/>
    <row r="182" ht="15.75" customHeight="1" s="141"/>
    <row r="183" ht="15.75" customHeight="1" s="141"/>
    <row r="184" ht="15.75" customHeight="1" s="141"/>
    <row r="185" ht="15.75" customHeight="1" s="141"/>
    <row r="186" ht="15.75" customHeight="1" s="141"/>
    <row r="187" ht="15.75" customHeight="1" s="141"/>
    <row r="188" ht="15.75" customHeight="1" s="141"/>
    <row r="189" ht="15.75" customHeight="1" s="141"/>
    <row r="190" ht="15.75" customHeight="1" s="141"/>
    <row r="191" ht="15.75" customHeight="1" s="141"/>
    <row r="192" ht="15.75" customHeight="1" s="141"/>
    <row r="193" ht="15.75" customHeight="1" s="141"/>
    <row r="194" ht="15.75" customHeight="1" s="141"/>
    <row r="195" ht="15.75" customHeight="1" s="141"/>
    <row r="196" ht="15.75" customHeight="1" s="141"/>
    <row r="197" ht="15.75" customHeight="1" s="141"/>
    <row r="198" ht="15.75" customHeight="1" s="141"/>
    <row r="199" ht="15.75" customHeight="1" s="141"/>
    <row r="200" ht="15.75" customHeight="1" s="141"/>
    <row r="201" ht="15.75" customHeight="1" s="141"/>
    <row r="202" ht="15.75" customHeight="1" s="141"/>
    <row r="203" ht="15.75" customHeight="1" s="141"/>
    <row r="204" ht="15.75" customHeight="1" s="141"/>
    <row r="205" ht="15.75" customHeight="1" s="141"/>
    <row r="206" ht="15.75" customHeight="1" s="141"/>
    <row r="207" ht="15.75" customHeight="1" s="141"/>
    <row r="208" ht="15.75" customHeight="1" s="141"/>
    <row r="209" ht="15.75" customHeight="1" s="141"/>
    <row r="210" ht="15.75" customHeight="1" s="141"/>
    <row r="211" ht="15.75" customHeight="1" s="141"/>
    <row r="212" ht="15.75" customHeight="1" s="141"/>
    <row r="213" ht="15.75" customHeight="1" s="141"/>
    <row r="214" ht="15.75" customHeight="1" s="141"/>
    <row r="215" ht="15.75" customHeight="1" s="141"/>
    <row r="216" ht="15.75" customHeight="1" s="141"/>
    <row r="217" ht="15.75" customHeight="1" s="141"/>
    <row r="218" ht="15.75" customHeight="1" s="141"/>
    <row r="219" ht="15.75" customHeight="1" s="141"/>
    <row r="220" ht="15.75" customHeight="1" s="141"/>
    <row r="221" ht="15.75" customHeight="1" s="141"/>
    <row r="222" ht="15.75" customHeight="1" s="141"/>
    <row r="223" ht="15.75" customHeight="1" s="141"/>
    <row r="224" ht="15.75" customHeight="1" s="141"/>
    <row r="225" ht="15.75" customHeight="1" s="141"/>
    <row r="226" ht="15.75" customHeight="1" s="141"/>
    <row r="227" ht="15.75" customHeight="1" s="141"/>
    <row r="228" ht="15.75" customHeight="1" s="141"/>
    <row r="229" ht="15.75" customHeight="1" s="141"/>
    <row r="230" ht="15.75" customHeight="1" s="141"/>
    <row r="231" ht="15.75" customHeight="1" s="141"/>
    <row r="232" ht="15.75" customHeight="1" s="141"/>
    <row r="233" ht="15.75" customHeight="1" s="141"/>
    <row r="234" ht="15.75" customHeight="1" s="141"/>
    <row r="235" ht="15.75" customHeight="1" s="141"/>
    <row r="236" ht="15.75" customHeight="1" s="141"/>
    <row r="237" ht="15.75" customHeight="1" s="141"/>
    <row r="238" ht="15.75" customHeight="1" s="141"/>
    <row r="239" ht="15.75" customHeight="1" s="141"/>
    <row r="240" ht="15.75" customHeight="1" s="141"/>
    <row r="241" ht="15.75" customHeight="1" s="141"/>
    <row r="242" ht="15.75" customHeight="1" s="141"/>
    <row r="243" ht="15.75" customHeight="1" s="141"/>
    <row r="244" ht="15.75" customHeight="1" s="141"/>
    <row r="245" ht="15.75" customHeight="1" s="141"/>
    <row r="246" ht="15.75" customHeight="1" s="141"/>
    <row r="247" ht="15.75" customHeight="1" s="141"/>
    <row r="248" ht="15.75" customHeight="1" s="141"/>
    <row r="249" ht="15.75" customHeight="1" s="141"/>
    <row r="250" ht="15.75" customHeight="1" s="141"/>
    <row r="251" ht="15.75" customHeight="1" s="141"/>
    <row r="252" ht="15.75" customHeight="1" s="141"/>
    <row r="253" ht="15.75" customHeight="1" s="141"/>
    <row r="254" ht="15.75" customHeight="1" s="141"/>
    <row r="255" ht="15.75" customHeight="1" s="141"/>
    <row r="256" ht="15.75" customHeight="1" s="141"/>
    <row r="257" ht="15.75" customHeight="1" s="141"/>
    <row r="258" ht="15.75" customHeight="1" s="141"/>
    <row r="259" ht="15.75" customHeight="1" s="141"/>
    <row r="260" ht="15.75" customHeight="1" s="141"/>
    <row r="261" ht="15.75" customHeight="1" s="141"/>
    <row r="262" ht="15.75" customHeight="1" s="141"/>
    <row r="263" ht="15.75" customHeight="1" s="141"/>
    <row r="264" ht="15.75" customHeight="1" s="141"/>
    <row r="265" ht="15.75" customHeight="1" s="141"/>
    <row r="266" ht="15.75" customHeight="1" s="141"/>
    <row r="267" ht="15.75" customHeight="1" s="141"/>
    <row r="268" ht="15.75" customHeight="1" s="141"/>
    <row r="269" ht="15.75" customHeight="1" s="141"/>
    <row r="270" ht="15.75" customHeight="1" s="141"/>
    <row r="271" ht="15.75" customHeight="1" s="141"/>
    <row r="272" ht="15.75" customHeight="1" s="141"/>
    <row r="273" ht="15.75" customHeight="1" s="141"/>
    <row r="274" ht="15.75" customHeight="1" s="141"/>
    <row r="275" ht="15.75" customHeight="1" s="141"/>
    <row r="276" ht="15.75" customHeight="1" s="141"/>
    <row r="277" ht="15.75" customHeight="1" s="141"/>
    <row r="278" ht="15.75" customHeight="1" s="141"/>
    <row r="279" ht="15.75" customHeight="1" s="141"/>
    <row r="280" ht="15.75" customHeight="1" s="141"/>
    <row r="281" ht="15.75" customHeight="1" s="141"/>
    <row r="282" ht="15.75" customHeight="1" s="141"/>
    <row r="283" ht="15.75" customHeight="1" s="141"/>
    <row r="284" ht="15.75" customHeight="1" s="141"/>
    <row r="285" ht="15.75" customHeight="1" s="141"/>
    <row r="286" ht="15.75" customHeight="1" s="141"/>
    <row r="287" ht="15.75" customHeight="1" s="141"/>
    <row r="288" ht="15.75" customHeight="1" s="141"/>
    <row r="289" ht="15.75" customHeight="1" s="141"/>
    <row r="290" ht="15.75" customHeight="1" s="141"/>
    <row r="291" ht="15.75" customHeight="1" s="141"/>
    <row r="292" ht="15.75" customHeight="1" s="141"/>
    <row r="293" ht="15.75" customHeight="1" s="141"/>
    <row r="294" ht="15.75" customHeight="1" s="141"/>
    <row r="295" ht="15.75" customHeight="1" s="141"/>
    <row r="296" ht="15.75" customHeight="1" s="141"/>
    <row r="297" ht="15.75" customHeight="1" s="141"/>
    <row r="298" ht="15.75" customHeight="1" s="141"/>
    <row r="299" ht="15.75" customHeight="1" s="141"/>
    <row r="300" ht="15.75" customHeight="1" s="141"/>
    <row r="301" ht="15.75" customHeight="1" s="141"/>
    <row r="302" ht="15.75" customHeight="1" s="141"/>
    <row r="303" ht="15.75" customHeight="1" s="141"/>
    <row r="304" ht="15.75" customHeight="1" s="141"/>
    <row r="305" ht="15.75" customHeight="1" s="141"/>
    <row r="306" ht="15.75" customHeight="1" s="141"/>
    <row r="307" ht="15.75" customHeight="1" s="141"/>
    <row r="308" ht="15.75" customHeight="1" s="141"/>
    <row r="309" ht="15.75" customHeight="1" s="141"/>
    <row r="310" ht="15.75" customHeight="1" s="141"/>
    <row r="311" ht="15.75" customHeight="1" s="141"/>
    <row r="312" ht="15.75" customHeight="1" s="141"/>
    <row r="313" ht="15.75" customHeight="1" s="141"/>
    <row r="314" ht="15.75" customHeight="1" s="141"/>
    <row r="315" ht="15.75" customHeight="1" s="141"/>
    <row r="316" ht="15.75" customHeight="1" s="141"/>
    <row r="317" ht="15.75" customHeight="1" s="141"/>
    <row r="318" ht="15.75" customHeight="1" s="141"/>
    <row r="319" ht="15.75" customHeight="1" s="141"/>
    <row r="320" ht="15.75" customHeight="1" s="141"/>
    <row r="321" ht="15.75" customHeight="1" s="141"/>
    <row r="322" ht="15.75" customHeight="1" s="141"/>
    <row r="323" ht="15.75" customHeight="1" s="141"/>
    <row r="324" ht="15.75" customHeight="1" s="141"/>
    <row r="325" ht="15.75" customHeight="1" s="141"/>
    <row r="326" ht="15.75" customHeight="1" s="141"/>
    <row r="327" ht="15.75" customHeight="1" s="141"/>
    <row r="328" ht="15.75" customHeight="1" s="141"/>
    <row r="329" ht="15.75" customHeight="1" s="141"/>
    <row r="330" ht="15.75" customHeight="1" s="141"/>
    <row r="331" ht="15.75" customHeight="1" s="141"/>
    <row r="332" ht="15.75" customHeight="1" s="141"/>
    <row r="333" ht="15.75" customHeight="1" s="141"/>
    <row r="334" ht="15.75" customHeight="1" s="141"/>
    <row r="335" ht="15.75" customHeight="1" s="141"/>
    <row r="336" ht="15.75" customHeight="1" s="141"/>
    <row r="337" ht="15.75" customHeight="1" s="141"/>
    <row r="338" ht="15.75" customHeight="1" s="141"/>
    <row r="339" ht="15.75" customHeight="1" s="141"/>
    <row r="340" ht="15.75" customHeight="1" s="141"/>
    <row r="341" ht="15.75" customHeight="1" s="141"/>
    <row r="342" ht="15.75" customHeight="1" s="141"/>
    <row r="343" ht="15.75" customHeight="1" s="141"/>
    <row r="344" ht="15.75" customHeight="1" s="141"/>
    <row r="345" ht="15.75" customHeight="1" s="141"/>
    <row r="346" ht="15.75" customHeight="1" s="141"/>
    <row r="347" ht="15.75" customHeight="1" s="141"/>
    <row r="348" ht="15.75" customHeight="1" s="141"/>
    <row r="349" ht="15.75" customHeight="1" s="141"/>
    <row r="350" ht="15.75" customHeight="1" s="141"/>
    <row r="351" ht="15.75" customHeight="1" s="141"/>
    <row r="352" ht="15.75" customHeight="1" s="141"/>
    <row r="353" ht="15.75" customHeight="1" s="141"/>
    <row r="354" ht="15.75" customHeight="1" s="141"/>
    <row r="355" ht="15.75" customHeight="1" s="141"/>
    <row r="356" ht="15.75" customHeight="1" s="141"/>
    <row r="357" ht="15.75" customHeight="1" s="141"/>
    <row r="358" ht="15.75" customHeight="1" s="141"/>
    <row r="359" ht="15.75" customHeight="1" s="141"/>
    <row r="360" ht="15.75" customHeight="1" s="141"/>
    <row r="361" ht="15.75" customHeight="1" s="141"/>
    <row r="362" ht="15.75" customHeight="1" s="141"/>
    <row r="363" ht="15.75" customHeight="1" s="141"/>
    <row r="364" ht="15.75" customHeight="1" s="141"/>
    <row r="365" ht="15.75" customHeight="1" s="141"/>
    <row r="366" ht="15.75" customHeight="1" s="141"/>
    <row r="367" ht="15.75" customHeight="1" s="141"/>
    <row r="368" ht="15.75" customHeight="1" s="141"/>
    <row r="369" ht="15.75" customHeight="1" s="141"/>
    <row r="370" ht="15.75" customHeight="1" s="141"/>
    <row r="371" ht="15.75" customHeight="1" s="141"/>
    <row r="372" ht="15.75" customHeight="1" s="141"/>
    <row r="373" ht="15.75" customHeight="1" s="141"/>
    <row r="374" ht="15.75" customHeight="1" s="141"/>
    <row r="375" ht="15.75" customHeight="1" s="141"/>
    <row r="376" ht="15.75" customHeight="1" s="141"/>
    <row r="377" ht="15.75" customHeight="1" s="141"/>
    <row r="378" ht="15.75" customHeight="1" s="141"/>
    <row r="379" ht="15.75" customHeight="1" s="141"/>
    <row r="380" ht="15.75" customHeight="1" s="141"/>
    <row r="381" ht="15.75" customHeight="1" s="141"/>
    <row r="382" ht="15.75" customHeight="1" s="141"/>
    <row r="383" ht="15.75" customHeight="1" s="141"/>
    <row r="384" ht="15.75" customHeight="1" s="141"/>
    <row r="385" ht="15.75" customHeight="1" s="141"/>
    <row r="386" ht="15.75" customHeight="1" s="141"/>
    <row r="387" ht="15.75" customHeight="1" s="141"/>
    <row r="388" ht="15.75" customHeight="1" s="141"/>
    <row r="389" ht="15.75" customHeight="1" s="141"/>
    <row r="390" ht="15.75" customHeight="1" s="141"/>
    <row r="391" ht="15.75" customHeight="1" s="141"/>
    <row r="392" ht="15.75" customHeight="1" s="141"/>
    <row r="393" ht="15.75" customHeight="1" s="141"/>
    <row r="394" ht="15.75" customHeight="1" s="141"/>
    <row r="395" ht="15.75" customHeight="1" s="141"/>
    <row r="396" ht="15.75" customHeight="1" s="141"/>
    <row r="397" ht="15.75" customHeight="1" s="141"/>
    <row r="398" ht="15.75" customHeight="1" s="141"/>
    <row r="399" ht="15.75" customHeight="1" s="141"/>
    <row r="400" ht="15.75" customHeight="1" s="141"/>
    <row r="401" ht="15.75" customHeight="1" s="141"/>
    <row r="402" ht="15.75" customHeight="1" s="141"/>
    <row r="403" ht="15.75" customHeight="1" s="141"/>
    <row r="404" ht="15.75" customHeight="1" s="141"/>
    <row r="405" ht="15.75" customHeight="1" s="141"/>
    <row r="406" ht="15.75" customHeight="1" s="141"/>
    <row r="407" ht="15.75" customHeight="1" s="141"/>
    <row r="408" ht="15.75" customHeight="1" s="141"/>
    <row r="409" ht="15.75" customHeight="1" s="141"/>
    <row r="410" ht="15.75" customHeight="1" s="141"/>
    <row r="411" ht="15.75" customHeight="1" s="141"/>
    <row r="412" ht="15.75" customHeight="1" s="141"/>
    <row r="413" ht="15.75" customHeight="1" s="141"/>
    <row r="414" ht="15.75" customHeight="1" s="141"/>
    <row r="415" ht="15.75" customHeight="1" s="141"/>
    <row r="416" ht="15.75" customHeight="1" s="141"/>
    <row r="417" ht="15.75" customHeight="1" s="141"/>
    <row r="418" ht="15.75" customHeight="1" s="141"/>
    <row r="419" ht="15.75" customHeight="1" s="141"/>
    <row r="420" ht="15.75" customHeight="1" s="141"/>
    <row r="421" ht="15.75" customHeight="1" s="141"/>
    <row r="422" ht="15.75" customHeight="1" s="141"/>
    <row r="423" ht="15.75" customHeight="1" s="141"/>
    <row r="424" ht="15.75" customHeight="1" s="141"/>
    <row r="425" ht="15.75" customHeight="1" s="141"/>
    <row r="426" ht="15.75" customHeight="1" s="141"/>
    <row r="427" ht="15.75" customHeight="1" s="141"/>
    <row r="428" ht="15.75" customHeight="1" s="141"/>
    <row r="429" ht="15.75" customHeight="1" s="141"/>
    <row r="430" ht="15.75" customHeight="1" s="141"/>
    <row r="431" ht="15.75" customHeight="1" s="141"/>
    <row r="432" ht="15.75" customHeight="1" s="141"/>
    <row r="433" ht="15.75" customHeight="1" s="141"/>
    <row r="434" ht="15.75" customHeight="1" s="141"/>
    <row r="435" ht="15.75" customHeight="1" s="141"/>
    <row r="436" ht="15.75" customHeight="1" s="141"/>
    <row r="437" ht="15.75" customHeight="1" s="141"/>
    <row r="438" ht="15.75" customHeight="1" s="141"/>
    <row r="439" ht="15.75" customHeight="1" s="141"/>
    <row r="440" ht="15.75" customHeight="1" s="141"/>
    <row r="441" ht="15.75" customHeight="1" s="141"/>
    <row r="442" ht="15.75" customHeight="1" s="141"/>
    <row r="443" ht="15.75" customHeight="1" s="141"/>
    <row r="444" ht="15.75" customHeight="1" s="141"/>
    <row r="445" ht="15.75" customHeight="1" s="141"/>
    <row r="446" ht="15.75" customHeight="1" s="141"/>
    <row r="447" ht="15.75" customHeight="1" s="141"/>
    <row r="448" ht="15.75" customHeight="1" s="141"/>
    <row r="449" ht="15.75" customHeight="1" s="141"/>
    <row r="450" ht="15.75" customHeight="1" s="141"/>
    <row r="451" ht="15.75" customHeight="1" s="141"/>
    <row r="452" ht="15.75" customHeight="1" s="141"/>
    <row r="453" ht="15.75" customHeight="1" s="141"/>
    <row r="454" ht="15.75" customHeight="1" s="141"/>
    <row r="455" ht="15.75" customHeight="1" s="141"/>
    <row r="456" ht="15.75" customHeight="1" s="141"/>
    <row r="457" ht="15.75" customHeight="1" s="141"/>
    <row r="458" ht="15.75" customHeight="1" s="141"/>
    <row r="459" ht="15.75" customHeight="1" s="141"/>
    <row r="460" ht="15.75" customHeight="1" s="141"/>
    <row r="461" ht="15.75" customHeight="1" s="141"/>
    <row r="462" ht="15.75" customHeight="1" s="141"/>
    <row r="463" ht="15.75" customHeight="1" s="141"/>
    <row r="464" ht="15.75" customHeight="1" s="141"/>
    <row r="465" ht="15.75" customHeight="1" s="141"/>
    <row r="466" ht="15.75" customHeight="1" s="141"/>
    <row r="467" ht="15.75" customHeight="1" s="141"/>
    <row r="468" ht="15.75" customHeight="1" s="141"/>
    <row r="469" ht="15.75" customHeight="1" s="141"/>
    <row r="470" ht="15.75" customHeight="1" s="141"/>
    <row r="471" ht="15.75" customHeight="1" s="141"/>
    <row r="472" ht="15.75" customHeight="1" s="141"/>
    <row r="473" ht="15.75" customHeight="1" s="141"/>
    <row r="474" ht="15.75" customHeight="1" s="141"/>
    <row r="475" ht="15.75" customHeight="1" s="141"/>
    <row r="476" ht="15.75" customHeight="1" s="141"/>
    <row r="477" ht="15.75" customHeight="1" s="141"/>
    <row r="478" ht="15.75" customHeight="1" s="141"/>
    <row r="479" ht="15.75" customHeight="1" s="141"/>
    <row r="480" ht="15.75" customHeight="1" s="141"/>
    <row r="481" ht="15.75" customHeight="1" s="141"/>
    <row r="482" ht="15.75" customHeight="1" s="141"/>
    <row r="483" ht="15.75" customHeight="1" s="141"/>
    <row r="484" ht="15.75" customHeight="1" s="141"/>
    <row r="485" ht="15.75" customHeight="1" s="141"/>
    <row r="486" ht="15.75" customHeight="1" s="141"/>
    <row r="487" ht="15.75" customHeight="1" s="141"/>
    <row r="488" ht="15.75" customHeight="1" s="141"/>
    <row r="489" ht="15.75" customHeight="1" s="141"/>
    <row r="490" ht="15.75" customHeight="1" s="141"/>
    <row r="491" ht="15.75" customHeight="1" s="141"/>
    <row r="492" ht="15.75" customHeight="1" s="141"/>
    <row r="493" ht="15.75" customHeight="1" s="141"/>
    <row r="494" ht="15.75" customHeight="1" s="141"/>
    <row r="495" ht="15.75" customHeight="1" s="141"/>
    <row r="496" ht="15.75" customHeight="1" s="141"/>
    <row r="497" ht="15.75" customHeight="1" s="141"/>
    <row r="498" ht="15.75" customHeight="1" s="141"/>
    <row r="499" ht="15.75" customHeight="1" s="141"/>
    <row r="500" ht="15.75" customHeight="1" s="141"/>
    <row r="501" ht="15.75" customHeight="1" s="141"/>
    <row r="502" ht="15.75" customHeight="1" s="141"/>
    <row r="503" ht="15.75" customHeight="1" s="141"/>
    <row r="504" ht="15.75" customHeight="1" s="141"/>
    <row r="505" ht="15.75" customHeight="1" s="141"/>
    <row r="506" ht="15.75" customHeight="1" s="141"/>
    <row r="507" ht="15.75" customHeight="1" s="141"/>
    <row r="508" ht="15.75" customHeight="1" s="141"/>
    <row r="509" ht="15.75" customHeight="1" s="141"/>
    <row r="510" ht="15.75" customHeight="1" s="141"/>
    <row r="511" ht="15.75" customHeight="1" s="141"/>
    <row r="512" ht="15.75" customHeight="1" s="141"/>
    <row r="513" ht="15.75" customHeight="1" s="141"/>
    <row r="514" ht="15.75" customHeight="1" s="141"/>
    <row r="515" ht="15.75" customHeight="1" s="141"/>
    <row r="516" ht="15.75" customHeight="1" s="141"/>
    <row r="517" ht="15.75" customHeight="1" s="141"/>
    <row r="518" ht="15.75" customHeight="1" s="141"/>
    <row r="519" ht="15.75" customHeight="1" s="141"/>
    <row r="520" ht="15.75" customHeight="1" s="141"/>
    <row r="521" ht="15.75" customHeight="1" s="141"/>
    <row r="522" ht="15.75" customHeight="1" s="141"/>
    <row r="523" ht="15.75" customHeight="1" s="141"/>
    <row r="524" ht="15.75" customHeight="1" s="141"/>
    <row r="525" ht="15.75" customHeight="1" s="141"/>
    <row r="526" ht="15.75" customHeight="1" s="141"/>
    <row r="527" ht="15.75" customHeight="1" s="141"/>
    <row r="528" ht="15.75" customHeight="1" s="141"/>
    <row r="529" ht="15.75" customHeight="1" s="141"/>
    <row r="530" ht="15.75" customHeight="1" s="141"/>
    <row r="531" ht="15.75" customHeight="1" s="141"/>
    <row r="532" ht="15.75" customHeight="1" s="141"/>
    <row r="533" ht="15.75" customHeight="1" s="141"/>
    <row r="534" ht="15.75" customHeight="1" s="141"/>
    <row r="535" ht="15.75" customHeight="1" s="141"/>
    <row r="536" ht="15.75" customHeight="1" s="141"/>
    <row r="537" ht="15.75" customHeight="1" s="141"/>
    <row r="538" ht="15.75" customHeight="1" s="141"/>
    <row r="539" ht="15.75" customHeight="1" s="141"/>
    <row r="540" ht="15.75" customHeight="1" s="141"/>
    <row r="541" ht="15.75" customHeight="1" s="141"/>
    <row r="542" ht="15.75" customHeight="1" s="141"/>
    <row r="543" ht="15.75" customHeight="1" s="141"/>
    <row r="544" ht="15.75" customHeight="1" s="141"/>
    <row r="545" ht="15.75" customHeight="1" s="141"/>
    <row r="546" ht="15.75" customHeight="1" s="141"/>
    <row r="547" ht="15.75" customHeight="1" s="141"/>
    <row r="548" ht="15.75" customHeight="1" s="141"/>
    <row r="549" ht="15.75" customHeight="1" s="141"/>
    <row r="550" ht="15.75" customHeight="1" s="141"/>
    <row r="551" ht="15.75" customHeight="1" s="141"/>
    <row r="552" ht="15.75" customHeight="1" s="141"/>
    <row r="553" ht="15.75" customHeight="1" s="141"/>
    <row r="554" ht="15.75" customHeight="1" s="141"/>
    <row r="555" ht="15.75" customHeight="1" s="141"/>
    <row r="556" ht="15.75" customHeight="1" s="141"/>
    <row r="557" ht="15.75" customHeight="1" s="141"/>
    <row r="558" ht="15.75" customHeight="1" s="141"/>
    <row r="559" ht="15.75" customHeight="1" s="141"/>
    <row r="560" ht="15.75" customHeight="1" s="141"/>
    <row r="561" ht="15.75" customHeight="1" s="141"/>
    <row r="562" ht="15.75" customHeight="1" s="141"/>
    <row r="563" ht="15.75" customHeight="1" s="141"/>
    <row r="564" ht="15.75" customHeight="1" s="141"/>
    <row r="565" ht="15.75" customHeight="1" s="141"/>
    <row r="566" ht="15.75" customHeight="1" s="141"/>
    <row r="567" ht="15.75" customHeight="1" s="141"/>
    <row r="568" ht="15.75" customHeight="1" s="141"/>
    <row r="569" ht="15.75" customHeight="1" s="141"/>
    <row r="570" ht="15.75" customHeight="1" s="141"/>
    <row r="571" ht="15.75" customHeight="1" s="141"/>
    <row r="572" ht="15.75" customHeight="1" s="141"/>
    <row r="573" ht="15.75" customHeight="1" s="141"/>
    <row r="574" ht="15.75" customHeight="1" s="141"/>
    <row r="575" ht="15.75" customHeight="1" s="141"/>
    <row r="576" ht="15.75" customHeight="1" s="141"/>
    <row r="577" ht="15.75" customHeight="1" s="141"/>
    <row r="578" ht="15.75" customHeight="1" s="141"/>
    <row r="579" ht="15.75" customHeight="1" s="141"/>
    <row r="580" ht="15.75" customHeight="1" s="141"/>
    <row r="581" ht="15.75" customHeight="1" s="141"/>
    <row r="582" ht="15.75" customHeight="1" s="141"/>
    <row r="583" ht="15.75" customHeight="1" s="141"/>
    <row r="584" ht="15.75" customHeight="1" s="141"/>
    <row r="585" ht="15.75" customHeight="1" s="141"/>
    <row r="586" ht="15.75" customHeight="1" s="141"/>
    <row r="587" ht="15.75" customHeight="1" s="141"/>
    <row r="588" ht="15.75" customHeight="1" s="141"/>
    <row r="589" ht="15.75" customHeight="1" s="141"/>
    <row r="590" ht="15.75" customHeight="1" s="141"/>
    <row r="591" ht="15.75" customHeight="1" s="141"/>
    <row r="592" ht="15.75" customHeight="1" s="141"/>
    <row r="593" ht="15.75" customHeight="1" s="141"/>
    <row r="594" ht="15.75" customHeight="1" s="141"/>
    <row r="595" ht="15.75" customHeight="1" s="141"/>
    <row r="596" ht="15.75" customHeight="1" s="141"/>
    <row r="597" ht="15.75" customHeight="1" s="141"/>
    <row r="598" ht="15.75" customHeight="1" s="141"/>
    <row r="599" ht="15.75" customHeight="1" s="141"/>
    <row r="600" ht="15.75" customHeight="1" s="141"/>
    <row r="601" ht="15.75" customHeight="1" s="141"/>
    <row r="602" ht="15.75" customHeight="1" s="141"/>
    <row r="603" ht="15.75" customHeight="1" s="141"/>
    <row r="604" ht="15.75" customHeight="1" s="141"/>
    <row r="605" ht="15.75" customHeight="1" s="141"/>
    <row r="606" ht="15.75" customHeight="1" s="141"/>
    <row r="607" ht="15.75" customHeight="1" s="141"/>
    <row r="608" ht="15.75" customHeight="1" s="141"/>
    <row r="609" ht="15.75" customHeight="1" s="141"/>
    <row r="610" ht="15.75" customHeight="1" s="141"/>
    <row r="611" ht="15.75" customHeight="1" s="141"/>
    <row r="612" ht="15.75" customHeight="1" s="141"/>
    <row r="613" ht="15.75" customHeight="1" s="141"/>
    <row r="614" ht="15.75" customHeight="1" s="141"/>
    <row r="615" ht="15.75" customHeight="1" s="141"/>
    <row r="616" ht="15.75" customHeight="1" s="141"/>
    <row r="617" ht="15.75" customHeight="1" s="141"/>
    <row r="618" ht="15.75" customHeight="1" s="141"/>
    <row r="619" ht="15.75" customHeight="1" s="141"/>
    <row r="620" ht="15.75" customHeight="1" s="141"/>
    <row r="621" ht="15.75" customHeight="1" s="141"/>
    <row r="622" ht="15.75" customHeight="1" s="141"/>
    <row r="623" ht="15.75" customHeight="1" s="141"/>
    <row r="624" ht="15.75" customHeight="1" s="141"/>
    <row r="625" ht="15.75" customHeight="1" s="141"/>
    <row r="626" ht="15.75" customHeight="1" s="141"/>
    <row r="627" ht="15.75" customHeight="1" s="141"/>
    <row r="628" ht="15.75" customHeight="1" s="141"/>
    <row r="629" ht="15.75" customHeight="1" s="141"/>
    <row r="630" ht="15.75" customHeight="1" s="141"/>
    <row r="631" ht="15.75" customHeight="1" s="141"/>
    <row r="632" ht="15.75" customHeight="1" s="141"/>
    <row r="633" ht="15.75" customHeight="1" s="141"/>
    <row r="634" ht="15.75" customHeight="1" s="141"/>
    <row r="635" ht="15.75" customHeight="1" s="141"/>
    <row r="636" ht="15.75" customHeight="1" s="141"/>
    <row r="637" ht="15.75" customHeight="1" s="141"/>
    <row r="638" ht="15.75" customHeight="1" s="141"/>
    <row r="639" ht="15.75" customHeight="1" s="141"/>
    <row r="640" ht="15.75" customHeight="1" s="141"/>
    <row r="641" ht="15.75" customHeight="1" s="141"/>
    <row r="642" ht="15.75" customHeight="1" s="141"/>
    <row r="643" ht="15.75" customHeight="1" s="141"/>
    <row r="644" ht="15.75" customHeight="1" s="141"/>
    <row r="645" ht="15.75" customHeight="1" s="141"/>
    <row r="646" ht="15.75" customHeight="1" s="141"/>
    <row r="647" ht="15.75" customHeight="1" s="141"/>
    <row r="648" ht="15.75" customHeight="1" s="141"/>
    <row r="649" ht="15.75" customHeight="1" s="141"/>
    <row r="650" ht="15.75" customHeight="1" s="141"/>
    <row r="651" ht="15.75" customHeight="1" s="141"/>
    <row r="652" ht="15.75" customHeight="1" s="141"/>
    <row r="653" ht="15.75" customHeight="1" s="141"/>
    <row r="654" ht="15.75" customHeight="1" s="141"/>
    <row r="655" ht="15.75" customHeight="1" s="141"/>
    <row r="656" ht="15.75" customHeight="1" s="141"/>
    <row r="657" ht="15.75" customHeight="1" s="141"/>
    <row r="658" ht="15.75" customHeight="1" s="141"/>
    <row r="659" ht="15.75" customHeight="1" s="141"/>
    <row r="660" ht="15.75" customHeight="1" s="141"/>
    <row r="661" ht="15.75" customHeight="1" s="141"/>
    <row r="662" ht="15.75" customHeight="1" s="141"/>
    <row r="663" ht="15.75" customHeight="1" s="141"/>
    <row r="664" ht="15.75" customHeight="1" s="141"/>
    <row r="665" ht="15.75" customHeight="1" s="141"/>
    <row r="666" ht="15.75" customHeight="1" s="141"/>
    <row r="667" ht="15.75" customHeight="1" s="141"/>
    <row r="668" ht="15.75" customHeight="1" s="141"/>
    <row r="669" ht="15.75" customHeight="1" s="141"/>
    <row r="670" ht="15.75" customHeight="1" s="141"/>
    <row r="671" ht="15.75" customHeight="1" s="141"/>
    <row r="672" ht="15.75" customHeight="1" s="141"/>
    <row r="673" ht="15.75" customHeight="1" s="141"/>
    <row r="674" ht="15.75" customHeight="1" s="141"/>
    <row r="675" ht="15.75" customHeight="1" s="141"/>
    <row r="676" ht="15.75" customHeight="1" s="141"/>
    <row r="677" ht="15.75" customHeight="1" s="141"/>
    <row r="678" ht="15.75" customHeight="1" s="141"/>
    <row r="679" ht="15.75" customHeight="1" s="141"/>
    <row r="680" ht="15.75" customHeight="1" s="141"/>
    <row r="681" ht="15.75" customHeight="1" s="141"/>
    <row r="682" ht="15.75" customHeight="1" s="141"/>
    <row r="683" ht="15.75" customHeight="1" s="141"/>
    <row r="684" ht="15.75" customHeight="1" s="141"/>
    <row r="685" ht="15.75" customHeight="1" s="141"/>
    <row r="686" ht="15.75" customHeight="1" s="141"/>
    <row r="687" ht="15.75" customHeight="1" s="141"/>
    <row r="688" ht="15.75" customHeight="1" s="141"/>
    <row r="689" ht="15.75" customHeight="1" s="141"/>
    <row r="690" ht="15.75" customHeight="1" s="141"/>
    <row r="691" ht="15.75" customHeight="1" s="141"/>
    <row r="692" ht="15.75" customHeight="1" s="141"/>
    <row r="693" ht="15.75" customHeight="1" s="141"/>
    <row r="694" ht="15.75" customHeight="1" s="141"/>
    <row r="695" ht="15.75" customHeight="1" s="141"/>
    <row r="696" ht="15.75" customHeight="1" s="141"/>
    <row r="697" ht="15.75" customHeight="1" s="141"/>
    <row r="698" ht="15.75" customHeight="1" s="141"/>
    <row r="699" ht="15.75" customHeight="1" s="141"/>
    <row r="700" ht="15.75" customHeight="1" s="141"/>
    <row r="701" ht="15.75" customHeight="1" s="141"/>
    <row r="702" ht="15.75" customHeight="1" s="141"/>
    <row r="703" ht="15.75" customHeight="1" s="141"/>
    <row r="704" ht="15.75" customHeight="1" s="141"/>
    <row r="705" ht="15.75" customHeight="1" s="141"/>
    <row r="706" ht="15.75" customHeight="1" s="141"/>
    <row r="707" ht="15.75" customHeight="1" s="141"/>
    <row r="708" ht="15.75" customHeight="1" s="141"/>
    <row r="709" ht="15.75" customHeight="1" s="141"/>
    <row r="710" ht="15.75" customHeight="1" s="141"/>
    <row r="711" ht="15.75" customHeight="1" s="141"/>
    <row r="712" ht="15.75" customHeight="1" s="141"/>
    <row r="713" ht="15.75" customHeight="1" s="141"/>
    <row r="714" ht="15.75" customHeight="1" s="141"/>
    <row r="715" ht="15.75" customHeight="1" s="141"/>
    <row r="716" ht="15.75" customHeight="1" s="141"/>
    <row r="717" ht="15.75" customHeight="1" s="141"/>
    <row r="718" ht="15.75" customHeight="1" s="141"/>
    <row r="719" ht="15.75" customHeight="1" s="141"/>
    <row r="720" ht="15.75" customHeight="1" s="141"/>
    <row r="721" ht="15.75" customHeight="1" s="141"/>
    <row r="722" ht="15.75" customHeight="1" s="141"/>
    <row r="723" ht="15.75" customHeight="1" s="141"/>
    <row r="724" ht="15.75" customHeight="1" s="141"/>
    <row r="725" ht="15.75" customHeight="1" s="141"/>
    <row r="726" ht="15.75" customHeight="1" s="141"/>
    <row r="727" ht="15.75" customHeight="1" s="141"/>
    <row r="728" ht="15.75" customHeight="1" s="141"/>
    <row r="729" ht="15.75" customHeight="1" s="141"/>
    <row r="730" ht="15.75" customHeight="1" s="141"/>
    <row r="731" ht="15.75" customHeight="1" s="141"/>
    <row r="732" ht="15.75" customHeight="1" s="141"/>
    <row r="733" ht="15.75" customHeight="1" s="141"/>
    <row r="734" ht="15.75" customHeight="1" s="141"/>
    <row r="735" ht="15.75" customHeight="1" s="141"/>
    <row r="736" ht="15.75" customHeight="1" s="141"/>
    <row r="737" ht="15.75" customHeight="1" s="141"/>
    <row r="738" ht="15.75" customHeight="1" s="141"/>
    <row r="739" ht="15.75" customHeight="1" s="141"/>
    <row r="740" ht="15.75" customHeight="1" s="141"/>
    <row r="741" ht="15.75" customHeight="1" s="141"/>
    <row r="742" ht="15.75" customHeight="1" s="141"/>
    <row r="743" ht="15.75" customHeight="1" s="141"/>
    <row r="744" ht="15.75" customHeight="1" s="141"/>
    <row r="745" ht="15.75" customHeight="1" s="141"/>
    <row r="746" ht="15.75" customHeight="1" s="141"/>
    <row r="747" ht="15.75" customHeight="1" s="141"/>
    <row r="748" ht="15.75" customHeight="1" s="141"/>
    <row r="749" ht="15.75" customHeight="1" s="141"/>
    <row r="750" ht="15.75" customHeight="1" s="141"/>
    <row r="751" ht="15.75" customHeight="1" s="141"/>
    <row r="752" ht="15.75" customHeight="1" s="141"/>
    <row r="753" ht="15.75" customHeight="1" s="141"/>
    <row r="754" ht="15.75" customHeight="1" s="141"/>
    <row r="755" ht="15.75" customHeight="1" s="141"/>
    <row r="756" ht="15.75" customHeight="1" s="141"/>
    <row r="757" ht="15.75" customHeight="1" s="141"/>
    <row r="758" ht="15.75" customHeight="1" s="141"/>
    <row r="759" ht="15.75" customHeight="1" s="141"/>
    <row r="760" ht="15.75" customHeight="1" s="141"/>
    <row r="761" ht="15.75" customHeight="1" s="141"/>
    <row r="762" ht="15.75" customHeight="1" s="141"/>
    <row r="763" ht="15.75" customHeight="1" s="141"/>
    <row r="764" ht="15.75" customHeight="1" s="141"/>
    <row r="765" ht="15.75" customHeight="1" s="141"/>
    <row r="766" ht="15.75" customHeight="1" s="141"/>
    <row r="767" ht="15.75" customHeight="1" s="141"/>
    <row r="768" ht="15.75" customHeight="1" s="141"/>
    <row r="769" ht="15.75" customHeight="1" s="141"/>
    <row r="770" ht="15.75" customHeight="1" s="141"/>
    <row r="771" ht="15.75" customHeight="1" s="141"/>
    <row r="772" ht="15.75" customHeight="1" s="141"/>
    <row r="773" ht="15.75" customHeight="1" s="141"/>
    <row r="774" ht="15.75" customHeight="1" s="141"/>
    <row r="775" ht="15.75" customHeight="1" s="141"/>
    <row r="776" ht="15.75" customHeight="1" s="141"/>
    <row r="777" ht="15.75" customHeight="1" s="141"/>
    <row r="778" ht="15.75" customHeight="1" s="141"/>
    <row r="779" ht="15.75" customHeight="1" s="141"/>
    <row r="780" ht="15.75" customHeight="1" s="141"/>
    <row r="781" ht="15.75" customHeight="1" s="141"/>
    <row r="782" ht="15.75" customHeight="1" s="141"/>
    <row r="783" ht="15.75" customHeight="1" s="141"/>
    <row r="784" ht="15.75" customHeight="1" s="141"/>
    <row r="785" ht="15.75" customHeight="1" s="141"/>
    <row r="786" ht="15.75" customHeight="1" s="141"/>
    <row r="787" ht="15.75" customHeight="1" s="141"/>
    <row r="788" ht="15.75" customHeight="1" s="141"/>
    <row r="789" ht="15.75" customHeight="1" s="141"/>
    <row r="790" ht="15.75" customHeight="1" s="141"/>
    <row r="791" ht="15.75" customHeight="1" s="141"/>
    <row r="792" ht="15.75" customHeight="1" s="141"/>
    <row r="793" ht="15.75" customHeight="1" s="141"/>
    <row r="794" ht="15.75" customHeight="1" s="141"/>
    <row r="795" ht="15.75" customHeight="1" s="141"/>
    <row r="796" ht="15.75" customHeight="1" s="141"/>
    <row r="797" ht="15.75" customHeight="1" s="141"/>
    <row r="798" ht="15.75" customHeight="1" s="141"/>
    <row r="799" ht="15.75" customHeight="1" s="141"/>
    <row r="800" ht="15.75" customHeight="1" s="141"/>
    <row r="801" ht="15.75" customHeight="1" s="141"/>
    <row r="802" ht="15.75" customHeight="1" s="141"/>
    <row r="803" ht="15.75" customHeight="1" s="141"/>
    <row r="804" ht="15.75" customHeight="1" s="141"/>
    <row r="805" ht="15.75" customHeight="1" s="141"/>
    <row r="806" ht="15.75" customHeight="1" s="141"/>
    <row r="807" ht="15.75" customHeight="1" s="141"/>
    <row r="808" ht="15.75" customHeight="1" s="141"/>
    <row r="809" ht="15.75" customHeight="1" s="141"/>
    <row r="810" ht="15.75" customHeight="1" s="141"/>
    <row r="811" ht="15.75" customHeight="1" s="141"/>
    <row r="812" ht="15.75" customHeight="1" s="141"/>
    <row r="813" ht="15.75" customHeight="1" s="141"/>
    <row r="814" ht="15.75" customHeight="1" s="141"/>
    <row r="815" ht="15.75" customHeight="1" s="141"/>
    <row r="816" ht="15.75" customHeight="1" s="141"/>
    <row r="817" ht="15.75" customHeight="1" s="141"/>
    <row r="818" ht="15.75" customHeight="1" s="141"/>
    <row r="819" ht="15.75" customHeight="1" s="141"/>
    <row r="820" ht="15.75" customHeight="1" s="141"/>
    <row r="821" ht="15.75" customHeight="1" s="141"/>
    <row r="822" ht="15.75" customHeight="1" s="141"/>
    <row r="823" ht="15.75" customHeight="1" s="141"/>
    <row r="824" ht="15.75" customHeight="1" s="141"/>
    <row r="825" ht="15.75" customHeight="1" s="141"/>
    <row r="826" ht="15.75" customHeight="1" s="141"/>
    <row r="827" ht="15.75" customHeight="1" s="141"/>
    <row r="828" ht="15.75" customHeight="1" s="141"/>
    <row r="829" ht="15.75" customHeight="1" s="141"/>
    <row r="830" ht="15.75" customHeight="1" s="141"/>
    <row r="831" ht="15.75" customHeight="1" s="141"/>
    <row r="832" ht="15.75" customHeight="1" s="141"/>
    <row r="833" ht="15.75" customHeight="1" s="141"/>
    <row r="834" ht="15.75" customHeight="1" s="141"/>
    <row r="835" ht="15.75" customHeight="1" s="141"/>
    <row r="836" ht="15.75" customHeight="1" s="141"/>
    <row r="837" ht="15.75" customHeight="1" s="141"/>
    <row r="838" ht="15.75" customHeight="1" s="141"/>
    <row r="839" ht="15.75" customHeight="1" s="141"/>
    <row r="840" ht="15.75" customHeight="1" s="141"/>
    <row r="841" ht="15.75" customHeight="1" s="141"/>
    <row r="842" ht="15.75" customHeight="1" s="141"/>
    <row r="843" ht="15.75" customHeight="1" s="141"/>
    <row r="844" ht="15.75" customHeight="1" s="141"/>
    <row r="845" ht="15.75" customHeight="1" s="141"/>
    <row r="846" ht="15.75" customHeight="1" s="141"/>
    <row r="847" ht="15.75" customHeight="1" s="141"/>
    <row r="848" ht="15.75" customHeight="1" s="141"/>
    <row r="849" ht="15.75" customHeight="1" s="141"/>
    <row r="850" ht="15.75" customHeight="1" s="141"/>
    <row r="851" ht="15.75" customHeight="1" s="141"/>
    <row r="852" ht="15.75" customHeight="1" s="141"/>
    <row r="853" ht="15.75" customHeight="1" s="141"/>
    <row r="854" ht="15.75" customHeight="1" s="141"/>
    <row r="855" ht="15.75" customHeight="1" s="141"/>
    <row r="856" ht="15.75" customHeight="1" s="141"/>
    <row r="857" ht="15.75" customHeight="1" s="141"/>
    <row r="858" ht="15.75" customHeight="1" s="141"/>
    <row r="859" ht="15.75" customHeight="1" s="141"/>
    <row r="860" ht="15.75" customHeight="1" s="141"/>
    <row r="861" ht="15.75" customHeight="1" s="141"/>
    <row r="862" ht="15.75" customHeight="1" s="141"/>
    <row r="863" ht="15.75" customHeight="1" s="141"/>
    <row r="864" ht="15.75" customHeight="1" s="141"/>
    <row r="865" ht="15.75" customHeight="1" s="141"/>
    <row r="866" ht="15.75" customHeight="1" s="141"/>
    <row r="867" ht="15.75" customHeight="1" s="141"/>
    <row r="868" ht="15.75" customHeight="1" s="141"/>
    <row r="869" ht="15.75" customHeight="1" s="141"/>
    <row r="870" ht="15.75" customHeight="1" s="141"/>
    <row r="871" ht="15.75" customHeight="1" s="141"/>
    <row r="872" ht="15.75" customHeight="1" s="141"/>
    <row r="873" ht="15.75" customHeight="1" s="141"/>
    <row r="874" ht="15.75" customHeight="1" s="141"/>
    <row r="875" ht="15.75" customHeight="1" s="141"/>
    <row r="876" ht="15.75" customHeight="1" s="141"/>
    <row r="877" ht="15.75" customHeight="1" s="141"/>
    <row r="878" ht="15.75" customHeight="1" s="141"/>
    <row r="879" ht="15.75" customHeight="1" s="141"/>
    <row r="880" ht="15.75" customHeight="1" s="141"/>
    <row r="881" ht="15.75" customHeight="1" s="141"/>
    <row r="882" ht="15.75" customHeight="1" s="141"/>
    <row r="883" ht="15.75" customHeight="1" s="141"/>
    <row r="884" ht="15.75" customHeight="1" s="141"/>
    <row r="885" ht="15.75" customHeight="1" s="141"/>
    <row r="886" ht="15.75" customHeight="1" s="141"/>
    <row r="887" ht="15.75" customHeight="1" s="141"/>
    <row r="888" ht="15.75" customHeight="1" s="141"/>
    <row r="889" ht="15.75" customHeight="1" s="141"/>
    <row r="890" ht="15.75" customHeight="1" s="141"/>
    <row r="891" ht="15.75" customHeight="1" s="141"/>
    <row r="892" ht="15.75" customHeight="1" s="141"/>
    <row r="893" ht="15.75" customHeight="1" s="141"/>
    <row r="894" ht="15.75" customHeight="1" s="141"/>
    <row r="895" ht="15.75" customHeight="1" s="141"/>
    <row r="896" ht="15.75" customHeight="1" s="141"/>
    <row r="897" ht="15.75" customHeight="1" s="141"/>
    <row r="898" ht="15.75" customHeight="1" s="141"/>
    <row r="899" ht="15.75" customHeight="1" s="141"/>
    <row r="900" ht="15.75" customHeight="1" s="141"/>
    <row r="901" ht="15.75" customHeight="1" s="141"/>
    <row r="902" ht="15.75" customHeight="1" s="141"/>
    <row r="903" ht="15.75" customHeight="1" s="141"/>
    <row r="904" ht="15.75" customHeight="1" s="141"/>
    <row r="905" ht="15.75" customHeight="1" s="141"/>
    <row r="906" ht="15.75" customHeight="1" s="141"/>
    <row r="907" ht="15.75" customHeight="1" s="141"/>
    <row r="908" ht="15.75" customHeight="1" s="141"/>
    <row r="909" ht="15.75" customHeight="1" s="141"/>
    <row r="910" ht="15.75" customHeight="1" s="141"/>
    <row r="911" ht="15.75" customHeight="1" s="141"/>
    <row r="912" ht="15.75" customHeight="1" s="141"/>
    <row r="913" ht="15.75" customHeight="1" s="141"/>
    <row r="914" ht="15.75" customHeight="1" s="141"/>
    <row r="915" ht="15.75" customHeight="1" s="141"/>
    <row r="916" ht="15.75" customHeight="1" s="141"/>
    <row r="917" ht="15.75" customHeight="1" s="141"/>
    <row r="918" ht="15.75" customHeight="1" s="141"/>
    <row r="919" ht="15.75" customHeight="1" s="141"/>
    <row r="920" ht="15.75" customHeight="1" s="141"/>
    <row r="921" ht="15.75" customHeight="1" s="141"/>
    <row r="922" ht="15.75" customHeight="1" s="141"/>
    <row r="923" ht="15.75" customHeight="1" s="141"/>
    <row r="924" ht="15.75" customHeight="1" s="141"/>
    <row r="925" ht="15.75" customHeight="1" s="141"/>
    <row r="926" ht="15.75" customHeight="1" s="141"/>
    <row r="927" ht="15.75" customHeight="1" s="141"/>
    <row r="928" ht="15.75" customHeight="1" s="141"/>
    <row r="929" ht="15.75" customHeight="1" s="141"/>
    <row r="930" ht="15.75" customHeight="1" s="141"/>
    <row r="931" ht="15.75" customHeight="1" s="141"/>
    <row r="932" ht="15.75" customHeight="1" s="141"/>
    <row r="933" ht="15.75" customHeight="1" s="141"/>
    <row r="934" ht="15.75" customHeight="1" s="141"/>
    <row r="935" ht="15.75" customHeight="1" s="141"/>
    <row r="936" ht="15.75" customHeight="1" s="141"/>
    <row r="937" ht="15.75" customHeight="1" s="141"/>
    <row r="938" ht="15.75" customHeight="1" s="141"/>
    <row r="939" ht="15.75" customHeight="1" s="141"/>
    <row r="940" ht="15.75" customHeight="1" s="141"/>
    <row r="941" ht="15.75" customHeight="1" s="141"/>
    <row r="942" ht="15.75" customHeight="1" s="141"/>
    <row r="943" ht="15.75" customHeight="1" s="141"/>
    <row r="944" ht="15.75" customHeight="1" s="141"/>
    <row r="945" ht="15.75" customHeight="1" s="141"/>
    <row r="946" ht="15.75" customHeight="1" s="141"/>
    <row r="947" ht="15.75" customHeight="1" s="141"/>
    <row r="948" ht="15.75" customHeight="1" s="141"/>
    <row r="949" ht="15.75" customHeight="1" s="141"/>
    <row r="950" ht="15.75" customHeight="1" s="141"/>
    <row r="951" ht="15.75" customHeight="1" s="141"/>
    <row r="952" ht="15.75" customHeight="1" s="141"/>
    <row r="953" ht="15.75" customHeight="1" s="141"/>
    <row r="954" ht="15.75" customHeight="1" s="141"/>
    <row r="955" ht="15.75" customHeight="1" s="141"/>
    <row r="956" ht="15.75" customHeight="1" s="141"/>
    <row r="957" ht="15.75" customHeight="1" s="141"/>
    <row r="958" ht="15.75" customHeight="1" s="141"/>
    <row r="959" ht="15.75" customHeight="1" s="141"/>
    <row r="960" ht="15.75" customHeight="1" s="141"/>
    <row r="961" ht="15.75" customHeight="1" s="141"/>
    <row r="962" ht="15.75" customHeight="1" s="141"/>
    <row r="963" ht="15.75" customHeight="1" s="141"/>
    <row r="964" ht="15.75" customHeight="1" s="141"/>
    <row r="965" ht="15.75" customHeight="1" s="141"/>
    <row r="966" ht="15.75" customHeight="1" s="141"/>
    <row r="967" ht="15.75" customHeight="1" s="141"/>
    <row r="968" ht="15.75" customHeight="1" s="141"/>
    <row r="969" ht="15.75" customHeight="1" s="141"/>
    <row r="970" ht="15.75" customHeight="1" s="141"/>
    <row r="971" ht="15.75" customHeight="1" s="141"/>
    <row r="972" ht="15.75" customHeight="1" s="141"/>
    <row r="973" ht="15.75" customHeight="1" s="141"/>
    <row r="974" ht="15.75" customHeight="1" s="141"/>
    <row r="975" ht="15.75" customHeight="1" s="141"/>
    <row r="976" ht="15.75" customHeight="1" s="141"/>
    <row r="977" ht="15.75" customHeight="1" s="141"/>
    <row r="978" ht="15.75" customHeight="1" s="141"/>
    <row r="979" ht="15.75" customHeight="1" s="141"/>
    <row r="980" ht="15.75" customHeight="1" s="141"/>
    <row r="981" ht="15.75" customHeight="1" s="141"/>
    <row r="982" ht="15.75" customHeight="1" s="141"/>
    <row r="983" ht="15.75" customHeight="1" s="141"/>
    <row r="984" ht="15.75" customHeight="1" s="141"/>
    <row r="985" ht="15.75" customHeight="1" s="141"/>
    <row r="986" ht="15.75" customHeight="1" s="141"/>
    <row r="987" ht="15.75" customHeight="1" s="141"/>
    <row r="988" ht="15.75" customHeight="1" s="141"/>
    <row r="989" ht="15.75" customHeight="1" s="141"/>
    <row r="990" ht="15.75" customHeight="1" s="141"/>
    <row r="991" ht="15.75" customHeight="1" s="141"/>
    <row r="992" ht="15.75" customHeight="1" s="141"/>
    <row r="993" ht="15.75" customHeight="1" s="141"/>
    <row r="994" ht="15.75" customHeight="1" s="141"/>
    <row r="995" ht="15.75" customHeight="1" s="141"/>
    <row r="996" ht="15.75" customHeight="1" s="141"/>
    <row r="997" ht="15.75" customHeight="1" s="141"/>
    <row r="998" ht="15.75" customHeight="1" s="141"/>
    <row r="999" ht="15.75" customHeight="1" s="141"/>
    <row r="1000" ht="15.75" customHeight="1" s="141"/>
  </sheetData>
  <sheetProtection selectLockedCells="0" selectUnlockedCells="0" sheet="1" objects="0" insertRows="1" insertHyperlinks="1" autoFilter="0" scenarios="0" formatColumns="0" deleteColumns="1" insertColumns="1" pivotTables="1" deleteRows="1" formatCells="0" formatRows="0" sort="0"/>
  <mergeCells count="7">
    <mergeCell ref="A1:M1"/>
    <mergeCell ref="A27:M27"/>
    <mergeCell ref="A10:E10"/>
    <mergeCell ref="A7:K7"/>
    <mergeCell ref="B3:C5"/>
    <mergeCell ref="A3:A5"/>
    <mergeCell ref="A8:K8"/>
  </mergeCells>
  <conditionalFormatting sqref="J18:J25">
    <cfRule type="colorScale" priority="2">
      <colorScale>
        <cfvo type="min" val="0"/>
        <cfvo type="percentile" val="50"/>
        <cfvo type="max" val="0"/>
        <color rgb="FF63BE7B"/>
        <color rgb="FFFFEB84"/>
        <color rgb="FFF8696B"/>
      </colorScale>
    </cfRule>
  </conditionalFormatting>
  <conditionalFormatting sqref="L18:L25">
    <cfRule type="colorScale" priority="3">
      <colorScale>
        <cfvo type="min" val="0"/>
        <cfvo type="percentile" val="50"/>
        <cfvo type="max" val="0"/>
        <color rgb="FF63BE7B"/>
        <color rgb="FFFFEB84"/>
        <color rgb="FFF8696B"/>
      </colorScale>
    </cfRule>
  </conditionalFormatting>
  <printOptions horizontalCentered="1" verticalCentered="0" headings="0" gridLines="0" gridLinesSet="1"/>
  <pageMargins left="0.25" right="0.25" top="0.4" bottom="0.4" header="0" footer="0"/>
  <pageSetup orientation="landscape" paperSize="1" scale="100" fitToHeight="0" fitToWidth="1" pageOrder="downThenOver" blackAndWhite="0" draft="0" horizontalDpi="300" verticalDpi="300" copies="1"/>
  <headerFooter differentOddEven="0" differentFirst="0">
    <oddHeader>&amp;C 1f4e78Charts</oddHeader>
    <oddFooter>&amp;LRifle Load Development Log&amp;RPage &amp;P of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filterMode="0">
    <outlinePr summaryBelow="1" summaryRight="1"/>
    <pageSetUpPr fitToPage="1"/>
  </sheetPr>
  <dimension ref="A1:AL7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3359375" defaultRowHeight="15" customHeight="1" zeroHeight="0" outlineLevelRow="0"/>
  <cols>
    <col width="11" customWidth="1" style="140" min="1" max="10"/>
    <col width="13" customWidth="1" style="140" min="11" max="12"/>
    <col width="14" customWidth="1" style="140" min="13" max="13"/>
    <col width="18" customWidth="1" style="140" min="14" max="14"/>
    <col width="60" customWidth="1" style="140" min="15" max="16"/>
    <col width="8.43" customWidth="1" style="140" min="17" max="37"/>
  </cols>
  <sheetData>
    <row r="1" ht="31.5" customHeight="1" s="141">
      <c r="A1" s="316" t="inlineStr">
        <is>
          <t>Seating Depth Test — Best Jump Finder</t>
        </is>
      </c>
      <c r="B1" s="309" t="n"/>
      <c r="C1" s="309" t="n"/>
      <c r="D1" s="309" t="n"/>
      <c r="E1" s="309" t="n"/>
      <c r="F1" s="309" t="n"/>
      <c r="G1" s="309" t="n"/>
      <c r="H1" s="309" t="n"/>
      <c r="I1" s="309" t="n"/>
      <c r="J1" s="309" t="n"/>
      <c r="K1" s="309" t="n"/>
      <c r="L1" s="309" t="n"/>
      <c r="M1" s="309" t="n"/>
      <c r="N1" s="309" t="n"/>
      <c r="O1" s="309" t="n"/>
      <c r="P1" s="317" t="n"/>
      <c r="Q1" s="317" t="n"/>
      <c r="R1" s="317" t="n"/>
      <c r="S1" s="317" t="n"/>
      <c r="T1" s="317" t="n"/>
      <c r="U1" s="317" t="n"/>
      <c r="V1" s="317" t="n"/>
      <c r="W1" s="317" t="n"/>
      <c r="X1" s="317" t="n"/>
      <c r="Y1" s="317" t="n"/>
      <c r="Z1" s="317" t="n"/>
      <c r="AA1" s="317" t="n"/>
      <c r="AB1" s="317" t="n"/>
      <c r="AC1" s="317" t="n"/>
      <c r="AD1" s="317" t="n"/>
      <c r="AE1" s="317" t="n"/>
      <c r="AF1" s="317" t="n"/>
      <c r="AG1" s="317" t="n"/>
      <c r="AH1" s="317" t="n"/>
      <c r="AI1" s="317" t="n"/>
      <c r="AJ1" s="317" t="n"/>
      <c r="AK1" s="317" t="n"/>
      <c r="AL1" s="317" t="n"/>
    </row>
    <row r="2" ht="33.75" customHeight="1" s="141">
      <c r="A2" s="318" t="inlineStr">
        <is>
          <t>SUGGESTED JUMP →</t>
        </is>
      </c>
      <c r="B2" s="309" t="n"/>
      <c r="C2" s="309" t="n"/>
      <c r="D2" s="223">
        <f>IFERROR(INDEX($A$30:$A$37,MATCH(MIN($L$30:$L$37),$L$30:$L$37,0)),"")</f>
        <v/>
      </c>
      <c r="E2" s="309" t="n"/>
      <c r="F2" s="318" t="inlineStr">
        <is>
          <t>Vel:</t>
        </is>
      </c>
      <c r="G2" s="158">
        <f>IFERROR(INDEX($I$16:$I$25,MATCH(INDEX($A$30:$A$37,MATCH(MIN($L$30:$L$37),$L$30:$L$37,0)),$B$16:$B$25,0)),"")</f>
        <v/>
      </c>
      <c r="H2" s="309" t="n"/>
      <c r="I2" s="318" t="inlineStr">
        <is>
          <t>SD:</t>
        </is>
      </c>
      <c r="J2" s="159">
        <f>IFERROR(INDEX($K$16:$K$25,MATCH(INDEX($A$30:$A$37,MATCH(MIN($L$30:$L$37),$L$30:$L$37,0)),$B$16:$B$25,0)),"")</f>
        <v/>
      </c>
      <c r="K2" s="318" t="inlineStr">
        <is>
          <t>MR:</t>
        </is>
      </c>
      <c r="L2" s="160">
        <f>IFERROR(INDEX($F$30:$F$37,MATCH(MIN($L$30:$L$37),$L$30:$L$37,0)),"")</f>
        <v/>
      </c>
      <c r="M2" s="318" t="n"/>
      <c r="N2" s="156">
        <f>IFERROR(INDEX($O$30:$O$37,MATCH(MIN($L$30:$L$37),$L$30:$L$37,0)),"")</f>
        <v/>
      </c>
      <c r="O2" s="161">
        <f>INDEX($O$30:$O$37,MATCH(MIN($L$30:$L$37),$L$30:$L$37,0))</f>
        <v/>
      </c>
      <c r="P2" s="317" t="n"/>
      <c r="Q2" s="317" t="n"/>
      <c r="R2" s="317" t="n"/>
      <c r="S2" s="317" t="n"/>
      <c r="T2" s="317" t="n"/>
      <c r="U2" s="317" t="n"/>
      <c r="V2" s="317" t="n"/>
      <c r="W2" s="317" t="n"/>
      <c r="X2" s="317" t="n"/>
      <c r="Y2" s="317" t="n"/>
      <c r="Z2" s="317" t="n"/>
      <c r="AA2" s="317" t="n"/>
      <c r="AB2" s="317" t="n"/>
      <c r="AC2" s="317" t="n"/>
      <c r="AD2" s="317" t="n"/>
      <c r="AE2" s="317" t="n"/>
      <c r="AF2" s="317" t="n"/>
      <c r="AG2" s="317" t="n"/>
      <c r="AH2" s="317" t="n"/>
      <c r="AI2" s="317" t="n"/>
      <c r="AJ2" s="317" t="n"/>
      <c r="AK2" s="317" t="n"/>
      <c r="AL2" s="317" t="n"/>
    </row>
    <row r="3" ht="3.75" customHeight="1" s="141">
      <c r="A3" s="317" t="n"/>
      <c r="B3" s="317" t="n"/>
      <c r="C3" s="317" t="n"/>
      <c r="D3" s="317" t="n"/>
      <c r="E3" s="317" t="n"/>
      <c r="F3" s="317" t="n"/>
      <c r="G3" s="317" t="n"/>
      <c r="H3" s="317" t="n"/>
      <c r="I3" s="317" t="n"/>
      <c r="J3" s="317" t="n"/>
      <c r="K3" s="317" t="n"/>
      <c r="L3" s="317" t="n"/>
      <c r="M3" s="317" t="n"/>
      <c r="N3" s="317" t="n"/>
      <c r="O3" s="317" t="n"/>
      <c r="P3" s="317" t="n"/>
      <c r="Q3" s="317" t="n"/>
      <c r="R3" s="317" t="n"/>
      <c r="S3" s="317" t="n"/>
      <c r="T3" s="317" t="n"/>
      <c r="U3" s="317" t="n"/>
      <c r="V3" s="317" t="n"/>
      <c r="W3" s="317" t="n"/>
      <c r="X3" s="317" t="n"/>
      <c r="Y3" s="317" t="n"/>
      <c r="Z3" s="317" t="n"/>
      <c r="AA3" s="317" t="n"/>
      <c r="AB3" s="317" t="n"/>
      <c r="AC3" s="317" t="n"/>
      <c r="AD3" s="317" t="n"/>
      <c r="AE3" s="317" t="n"/>
      <c r="AF3" s="317" t="n"/>
      <c r="AG3" s="317" t="n"/>
      <c r="AH3" s="317" t="n"/>
      <c r="AI3" s="317" t="n"/>
      <c r="AJ3" s="317" t="n"/>
      <c r="AK3" s="317" t="n"/>
      <c r="AL3" s="317" t="n"/>
    </row>
    <row r="4" ht="24" customHeight="1" s="141">
      <c r="A4" s="319" t="inlineStr">
        <is>
          <t>RIFLE &amp; SHOOTER</t>
        </is>
      </c>
      <c r="B4" s="309" t="n"/>
      <c r="C4" s="309" t="n"/>
      <c r="D4" s="309" t="n"/>
      <c r="E4" s="309" t="n"/>
      <c r="F4" s="309" t="n"/>
      <c r="G4" s="309" t="n"/>
      <c r="H4" s="309" t="n"/>
      <c r="I4" s="309" t="n"/>
      <c r="J4" s="309" t="n"/>
      <c r="K4" s="309" t="n"/>
      <c r="L4" s="309" t="n"/>
      <c r="M4" s="309" t="n"/>
      <c r="N4" s="309" t="n"/>
      <c r="O4" s="309" t="n"/>
      <c r="P4" s="317" t="n"/>
      <c r="Q4" s="317" t="n"/>
      <c r="R4" s="317" t="n"/>
      <c r="S4" s="317" t="n"/>
      <c r="T4" s="317" t="n"/>
      <c r="U4" s="317" t="n"/>
      <c r="V4" s="317" t="n"/>
      <c r="W4" s="317" t="n"/>
      <c r="X4" s="317" t="n"/>
      <c r="Y4" s="317" t="n"/>
      <c r="Z4" s="317" t="n"/>
      <c r="AA4" s="317" t="n"/>
      <c r="AB4" s="317" t="n"/>
      <c r="AC4" s="317" t="n"/>
      <c r="AD4" s="317" t="n"/>
      <c r="AE4" s="317" t="n"/>
      <c r="AF4" s="317" t="n"/>
      <c r="AG4" s="317" t="n"/>
      <c r="AH4" s="317" t="n"/>
      <c r="AI4" s="317" t="n"/>
      <c r="AJ4" s="317" t="n"/>
      <c r="AK4" s="317" t="n"/>
      <c r="AL4" s="317" t="n"/>
    </row>
    <row r="5" ht="31.5" customHeight="1" s="141">
      <c r="A5" s="320" t="inlineStr">
        <is>
          <t>Rifle:</t>
        </is>
      </c>
      <c r="B5" s="321" t="n"/>
      <c r="C5" s="322" t="n"/>
      <c r="D5" s="322" t="n"/>
      <c r="E5" s="323" t="n"/>
      <c r="F5" s="320" t="inlineStr">
        <is>
          <t>Shooter:</t>
        </is>
      </c>
      <c r="G5" s="321" t="n"/>
      <c r="H5" s="322" t="n"/>
      <c r="I5" s="322" t="n"/>
      <c r="J5" s="323" t="n"/>
      <c r="K5" s="320" t="inlineStr">
        <is>
          <t>Cartridge:</t>
        </is>
      </c>
      <c r="L5" s="321" t="n"/>
      <c r="M5" s="322" t="n"/>
      <c r="N5" s="322" t="n"/>
      <c r="O5" s="323" t="n"/>
      <c r="P5" s="317" t="n"/>
      <c r="Q5" s="317" t="n"/>
      <c r="R5" s="317" t="n"/>
      <c r="S5" s="317" t="n"/>
      <c r="T5" s="317" t="n"/>
      <c r="U5" s="317" t="n"/>
      <c r="V5" s="317" t="n"/>
      <c r="W5" s="317" t="n"/>
      <c r="X5" s="317" t="n"/>
      <c r="Y5" s="317" t="n"/>
      <c r="Z5" s="317" t="n"/>
      <c r="AA5" s="317" t="n"/>
      <c r="AB5" s="317" t="n"/>
      <c r="AC5" s="317" t="n"/>
      <c r="AD5" s="317" t="n"/>
      <c r="AE5" s="317" t="n"/>
      <c r="AF5" s="317" t="n"/>
      <c r="AG5" s="317" t="n"/>
      <c r="AH5" s="317" t="n"/>
      <c r="AI5" s="317" t="n"/>
      <c r="AJ5" s="317" t="n"/>
      <c r="AK5" s="317" t="n"/>
      <c r="AL5" s="317" t="n"/>
    </row>
    <row r="6" ht="31.5" customHeight="1" s="141">
      <c r="A6" s="320" t="inlineStr">
        <is>
          <t>Barrel:</t>
        </is>
      </c>
      <c r="B6" s="321" t="n"/>
      <c r="C6" s="322" t="n"/>
      <c r="D6" s="322" t="n"/>
      <c r="E6" s="323" t="n"/>
      <c r="F6" s="320" t="inlineStr">
        <is>
          <t>Optic:</t>
        </is>
      </c>
      <c r="G6" s="321" t="n"/>
      <c r="H6" s="322" t="n"/>
      <c r="I6" s="322" t="n"/>
      <c r="J6" s="323" t="n"/>
      <c r="K6" s="320" t="inlineStr">
        <is>
          <t>Chrono:</t>
        </is>
      </c>
      <c r="L6" s="321" t="n"/>
      <c r="M6" s="322" t="n"/>
      <c r="N6" s="322" t="n"/>
      <c r="O6" s="323" t="n"/>
      <c r="P6" s="317" t="n"/>
      <c r="Q6" s="317" t="n"/>
      <c r="R6" s="317" t="n"/>
      <c r="S6" s="317" t="n"/>
      <c r="T6" s="317" t="n"/>
      <c r="U6" s="317" t="n"/>
      <c r="V6" s="317" t="n"/>
      <c r="W6" s="317" t="n"/>
      <c r="X6" s="317" t="n"/>
      <c r="Y6" s="317" t="n"/>
      <c r="Z6" s="317" t="n"/>
      <c r="AA6" s="317" t="n"/>
      <c r="AB6" s="317" t="n"/>
      <c r="AC6" s="317" t="n"/>
      <c r="AD6" s="317" t="n"/>
      <c r="AE6" s="317" t="n"/>
      <c r="AF6" s="317" t="n"/>
      <c r="AG6" s="317" t="n"/>
      <c r="AH6" s="317" t="n"/>
      <c r="AI6" s="317" t="n"/>
      <c r="AJ6" s="317" t="n"/>
      <c r="AK6" s="317" t="n"/>
      <c r="AL6" s="317" t="n"/>
    </row>
    <row r="7" ht="6" customHeight="1" s="141">
      <c r="A7" s="317" t="n"/>
      <c r="B7" s="317" t="n"/>
      <c r="C7" s="317" t="n"/>
      <c r="D7" s="317" t="n"/>
      <c r="E7" s="317" t="n"/>
      <c r="F7" s="317" t="n"/>
      <c r="G7" s="317" t="n"/>
      <c r="H7" s="317" t="n"/>
      <c r="I7" s="317" t="n"/>
      <c r="J7" s="317" t="n"/>
      <c r="K7" s="317" t="n"/>
      <c r="L7" s="317" t="n"/>
      <c r="M7" s="317" t="n"/>
      <c r="N7" s="317" t="n"/>
      <c r="O7" s="317" t="n"/>
      <c r="P7" s="317" t="n"/>
      <c r="Q7" s="317" t="n"/>
      <c r="R7" s="317" t="n"/>
      <c r="S7" s="317" t="n"/>
      <c r="T7" s="317" t="n"/>
      <c r="U7" s="317" t="n"/>
      <c r="V7" s="317" t="n"/>
      <c r="W7" s="317" t="n"/>
      <c r="X7" s="317" t="n"/>
      <c r="Y7" s="317" t="n"/>
      <c r="Z7" s="317" t="n"/>
      <c r="AA7" s="317" t="n"/>
      <c r="AB7" s="317" t="n"/>
      <c r="AC7" s="317" t="n"/>
      <c r="AD7" s="317" t="n"/>
      <c r="AE7" s="317" t="n"/>
      <c r="AF7" s="317" t="n"/>
      <c r="AG7" s="317" t="n"/>
      <c r="AH7" s="317" t="n"/>
      <c r="AI7" s="317" t="n"/>
      <c r="AJ7" s="317" t="n"/>
      <c r="AK7" s="317" t="n"/>
      <c r="AL7" s="317" t="n"/>
    </row>
    <row r="8" ht="24" customHeight="1" s="141">
      <c r="A8" s="324" t="inlineStr">
        <is>
          <t>LOAD COMPONENTS  (constants for this seating-depth test)</t>
        </is>
      </c>
      <c r="B8" s="309" t="n"/>
      <c r="C8" s="309" t="n"/>
      <c r="D8" s="309" t="n"/>
      <c r="E8" s="309" t="n"/>
      <c r="F8" s="309" t="n"/>
      <c r="G8" s="309" t="n"/>
      <c r="H8" s="309" t="n"/>
      <c r="I8" s="309" t="n"/>
      <c r="J8" s="309" t="n"/>
      <c r="K8" s="309" t="n"/>
      <c r="L8" s="309" t="n"/>
      <c r="M8" s="309" t="n"/>
      <c r="N8" s="309" t="n"/>
      <c r="O8" s="309" t="n"/>
      <c r="P8" s="317" t="n"/>
      <c r="Q8" s="317" t="n"/>
      <c r="R8" s="317" t="n"/>
      <c r="S8" s="317" t="n"/>
      <c r="T8" s="317" t="n"/>
      <c r="U8" s="317" t="n"/>
      <c r="V8" s="317" t="n"/>
      <c r="W8" s="317" t="n"/>
      <c r="X8" s="317" t="n"/>
      <c r="Y8" s="317" t="n"/>
      <c r="Z8" s="317" t="n"/>
      <c r="AA8" s="317" t="n"/>
      <c r="AB8" s="317" t="n"/>
      <c r="AC8" s="317" t="n"/>
      <c r="AD8" s="317" t="n"/>
      <c r="AE8" s="317" t="n"/>
      <c r="AF8" s="317" t="n"/>
      <c r="AG8" s="317" t="n"/>
      <c r="AH8" s="317" t="n"/>
      <c r="AI8" s="317" t="n"/>
      <c r="AJ8" s="317" t="n"/>
      <c r="AK8" s="317" t="n"/>
      <c r="AL8" s="317" t="n"/>
    </row>
    <row r="9" ht="31.5" customHeight="1" s="141">
      <c r="A9" s="325" t="inlineStr">
        <is>
          <t>Bullet:</t>
        </is>
      </c>
      <c r="B9" s="326" t="n"/>
      <c r="C9" s="322" t="n"/>
      <c r="D9" s="323" t="n"/>
      <c r="E9" s="325" t="inlineStr">
        <is>
          <t>Powder:</t>
        </is>
      </c>
      <c r="F9" s="169">
        <f>IFERROR(LOOKUP(2,1/(GarminSessions!$C$2:$C$200&lt;&gt;""),GarminSessions!$C$2:$C$200),"")</f>
        <v/>
      </c>
      <c r="G9" s="322" t="n"/>
      <c r="H9" s="323" t="n"/>
      <c r="I9" s="325" t="inlineStr">
        <is>
          <t>Primer:</t>
        </is>
      </c>
      <c r="J9" s="326" t="n"/>
      <c r="K9" s="323" t="n"/>
      <c r="L9" s="325" t="inlineStr">
        <is>
          <t>Brass:</t>
        </is>
      </c>
      <c r="M9" s="326" t="n"/>
      <c r="N9" s="322" t="n"/>
      <c r="O9" s="323" t="n"/>
      <c r="P9" s="317" t="n"/>
      <c r="Q9" s="317" t="n"/>
      <c r="R9" s="317" t="n"/>
      <c r="S9" s="317" t="n"/>
      <c r="T9" s="317" t="n"/>
      <c r="U9" s="317" t="n"/>
      <c r="V9" s="317" t="n"/>
      <c r="W9" s="317" t="n"/>
      <c r="X9" s="317" t="n"/>
      <c r="Y9" s="317" t="n"/>
      <c r="Z9" s="317" t="n"/>
      <c r="AA9" s="317" t="n"/>
      <c r="AB9" s="317" t="n"/>
      <c r="AC9" s="317" t="n"/>
      <c r="AD9" s="317" t="n"/>
      <c r="AE9" s="317" t="n"/>
      <c r="AF9" s="317" t="n"/>
      <c r="AG9" s="317" t="n"/>
      <c r="AH9" s="317" t="n"/>
      <c r="AI9" s="317" t="n"/>
      <c r="AJ9" s="317" t="n"/>
      <c r="AK9" s="317" t="n"/>
      <c r="AL9" s="317" t="n"/>
    </row>
    <row r="10" ht="31.5" customHeight="1" s="141">
      <c r="A10" s="325" t="inlineStr">
        <is>
          <t>Charge (gr):</t>
        </is>
      </c>
      <c r="B10" s="224">
        <f>Charts!B3</f>
        <v/>
      </c>
      <c r="C10" s="322" t="n"/>
      <c r="D10" s="322" t="n"/>
      <c r="E10" s="323" t="n"/>
      <c r="F10" s="325" t="inlineStr">
        <is>
          <t>Dist→Lands:</t>
        </is>
      </c>
      <c r="G10" s="327" t="n"/>
      <c r="H10" s="322" t="n"/>
      <c r="I10" s="322" t="n"/>
      <c r="J10" s="323" t="n"/>
      <c r="K10" s="325" t="inlineStr">
        <is>
          <t>Dist (yd):</t>
        </is>
      </c>
      <c r="L10" s="329" t="n"/>
      <c r="M10" s="322" t="n"/>
      <c r="N10" s="322" t="n"/>
      <c r="O10" s="323" t="n"/>
      <c r="P10" s="317" t="n"/>
      <c r="Q10" s="317" t="n"/>
      <c r="R10" s="317" t="n"/>
      <c r="S10" s="317" t="n"/>
      <c r="T10" s="317" t="n"/>
      <c r="U10" s="317" t="n"/>
      <c r="V10" s="317" t="n"/>
      <c r="W10" s="317" t="n"/>
      <c r="X10" s="317" t="n"/>
      <c r="Y10" s="317" t="n"/>
      <c r="Z10" s="317" t="n"/>
      <c r="AA10" s="317" t="n"/>
      <c r="AB10" s="317" t="n"/>
      <c r="AC10" s="317" t="n"/>
      <c r="AD10" s="317" t="n"/>
      <c r="AE10" s="317" t="n"/>
      <c r="AF10" s="317" t="n"/>
      <c r="AG10" s="317" t="n"/>
      <c r="AH10" s="317" t="n"/>
      <c r="AI10" s="317" t="n"/>
      <c r="AJ10" s="317" t="n"/>
      <c r="AK10" s="317" t="n"/>
      <c r="AL10" s="317" t="n"/>
    </row>
    <row r="11" ht="6" customHeight="1" s="141">
      <c r="A11" s="317" t="n"/>
      <c r="B11" s="317" t="n"/>
      <c r="C11" s="317" t="n"/>
      <c r="D11" s="317" t="n"/>
      <c r="E11" s="317" t="n"/>
      <c r="F11" s="317" t="n"/>
      <c r="G11" s="317" t="n"/>
      <c r="H11" s="317" t="n"/>
      <c r="I11" s="317" t="n"/>
      <c r="J11" s="317" t="n"/>
      <c r="K11" s="317" t="n"/>
      <c r="L11" s="317" t="n"/>
      <c r="M11" s="317" t="n"/>
      <c r="N11" s="317" t="n"/>
      <c r="O11" s="317" t="n"/>
      <c r="P11" s="317" t="n"/>
      <c r="Q11" s="317" t="n"/>
      <c r="R11" s="317" t="n"/>
      <c r="S11" s="317" t="n"/>
      <c r="T11" s="317" t="n"/>
      <c r="U11" s="317" t="n"/>
      <c r="V11" s="317" t="n"/>
      <c r="W11" s="317" t="n"/>
      <c r="X11" s="317" t="n"/>
      <c r="Y11" s="317" t="n"/>
      <c r="Z11" s="317" t="n"/>
      <c r="AA11" s="317" t="n"/>
      <c r="AB11" s="317" t="n"/>
      <c r="AC11" s="317" t="n"/>
      <c r="AD11" s="317" t="n"/>
      <c r="AE11" s="317" t="n"/>
      <c r="AF11" s="317" t="n"/>
      <c r="AG11" s="317" t="n"/>
      <c r="AH11" s="317" t="n"/>
      <c r="AI11" s="317" t="n"/>
      <c r="AJ11" s="317" t="n"/>
      <c r="AK11" s="317" t="n"/>
      <c r="AL11" s="317" t="n"/>
    </row>
    <row r="12" ht="24" customHeight="1" s="141">
      <c r="A12" s="324" t="inlineStr">
        <is>
          <t>TEST SESSION  (date / conditions)</t>
        </is>
      </c>
      <c r="B12" s="309" t="n"/>
      <c r="C12" s="309" t="n"/>
      <c r="D12" s="309" t="n"/>
      <c r="E12" s="309" t="n"/>
      <c r="F12" s="309" t="n"/>
      <c r="G12" s="309" t="n"/>
      <c r="H12" s="309" t="n"/>
      <c r="I12" s="309" t="n"/>
      <c r="J12" s="309" t="n"/>
      <c r="K12" s="309" t="n"/>
      <c r="L12" s="309" t="n"/>
      <c r="M12" s="309" t="n"/>
      <c r="N12" s="309" t="n"/>
      <c r="O12" s="309" t="n"/>
      <c r="P12" s="317" t="n"/>
      <c r="Q12" s="317" t="n"/>
      <c r="R12" s="317" t="n"/>
      <c r="S12" s="317" t="n"/>
      <c r="T12" s="317" t="n"/>
      <c r="U12" s="317" t="n"/>
      <c r="V12" s="317" t="n"/>
      <c r="W12" s="317" t="n"/>
      <c r="X12" s="317" t="n"/>
      <c r="Y12" s="317" t="n"/>
      <c r="Z12" s="317" t="n"/>
      <c r="AA12" s="317" t="n"/>
      <c r="AB12" s="317" t="n"/>
      <c r="AC12" s="317" t="n"/>
      <c r="AD12" s="317" t="n"/>
      <c r="AE12" s="317" t="n"/>
      <c r="AF12" s="317" t="n"/>
      <c r="AG12" s="317" t="n"/>
      <c r="AH12" s="317" t="n"/>
      <c r="AI12" s="317" t="n"/>
      <c r="AJ12" s="317" t="n"/>
      <c r="AK12" s="317" t="n"/>
      <c r="AL12" s="317" t="n"/>
    </row>
    <row r="13" ht="31.5" customHeight="1" s="141">
      <c r="A13" s="330" t="inlineStr">
        <is>
          <t>Date:</t>
        </is>
      </c>
      <c r="B13" s="331" t="n"/>
      <c r="C13" s="322" t="n"/>
      <c r="D13" s="322" t="n"/>
      <c r="E13" s="323" t="n"/>
      <c r="F13" s="330" t="inlineStr">
        <is>
          <t>Temp (°F):</t>
        </is>
      </c>
      <c r="G13" s="332" t="n"/>
      <c r="H13" s="322" t="n"/>
      <c r="I13" s="322" t="n"/>
      <c r="J13" s="323" t="n"/>
      <c r="K13" s="330" t="inlineStr">
        <is>
          <t>Notes:</t>
        </is>
      </c>
      <c r="L13" s="331" t="n"/>
      <c r="M13" s="322" t="n"/>
      <c r="N13" s="322" t="n"/>
      <c r="O13" s="323" t="n"/>
      <c r="P13" s="317" t="n"/>
      <c r="Q13" s="317" t="n"/>
      <c r="R13" s="317" t="n"/>
      <c r="S13" s="317" t="n"/>
      <c r="T13" s="317" t="n"/>
      <c r="U13" s="317" t="n"/>
      <c r="V13" s="317" t="n"/>
      <c r="W13" s="317" t="n"/>
      <c r="X13" s="317" t="n"/>
      <c r="Y13" s="317" t="n"/>
      <c r="Z13" s="317" t="n"/>
      <c r="AA13" s="317" t="n"/>
      <c r="AB13" s="317" t="n"/>
      <c r="AC13" s="317" t="n"/>
      <c r="AD13" s="317" t="n"/>
      <c r="AE13" s="317" t="n"/>
      <c r="AF13" s="317" t="n"/>
      <c r="AG13" s="317" t="n"/>
      <c r="AH13" s="317" t="n"/>
      <c r="AI13" s="317" t="n"/>
      <c r="AJ13" s="317" t="n"/>
      <c r="AK13" s="317" t="n"/>
      <c r="AL13" s="317" t="n"/>
    </row>
    <row r="14" ht="7.5" customHeight="1" s="141">
      <c r="A14" s="317" t="n"/>
      <c r="B14" s="317" t="n"/>
      <c r="C14" s="317" t="n"/>
      <c r="D14" s="317" t="n"/>
      <c r="E14" s="317" t="n"/>
      <c r="F14" s="317" t="n"/>
      <c r="G14" s="317" t="n"/>
      <c r="H14" s="317" t="n"/>
      <c r="I14" s="317" t="n"/>
      <c r="J14" s="317" t="n"/>
      <c r="K14" s="317" t="n"/>
      <c r="L14" s="317" t="n"/>
      <c r="M14" s="317" t="n"/>
      <c r="N14" s="317" t="n"/>
      <c r="O14" s="317" t="n"/>
      <c r="P14" s="317" t="n"/>
      <c r="Q14" s="317" t="n"/>
      <c r="R14" s="317" t="n"/>
      <c r="S14" s="317" t="n"/>
      <c r="T14" s="317" t="n"/>
      <c r="U14" s="317" t="n"/>
      <c r="V14" s="317" t="n"/>
      <c r="W14" s="317" t="n"/>
      <c r="X14" s="317" t="n"/>
      <c r="Y14" s="317" t="n"/>
      <c r="Z14" s="317" t="n"/>
      <c r="AA14" s="317" t="n"/>
      <c r="AB14" s="317" t="n"/>
      <c r="AC14" s="317" t="n"/>
      <c r="AD14" s="317" t="n"/>
      <c r="AE14" s="317" t="n"/>
      <c r="AF14" s="317" t="n"/>
      <c r="AG14" s="317" t="n"/>
      <c r="AH14" s="317" t="n"/>
      <c r="AI14" s="317" t="n"/>
      <c r="AJ14" s="317" t="n"/>
      <c r="AK14" s="317" t="n"/>
      <c r="AL14" s="317" t="n"/>
    </row>
    <row r="15" ht="36" customHeight="1" s="141">
      <c r="A15" s="333" t="inlineStr">
        <is>
          <t>Test #</t>
        </is>
      </c>
      <c r="B15" s="333" t="inlineStr">
        <is>
          <t>Jump (in)</t>
        </is>
      </c>
      <c r="C15" s="333" t="inlineStr">
        <is>
          <t>CBTO</t>
        </is>
      </c>
      <c r="D15" s="333" t="inlineStr">
        <is>
          <t>Shot 1</t>
        </is>
      </c>
      <c r="E15" s="333" t="inlineStr">
        <is>
          <t>Shot 2</t>
        </is>
      </c>
      <c r="F15" s="333" t="inlineStr">
        <is>
          <t>Shot 3</t>
        </is>
      </c>
      <c r="G15" s="333" t="inlineStr">
        <is>
          <t>Shot 4</t>
        </is>
      </c>
      <c r="H15" s="333" t="inlineStr">
        <is>
          <t>Shot 5</t>
        </is>
      </c>
      <c r="I15" s="333" t="inlineStr">
        <is>
          <t>Avg Vel</t>
        </is>
      </c>
      <c r="J15" s="333" t="inlineStr">
        <is>
          <t>ES</t>
        </is>
      </c>
      <c r="K15" s="333" t="inlineStr">
        <is>
          <t>SD</t>
        </is>
      </c>
      <c r="L15" s="333" t="inlineStr">
        <is>
          <t>Group (in)</t>
        </is>
      </c>
      <c r="M15" s="333" t="inlineStr">
        <is>
          <t>Vertical (in)</t>
        </is>
      </c>
      <c r="N15" s="333" t="inlineStr">
        <is>
          <t>Mean Radius (in)</t>
        </is>
      </c>
      <c r="O15" s="333" t="inlineStr">
        <is>
          <t>Notes</t>
        </is>
      </c>
      <c r="P15" s="317" t="n"/>
      <c r="Q15" s="317" t="n"/>
      <c r="R15" s="317" t="n"/>
      <c r="S15" s="317" t="n"/>
      <c r="T15" s="317" t="n"/>
      <c r="U15" s="317" t="n"/>
      <c r="V15" s="317" t="n"/>
      <c r="W15" s="317" t="n"/>
      <c r="X15" s="317" t="n"/>
      <c r="Y15" s="317" t="n"/>
      <c r="Z15" s="317" t="n"/>
      <c r="AA15" s="317" t="n"/>
      <c r="AB15" s="317" t="n"/>
      <c r="AC15" s="317" t="n"/>
      <c r="AD15" s="317" t="n"/>
      <c r="AE15" s="317" t="n"/>
      <c r="AF15" s="317" t="n"/>
      <c r="AG15" s="317" t="n"/>
      <c r="AH15" s="317" t="n"/>
      <c r="AI15" s="317" t="n"/>
      <c r="AJ15" s="317" t="n"/>
      <c r="AK15" s="317" t="n"/>
      <c r="AL15" s="317" t="n"/>
    </row>
    <row r="16" ht="18" customHeight="1" s="141">
      <c r="A16" s="334" t="n">
        <v>1</v>
      </c>
      <c r="B16" s="225">
        <f>IFERROR(LOOKUP(2,1/(GarminSessions!$A$2:$A$200="S1"),GarminSessions!$B$2:$B$200),"")</f>
        <v/>
      </c>
      <c r="C16" s="226">
        <f>$G$10-B16</f>
        <v/>
      </c>
      <c r="D16" s="179">
        <f>IF('Garmin Xero Import'!E17="","",'Garmin Xero Import'!E17)</f>
        <v/>
      </c>
      <c r="E16" s="179">
        <f>IF('Garmin Xero Import'!F17="","",'Garmin Xero Import'!F17)</f>
        <v/>
      </c>
      <c r="F16" s="179">
        <f>IF('Garmin Xero Import'!G17="","",'Garmin Xero Import'!G17)</f>
        <v/>
      </c>
      <c r="G16" s="179">
        <f>IF('Garmin Xero Import'!H17="","",'Garmin Xero Import'!H17)</f>
        <v/>
      </c>
      <c r="H16" s="179">
        <f>IF('Garmin Xero Import'!I17="","",'Garmin Xero Import'!I17)</f>
        <v/>
      </c>
      <c r="I16" s="180">
        <f>IF('Garmin Xero Import'!L17="","",'Garmin Xero Import'!L17)</f>
        <v/>
      </c>
      <c r="J16" s="180">
        <f>IF('Garmin Xero Import'!N17="","",'Garmin Xero Import'!N17)</f>
        <v/>
      </c>
      <c r="K16" s="181">
        <f>IF('Garmin Xero Import'!M17="","",'Garmin Xero Import'!M17)</f>
        <v/>
      </c>
      <c r="L16" s="182">
        <f>IF('BallisticX Import'!D17="","",'BallisticX Import'!D17)</f>
        <v/>
      </c>
      <c r="M16" s="182">
        <f>IF('BallisticX Import'!F17="","",'BallisticX Import'!F17)</f>
        <v/>
      </c>
      <c r="N16" s="182">
        <f>IF('BallisticX Import'!G17="","",'BallisticX Import'!G17)</f>
        <v/>
      </c>
      <c r="O16" s="335" t="n"/>
      <c r="P16" s="317" t="n"/>
      <c r="Q16" s="317" t="n"/>
      <c r="R16" s="317" t="n"/>
      <c r="S16" s="317" t="n"/>
      <c r="T16" s="317" t="n"/>
      <c r="U16" s="317" t="n"/>
      <c r="V16" s="317" t="n"/>
      <c r="W16" s="317" t="n"/>
      <c r="X16" s="317" t="n"/>
      <c r="Y16" s="317" t="n"/>
      <c r="Z16" s="317" t="n"/>
      <c r="AA16" s="317" t="n"/>
      <c r="AB16" s="317" t="n"/>
      <c r="AC16" s="317" t="n"/>
      <c r="AD16" s="317" t="n"/>
      <c r="AE16" s="317" t="n"/>
      <c r="AF16" s="317" t="n"/>
      <c r="AG16" s="317" t="n"/>
      <c r="AH16" s="317" t="n"/>
      <c r="AI16" s="317" t="n"/>
      <c r="AJ16" s="317" t="n"/>
      <c r="AK16" s="317" t="n"/>
      <c r="AL16" s="317" t="n"/>
    </row>
    <row r="17" ht="18" customHeight="1" s="141">
      <c r="A17" s="336" t="n">
        <v>2</v>
      </c>
      <c r="B17" s="227">
        <f>IFERROR(LOOKUP(2,1/(GarminSessions!$A$2:$A$200="S2"),GarminSessions!$B$2:$B$200),"")</f>
        <v/>
      </c>
      <c r="C17" s="228">
        <f>$G$10-B17</f>
        <v/>
      </c>
      <c r="D17" s="186">
        <f>IF('Garmin Xero Import'!E18="","",'Garmin Xero Import'!E18)</f>
        <v/>
      </c>
      <c r="E17" s="186">
        <f>IF('Garmin Xero Import'!F18="","",'Garmin Xero Import'!F18)</f>
        <v/>
      </c>
      <c r="F17" s="186">
        <f>IF('Garmin Xero Import'!G18="","",'Garmin Xero Import'!G18)</f>
        <v/>
      </c>
      <c r="G17" s="186">
        <f>IF('Garmin Xero Import'!H18="","",'Garmin Xero Import'!H18)</f>
        <v/>
      </c>
      <c r="H17" s="186">
        <f>IF('Garmin Xero Import'!I18="","",'Garmin Xero Import'!I18)</f>
        <v/>
      </c>
      <c r="I17" s="187">
        <f>IF('Garmin Xero Import'!L18="","",'Garmin Xero Import'!L18)</f>
        <v/>
      </c>
      <c r="J17" s="187">
        <f>IF('Garmin Xero Import'!N18="","",'Garmin Xero Import'!N18)</f>
        <v/>
      </c>
      <c r="K17" s="188">
        <f>IF('Garmin Xero Import'!M18="","",'Garmin Xero Import'!M18)</f>
        <v/>
      </c>
      <c r="L17" s="189">
        <f>IF('BallisticX Import'!D18="","",'BallisticX Import'!D18)</f>
        <v/>
      </c>
      <c r="M17" s="189">
        <f>IF('BallisticX Import'!F18="","",'BallisticX Import'!F18)</f>
        <v/>
      </c>
      <c r="N17" s="189">
        <f>IF('BallisticX Import'!G18="","",'BallisticX Import'!G18)</f>
        <v/>
      </c>
      <c r="O17" s="337" t="n"/>
      <c r="P17" s="317" t="n"/>
      <c r="Q17" s="317" t="n"/>
      <c r="R17" s="317" t="n"/>
      <c r="S17" s="317" t="n"/>
      <c r="T17" s="317" t="n"/>
      <c r="U17" s="317" t="n"/>
      <c r="V17" s="317" t="n"/>
      <c r="W17" s="317" t="n"/>
      <c r="X17" s="317" t="n"/>
      <c r="Y17" s="317" t="n"/>
      <c r="Z17" s="317" t="n"/>
      <c r="AA17" s="317" t="n"/>
      <c r="AB17" s="317" t="n"/>
      <c r="AC17" s="317" t="n"/>
      <c r="AD17" s="317" t="n"/>
      <c r="AE17" s="317" t="n"/>
      <c r="AF17" s="317" t="n"/>
      <c r="AG17" s="317" t="n"/>
      <c r="AH17" s="317" t="n"/>
      <c r="AI17" s="317" t="n"/>
      <c r="AJ17" s="317" t="n"/>
      <c r="AK17" s="317" t="n"/>
      <c r="AL17" s="317" t="n"/>
    </row>
    <row r="18" ht="18" customHeight="1" s="141">
      <c r="A18" s="334" t="n">
        <v>3</v>
      </c>
      <c r="B18" s="225">
        <f>IFERROR(LOOKUP(2,1/(GarminSessions!$A$2:$A$200="S3"),GarminSessions!$B$2:$B$200),"")</f>
        <v/>
      </c>
      <c r="C18" s="226">
        <f>$G$10-B18</f>
        <v/>
      </c>
      <c r="D18" s="179">
        <f>IF('Garmin Xero Import'!E19="","",'Garmin Xero Import'!E19)</f>
        <v/>
      </c>
      <c r="E18" s="179">
        <f>IF('Garmin Xero Import'!F19="","",'Garmin Xero Import'!F19)</f>
        <v/>
      </c>
      <c r="F18" s="179">
        <f>IF('Garmin Xero Import'!G19="","",'Garmin Xero Import'!G19)</f>
        <v/>
      </c>
      <c r="G18" s="179">
        <f>IF('Garmin Xero Import'!H19="","",'Garmin Xero Import'!H19)</f>
        <v/>
      </c>
      <c r="H18" s="179">
        <f>IF('Garmin Xero Import'!I19="","",'Garmin Xero Import'!I19)</f>
        <v/>
      </c>
      <c r="I18" s="180">
        <f>IF('Garmin Xero Import'!L19="","",'Garmin Xero Import'!L19)</f>
        <v/>
      </c>
      <c r="J18" s="180">
        <f>IF('Garmin Xero Import'!N19="","",'Garmin Xero Import'!N19)</f>
        <v/>
      </c>
      <c r="K18" s="181">
        <f>IF('Garmin Xero Import'!M19="","",'Garmin Xero Import'!M19)</f>
        <v/>
      </c>
      <c r="L18" s="182">
        <f>IF('BallisticX Import'!D19="","",'BallisticX Import'!D19)</f>
        <v/>
      </c>
      <c r="M18" s="182">
        <f>IF('BallisticX Import'!F19="","",'BallisticX Import'!F19)</f>
        <v/>
      </c>
      <c r="N18" s="182">
        <f>IF('BallisticX Import'!G19="","",'BallisticX Import'!G19)</f>
        <v/>
      </c>
      <c r="O18" s="335" t="n"/>
      <c r="P18" s="317" t="n"/>
      <c r="Q18" s="317" t="n"/>
      <c r="R18" s="317" t="n"/>
      <c r="S18" s="317" t="n"/>
      <c r="T18" s="317" t="n"/>
      <c r="U18" s="317" t="n"/>
      <c r="V18" s="317" t="n"/>
      <c r="W18" s="317" t="n"/>
      <c r="X18" s="317" t="n"/>
      <c r="Y18" s="317" t="n"/>
      <c r="Z18" s="317" t="n"/>
      <c r="AA18" s="317" t="n"/>
      <c r="AB18" s="317" t="n"/>
      <c r="AC18" s="317" t="n"/>
      <c r="AD18" s="317" t="n"/>
      <c r="AE18" s="317" t="n"/>
      <c r="AF18" s="317" t="n"/>
      <c r="AG18" s="317" t="n"/>
      <c r="AH18" s="317" t="n"/>
      <c r="AI18" s="317" t="n"/>
      <c r="AJ18" s="317" t="n"/>
      <c r="AK18" s="317" t="n"/>
      <c r="AL18" s="317" t="n"/>
    </row>
    <row r="19" ht="18" customHeight="1" s="141">
      <c r="A19" s="336" t="n">
        <v>4</v>
      </c>
      <c r="B19" s="227">
        <f>IFERROR(LOOKUP(2,1/(GarminSessions!$A$2:$A$200="S4"),GarminSessions!$B$2:$B$200),"")</f>
        <v/>
      </c>
      <c r="C19" s="228">
        <f>$G$10-B19</f>
        <v/>
      </c>
      <c r="D19" s="186">
        <f>IF('Garmin Xero Import'!E20="","",'Garmin Xero Import'!E20)</f>
        <v/>
      </c>
      <c r="E19" s="186">
        <f>IF('Garmin Xero Import'!F20="","",'Garmin Xero Import'!F20)</f>
        <v/>
      </c>
      <c r="F19" s="186">
        <f>IF('Garmin Xero Import'!G20="","",'Garmin Xero Import'!G20)</f>
        <v/>
      </c>
      <c r="G19" s="186">
        <f>IF('Garmin Xero Import'!H20="","",'Garmin Xero Import'!H20)</f>
        <v/>
      </c>
      <c r="H19" s="186">
        <f>IF('Garmin Xero Import'!I20="","",'Garmin Xero Import'!I20)</f>
        <v/>
      </c>
      <c r="I19" s="187">
        <f>IF('Garmin Xero Import'!L20="","",'Garmin Xero Import'!L20)</f>
        <v/>
      </c>
      <c r="J19" s="187">
        <f>IF('Garmin Xero Import'!N20="","",'Garmin Xero Import'!N20)</f>
        <v/>
      </c>
      <c r="K19" s="188">
        <f>IF('Garmin Xero Import'!M20="","",'Garmin Xero Import'!M20)</f>
        <v/>
      </c>
      <c r="L19" s="189">
        <f>IF('BallisticX Import'!D20="","",'BallisticX Import'!D20)</f>
        <v/>
      </c>
      <c r="M19" s="189">
        <f>IF('BallisticX Import'!F20="","",'BallisticX Import'!F20)</f>
        <v/>
      </c>
      <c r="N19" s="189">
        <f>IF('BallisticX Import'!G20="","",'BallisticX Import'!G20)</f>
        <v/>
      </c>
      <c r="O19" s="337" t="n"/>
      <c r="P19" s="317" t="n"/>
      <c r="Q19" s="317" t="n"/>
      <c r="R19" s="317" t="n"/>
      <c r="S19" s="317" t="n"/>
      <c r="T19" s="317" t="n"/>
      <c r="U19" s="317" t="n"/>
      <c r="V19" s="317" t="n"/>
      <c r="W19" s="317" t="n"/>
      <c r="X19" s="317" t="n"/>
      <c r="Y19" s="317" t="n"/>
      <c r="Z19" s="317" t="n"/>
      <c r="AA19" s="317" t="n"/>
      <c r="AB19" s="317" t="n"/>
      <c r="AC19" s="317" t="n"/>
      <c r="AD19" s="317" t="n"/>
      <c r="AE19" s="317" t="n"/>
      <c r="AF19" s="317" t="n"/>
      <c r="AG19" s="317" t="n"/>
      <c r="AH19" s="317" t="n"/>
      <c r="AI19" s="317" t="n"/>
      <c r="AJ19" s="317" t="n"/>
      <c r="AK19" s="317" t="n"/>
      <c r="AL19" s="317" t="n"/>
    </row>
    <row r="20" ht="18" customHeight="1" s="141">
      <c r="A20" s="334" t="n">
        <v>5</v>
      </c>
      <c r="B20" s="225">
        <f>IFERROR(LOOKUP(2,1/(GarminSessions!$A$2:$A$200="S5"),GarminSessions!$B$2:$B$200),"")</f>
        <v/>
      </c>
      <c r="C20" s="226">
        <f>$G$10-B20</f>
        <v/>
      </c>
      <c r="D20" s="179">
        <f>IF('Garmin Xero Import'!E21="","",'Garmin Xero Import'!E21)</f>
        <v/>
      </c>
      <c r="E20" s="179">
        <f>IF('Garmin Xero Import'!F21="","",'Garmin Xero Import'!F21)</f>
        <v/>
      </c>
      <c r="F20" s="179">
        <f>IF('Garmin Xero Import'!G21="","",'Garmin Xero Import'!G21)</f>
        <v/>
      </c>
      <c r="G20" s="179">
        <f>IF('Garmin Xero Import'!H21="","",'Garmin Xero Import'!H21)</f>
        <v/>
      </c>
      <c r="H20" s="179">
        <f>IF('Garmin Xero Import'!I21="","",'Garmin Xero Import'!I21)</f>
        <v/>
      </c>
      <c r="I20" s="180">
        <f>IF('Garmin Xero Import'!L21="","",'Garmin Xero Import'!L21)</f>
        <v/>
      </c>
      <c r="J20" s="180">
        <f>IF('Garmin Xero Import'!N21="","",'Garmin Xero Import'!N21)</f>
        <v/>
      </c>
      <c r="K20" s="181">
        <f>IF('Garmin Xero Import'!M21="","",'Garmin Xero Import'!M21)</f>
        <v/>
      </c>
      <c r="L20" s="182">
        <f>IF('BallisticX Import'!D21="","",'BallisticX Import'!D21)</f>
        <v/>
      </c>
      <c r="M20" s="182">
        <f>IF('BallisticX Import'!F21="","",'BallisticX Import'!F21)</f>
        <v/>
      </c>
      <c r="N20" s="182">
        <f>IF('BallisticX Import'!G21="","",'BallisticX Import'!G21)</f>
        <v/>
      </c>
      <c r="O20" s="335" t="n"/>
      <c r="P20" s="317" t="n"/>
      <c r="Q20" s="317" t="n"/>
      <c r="R20" s="317" t="n"/>
      <c r="S20" s="317" t="n"/>
      <c r="T20" s="317" t="n"/>
      <c r="U20" s="317" t="n"/>
      <c r="V20" s="317" t="n"/>
      <c r="W20" s="317" t="n"/>
      <c r="X20" s="317" t="n"/>
      <c r="Y20" s="317" t="n"/>
      <c r="Z20" s="317" t="n"/>
      <c r="AA20" s="317" t="n"/>
      <c r="AB20" s="317" t="n"/>
      <c r="AC20" s="317" t="n"/>
      <c r="AD20" s="317" t="n"/>
      <c r="AE20" s="317" t="n"/>
      <c r="AF20" s="317" t="n"/>
      <c r="AG20" s="317" t="n"/>
      <c r="AH20" s="317" t="n"/>
      <c r="AI20" s="317" t="n"/>
      <c r="AJ20" s="317" t="n"/>
      <c r="AK20" s="317" t="n"/>
      <c r="AL20" s="317" t="n"/>
    </row>
    <row r="21" ht="18" customHeight="1" s="141">
      <c r="A21" s="336" t="n">
        <v>6</v>
      </c>
      <c r="B21" s="227">
        <f>IFERROR(LOOKUP(2,1/(GarminSessions!$A$2:$A$200="S6"),GarminSessions!$B$2:$B$200),"")</f>
        <v/>
      </c>
      <c r="C21" s="228">
        <f>$G$10-B21</f>
        <v/>
      </c>
      <c r="D21" s="186">
        <f>IF('Garmin Xero Import'!E22="","",'Garmin Xero Import'!E22)</f>
        <v/>
      </c>
      <c r="E21" s="186">
        <f>IF('Garmin Xero Import'!F22="","",'Garmin Xero Import'!F22)</f>
        <v/>
      </c>
      <c r="F21" s="186">
        <f>IF('Garmin Xero Import'!G22="","",'Garmin Xero Import'!G22)</f>
        <v/>
      </c>
      <c r="G21" s="186">
        <f>IF('Garmin Xero Import'!H22="","",'Garmin Xero Import'!H22)</f>
        <v/>
      </c>
      <c r="H21" s="186">
        <f>IF('Garmin Xero Import'!I22="","",'Garmin Xero Import'!I22)</f>
        <v/>
      </c>
      <c r="I21" s="187">
        <f>IF('Garmin Xero Import'!L22="","",'Garmin Xero Import'!L22)</f>
        <v/>
      </c>
      <c r="J21" s="187">
        <f>IF('Garmin Xero Import'!N22="","",'Garmin Xero Import'!N22)</f>
        <v/>
      </c>
      <c r="K21" s="188">
        <f>IF('Garmin Xero Import'!M22="","",'Garmin Xero Import'!M22)</f>
        <v/>
      </c>
      <c r="L21" s="189">
        <f>IF('BallisticX Import'!D22="","",'BallisticX Import'!D22)</f>
        <v/>
      </c>
      <c r="M21" s="189">
        <f>IF('BallisticX Import'!F22="","",'BallisticX Import'!F22)</f>
        <v/>
      </c>
      <c r="N21" s="189">
        <f>IF('BallisticX Import'!G22="","",'BallisticX Import'!G22)</f>
        <v/>
      </c>
      <c r="O21" s="337" t="n"/>
      <c r="P21" s="317" t="n"/>
      <c r="Q21" s="317" t="n"/>
      <c r="R21" s="317" t="n"/>
      <c r="S21" s="317" t="n"/>
      <c r="T21" s="317" t="n"/>
      <c r="U21" s="317" t="n"/>
      <c r="V21" s="317" t="n"/>
      <c r="W21" s="317" t="n"/>
      <c r="X21" s="317" t="n"/>
      <c r="Y21" s="317" t="n"/>
      <c r="Z21" s="317" t="n"/>
      <c r="AA21" s="317" t="n"/>
      <c r="AB21" s="317" t="n"/>
      <c r="AC21" s="317" t="n"/>
      <c r="AD21" s="317" t="n"/>
      <c r="AE21" s="317" t="n"/>
      <c r="AF21" s="317" t="n"/>
      <c r="AG21" s="317" t="n"/>
      <c r="AH21" s="317" t="n"/>
      <c r="AI21" s="317" t="n"/>
      <c r="AJ21" s="317" t="n"/>
      <c r="AK21" s="317" t="n"/>
      <c r="AL21" s="317" t="n"/>
    </row>
    <row r="22" ht="18" customHeight="1" s="141">
      <c r="A22" s="334" t="n">
        <v>7</v>
      </c>
      <c r="B22" s="225">
        <f>IFERROR(LOOKUP(2,1/(GarminSessions!$A$2:$A$200="S7"),GarminSessions!$B$2:$B$200),"")</f>
        <v/>
      </c>
      <c r="C22" s="226">
        <f>$G$10-B22</f>
        <v/>
      </c>
      <c r="D22" s="179">
        <f>IF('Garmin Xero Import'!E23="","",'Garmin Xero Import'!E23)</f>
        <v/>
      </c>
      <c r="E22" s="179">
        <f>IF('Garmin Xero Import'!F23="","",'Garmin Xero Import'!F23)</f>
        <v/>
      </c>
      <c r="F22" s="179">
        <f>IF('Garmin Xero Import'!G23="","",'Garmin Xero Import'!G23)</f>
        <v/>
      </c>
      <c r="G22" s="179">
        <f>IF('Garmin Xero Import'!H23="","",'Garmin Xero Import'!H23)</f>
        <v/>
      </c>
      <c r="H22" s="179">
        <f>IF('Garmin Xero Import'!I23="","",'Garmin Xero Import'!I23)</f>
        <v/>
      </c>
      <c r="I22" s="180">
        <f>IF('Garmin Xero Import'!L23="","",'Garmin Xero Import'!L23)</f>
        <v/>
      </c>
      <c r="J22" s="180">
        <f>IF('Garmin Xero Import'!N23="","",'Garmin Xero Import'!N23)</f>
        <v/>
      </c>
      <c r="K22" s="181">
        <f>IF('Garmin Xero Import'!M23="","",'Garmin Xero Import'!M23)</f>
        <v/>
      </c>
      <c r="L22" s="182">
        <f>IF('BallisticX Import'!D23="","",'BallisticX Import'!D23)</f>
        <v/>
      </c>
      <c r="M22" s="182">
        <f>IF('BallisticX Import'!F23="","",'BallisticX Import'!F23)</f>
        <v/>
      </c>
      <c r="N22" s="182">
        <f>IF('BallisticX Import'!G23="","",'BallisticX Import'!G23)</f>
        <v/>
      </c>
      <c r="O22" s="335" t="n"/>
      <c r="P22" s="317" t="n"/>
      <c r="Q22" s="317" t="n"/>
      <c r="R22" s="317" t="n"/>
      <c r="S22" s="317" t="n"/>
      <c r="T22" s="317" t="n"/>
      <c r="U22" s="317" t="n"/>
      <c r="V22" s="317" t="n"/>
      <c r="W22" s="317" t="n"/>
      <c r="X22" s="317" t="n"/>
      <c r="Y22" s="317" t="n"/>
      <c r="Z22" s="317" t="n"/>
      <c r="AA22" s="317" t="n"/>
      <c r="AB22" s="317" t="n"/>
      <c r="AC22" s="317" t="n"/>
      <c r="AD22" s="317" t="n"/>
      <c r="AE22" s="317" t="n"/>
      <c r="AF22" s="317" t="n"/>
      <c r="AG22" s="317" t="n"/>
      <c r="AH22" s="317" t="n"/>
      <c r="AI22" s="317" t="n"/>
      <c r="AJ22" s="317" t="n"/>
      <c r="AK22" s="317" t="n"/>
      <c r="AL22" s="317" t="n"/>
    </row>
    <row r="23" ht="18" customHeight="1" s="141">
      <c r="A23" s="336" t="n">
        <v>8</v>
      </c>
      <c r="B23" s="227">
        <f>IFERROR(LOOKUP(2,1/(GarminSessions!$A$2:$A$200="S8"),GarminSessions!$B$2:$B$200),"")</f>
        <v/>
      </c>
      <c r="C23" s="228">
        <f>$G$10-B23</f>
        <v/>
      </c>
      <c r="D23" s="186">
        <f>IF('Garmin Xero Import'!E24="","",'Garmin Xero Import'!E24)</f>
        <v/>
      </c>
      <c r="E23" s="186">
        <f>IF('Garmin Xero Import'!F24="","",'Garmin Xero Import'!F24)</f>
        <v/>
      </c>
      <c r="F23" s="186">
        <f>IF('Garmin Xero Import'!G24="","",'Garmin Xero Import'!G24)</f>
        <v/>
      </c>
      <c r="G23" s="186">
        <f>IF('Garmin Xero Import'!H24="","",'Garmin Xero Import'!H24)</f>
        <v/>
      </c>
      <c r="H23" s="186">
        <f>IF('Garmin Xero Import'!I24="","",'Garmin Xero Import'!I24)</f>
        <v/>
      </c>
      <c r="I23" s="187">
        <f>IF('Garmin Xero Import'!L24="","",'Garmin Xero Import'!L24)</f>
        <v/>
      </c>
      <c r="J23" s="187">
        <f>IF('Garmin Xero Import'!N24="","",'Garmin Xero Import'!N24)</f>
        <v/>
      </c>
      <c r="K23" s="188">
        <f>IF('Garmin Xero Import'!M24="","",'Garmin Xero Import'!M24)</f>
        <v/>
      </c>
      <c r="L23" s="189">
        <f>IF('BallisticX Import'!D24="","",'BallisticX Import'!D24)</f>
        <v/>
      </c>
      <c r="M23" s="189">
        <f>IF('BallisticX Import'!F24="","",'BallisticX Import'!F24)</f>
        <v/>
      </c>
      <c r="N23" s="189">
        <f>IF('BallisticX Import'!G24="","",'BallisticX Import'!G24)</f>
        <v/>
      </c>
      <c r="O23" s="337" t="n"/>
      <c r="P23" s="317" t="n"/>
      <c r="Q23" s="317" t="n"/>
      <c r="R23" s="317" t="n"/>
      <c r="S23" s="317" t="n"/>
      <c r="T23" s="317" t="n"/>
      <c r="U23" s="317" t="n"/>
      <c r="V23" s="317" t="n"/>
      <c r="W23" s="317" t="n"/>
      <c r="X23" s="317" t="n"/>
      <c r="Y23" s="317" t="n"/>
      <c r="Z23" s="317" t="n"/>
      <c r="AA23" s="317" t="n"/>
      <c r="AB23" s="317" t="n"/>
      <c r="AC23" s="317" t="n"/>
      <c r="AD23" s="317" t="n"/>
      <c r="AE23" s="317" t="n"/>
      <c r="AF23" s="317" t="n"/>
      <c r="AG23" s="317" t="n"/>
      <c r="AH23" s="317" t="n"/>
      <c r="AI23" s="317" t="n"/>
      <c r="AJ23" s="317" t="n"/>
      <c r="AK23" s="317" t="n"/>
      <c r="AL23" s="317" t="n"/>
    </row>
    <row r="24" ht="18" customHeight="1" s="141">
      <c r="A24" s="334" t="n">
        <v>9</v>
      </c>
      <c r="B24" s="225">
        <f>IFERROR(LOOKUP(2,1/(GarminSessions!$A$2:$A$200="S9"),GarminSessions!$B$2:$B$200),"")</f>
        <v/>
      </c>
      <c r="C24" s="226">
        <f>$G$10-B24</f>
        <v/>
      </c>
      <c r="D24" s="179">
        <f>IF('Garmin Xero Import'!E25="","",'Garmin Xero Import'!E25)</f>
        <v/>
      </c>
      <c r="E24" s="179">
        <f>IF('Garmin Xero Import'!F25="","",'Garmin Xero Import'!F25)</f>
        <v/>
      </c>
      <c r="F24" s="179">
        <f>IF('Garmin Xero Import'!G25="","",'Garmin Xero Import'!G25)</f>
        <v/>
      </c>
      <c r="G24" s="179">
        <f>IF('Garmin Xero Import'!H25="","",'Garmin Xero Import'!H25)</f>
        <v/>
      </c>
      <c r="H24" s="179">
        <f>IF('Garmin Xero Import'!I25="","",'Garmin Xero Import'!I25)</f>
        <v/>
      </c>
      <c r="I24" s="180">
        <f>IF('Garmin Xero Import'!L25="","",'Garmin Xero Import'!L25)</f>
        <v/>
      </c>
      <c r="J24" s="180">
        <f>IF('Garmin Xero Import'!N25="","",'Garmin Xero Import'!N25)</f>
        <v/>
      </c>
      <c r="K24" s="181">
        <f>IF('Garmin Xero Import'!M25="","",'Garmin Xero Import'!M25)</f>
        <v/>
      </c>
      <c r="L24" s="182">
        <f>IF('BallisticX Import'!D25="","",'BallisticX Import'!D25)</f>
        <v/>
      </c>
      <c r="M24" s="182">
        <f>IF('BallisticX Import'!F25="","",'BallisticX Import'!F25)</f>
        <v/>
      </c>
      <c r="N24" s="182">
        <f>IF('BallisticX Import'!G25="","",'BallisticX Import'!G25)</f>
        <v/>
      </c>
      <c r="O24" s="335" t="n"/>
      <c r="P24" s="317" t="n"/>
      <c r="Q24" s="317" t="n"/>
      <c r="R24" s="317" t="n"/>
      <c r="S24" s="317" t="n"/>
      <c r="T24" s="317" t="n"/>
      <c r="U24" s="317" t="n"/>
      <c r="V24" s="317" t="n"/>
      <c r="W24" s="317" t="n"/>
      <c r="X24" s="317" t="n"/>
      <c r="Y24" s="317" t="n"/>
      <c r="Z24" s="317" t="n"/>
      <c r="AA24" s="317" t="n"/>
      <c r="AB24" s="317" t="n"/>
      <c r="AC24" s="317" t="n"/>
      <c r="AD24" s="317" t="n"/>
      <c r="AE24" s="317" t="n"/>
      <c r="AF24" s="317" t="n"/>
      <c r="AG24" s="317" t="n"/>
      <c r="AH24" s="317" t="n"/>
      <c r="AI24" s="317" t="n"/>
      <c r="AJ24" s="317" t="n"/>
      <c r="AK24" s="317" t="n"/>
      <c r="AL24" s="317" t="n"/>
    </row>
    <row r="25" ht="18" customHeight="1" s="141">
      <c r="A25" s="336" t="n">
        <v>10</v>
      </c>
      <c r="B25" s="227">
        <f>IFERROR(LOOKUP(2,1/(GarminSessions!$A$2:$A$200="S10"),GarminSessions!$B$2:$B$200),"")</f>
        <v/>
      </c>
      <c r="C25" s="228">
        <f>$G$10-B25</f>
        <v/>
      </c>
      <c r="D25" s="186">
        <f>IF('Garmin Xero Import'!E26="","",'Garmin Xero Import'!E26)</f>
        <v/>
      </c>
      <c r="E25" s="186">
        <f>IF('Garmin Xero Import'!F26="","",'Garmin Xero Import'!F26)</f>
        <v/>
      </c>
      <c r="F25" s="186">
        <f>IF('Garmin Xero Import'!G26="","",'Garmin Xero Import'!G26)</f>
        <v/>
      </c>
      <c r="G25" s="186">
        <f>IF('Garmin Xero Import'!H26="","",'Garmin Xero Import'!H26)</f>
        <v/>
      </c>
      <c r="H25" s="186">
        <f>IF('Garmin Xero Import'!I26="","",'Garmin Xero Import'!I26)</f>
        <v/>
      </c>
      <c r="I25" s="187">
        <f>IF('Garmin Xero Import'!L26="","",'Garmin Xero Import'!L26)</f>
        <v/>
      </c>
      <c r="J25" s="187">
        <f>IF('Garmin Xero Import'!N26="","",'Garmin Xero Import'!N26)</f>
        <v/>
      </c>
      <c r="K25" s="188">
        <f>IF('Garmin Xero Import'!M26="","",'Garmin Xero Import'!M26)</f>
        <v/>
      </c>
      <c r="L25" s="189">
        <f>IF('BallisticX Import'!D26="","",'BallisticX Import'!D26)</f>
        <v/>
      </c>
      <c r="M25" s="189">
        <f>IF('BallisticX Import'!F26="","",'BallisticX Import'!F26)</f>
        <v/>
      </c>
      <c r="N25" s="189">
        <f>IF('BallisticX Import'!G26="","",'BallisticX Import'!G26)</f>
        <v/>
      </c>
      <c r="O25" s="337" t="n"/>
      <c r="P25" s="317" t="n"/>
      <c r="Q25" s="317" t="n"/>
      <c r="R25" s="317" t="n"/>
      <c r="S25" s="317" t="n"/>
      <c r="T25" s="317" t="n"/>
      <c r="U25" s="317" t="n"/>
      <c r="V25" s="317" t="n"/>
      <c r="W25" s="317" t="n"/>
      <c r="X25" s="317" t="n"/>
      <c r="Y25" s="317" t="n"/>
      <c r="Z25" s="317" t="n"/>
      <c r="AA25" s="317" t="n"/>
      <c r="AB25" s="317" t="n"/>
      <c r="AC25" s="317" t="n"/>
      <c r="AD25" s="317" t="n"/>
      <c r="AE25" s="317" t="n"/>
      <c r="AF25" s="317" t="n"/>
      <c r="AG25" s="317" t="n"/>
      <c r="AH25" s="317" t="n"/>
      <c r="AI25" s="317" t="n"/>
      <c r="AJ25" s="317" t="n"/>
      <c r="AK25" s="317" t="n"/>
      <c r="AL25" s="317" t="n"/>
    </row>
    <row r="26" ht="7.5" customHeight="1" s="141">
      <c r="A26" s="317" t="n"/>
      <c r="B26" s="317" t="n"/>
      <c r="C26" s="317" t="n"/>
      <c r="D26" s="317" t="n"/>
      <c r="E26" s="317" t="n"/>
      <c r="F26" s="317" t="n"/>
      <c r="G26" s="317" t="n"/>
      <c r="H26" s="317" t="n"/>
      <c r="I26" s="317" t="n"/>
      <c r="J26" s="317" t="n"/>
      <c r="K26" s="317" t="n"/>
      <c r="L26" s="317" t="n"/>
      <c r="M26" s="317" t="n"/>
      <c r="N26" s="317" t="n"/>
      <c r="O26" s="317" t="n"/>
      <c r="P26" s="317" t="n"/>
      <c r="Q26" s="317" t="n"/>
      <c r="R26" s="317" t="n"/>
      <c r="S26" s="317" t="n"/>
      <c r="T26" s="317" t="n"/>
      <c r="U26" s="317" t="n"/>
      <c r="V26" s="317" t="n"/>
      <c r="W26" s="317" t="n"/>
      <c r="X26" s="317" t="n"/>
      <c r="Y26" s="317" t="n"/>
      <c r="Z26" s="317" t="n"/>
      <c r="AA26" s="317" t="n"/>
      <c r="AB26" s="317" t="n"/>
      <c r="AC26" s="317" t="n"/>
      <c r="AD26" s="317" t="n"/>
      <c r="AE26" s="317" t="n"/>
      <c r="AF26" s="317" t="n"/>
      <c r="AG26" s="317" t="n"/>
      <c r="AH26" s="317" t="n"/>
      <c r="AI26" s="317" t="n"/>
      <c r="AJ26" s="317" t="n"/>
      <c r="AK26" s="317" t="n"/>
      <c r="AL26" s="317" t="n"/>
    </row>
    <row r="27" ht="24" customHeight="1" s="141">
      <c r="A27" s="338" t="inlineStr">
        <is>
          <t>ANALYSIS — Suggested Best Jump (Composite Score)</t>
        </is>
      </c>
      <c r="B27" s="309" t="n"/>
      <c r="C27" s="309" t="n"/>
      <c r="D27" s="309" t="n"/>
      <c r="E27" s="309" t="n"/>
      <c r="F27" s="309" t="n"/>
      <c r="G27" s="309" t="n"/>
      <c r="H27" s="309" t="n"/>
      <c r="I27" s="309" t="n"/>
      <c r="J27" s="309" t="n"/>
      <c r="K27" s="309" t="n"/>
      <c r="L27" s="309" t="n"/>
      <c r="M27" s="309" t="n"/>
      <c r="N27" s="309" t="n"/>
      <c r="O27" s="309" t="n"/>
      <c r="P27" s="317" t="n"/>
      <c r="Q27" s="317" t="n"/>
      <c r="R27" s="317" t="n"/>
      <c r="S27" s="317" t="n"/>
      <c r="T27" s="317" t="n"/>
      <c r="U27" s="317" t="n"/>
      <c r="V27" s="317" t="n"/>
      <c r="W27" s="317" t="n"/>
      <c r="X27" s="317" t="n"/>
      <c r="Y27" s="317" t="n"/>
      <c r="Z27" s="317" t="n"/>
      <c r="AA27" s="317" t="n"/>
      <c r="AB27" s="317" t="n"/>
      <c r="AC27" s="317" t="n"/>
      <c r="AD27" s="317" t="n"/>
      <c r="AE27" s="317" t="n"/>
      <c r="AF27" s="317" t="n"/>
      <c r="AG27" s="317" t="n"/>
      <c r="AH27" s="317" t="n"/>
      <c r="AI27" s="317" t="n"/>
      <c r="AJ27" s="317" t="n"/>
      <c r="AK27" s="317" t="n"/>
      <c r="AL27" s="317" t="n"/>
    </row>
    <row r="28" ht="21.75" customHeight="1" s="141">
      <c r="A28" s="353" t="inlineStr">
        <is>
          <t>WEIGHTS:</t>
        </is>
      </c>
      <c r="B28" s="353" t="inlineStr">
        <is>
          <t>Velocity</t>
        </is>
      </c>
      <c r="C28" s="354" t="n">
        <v>0.15</v>
      </c>
      <c r="D28" s="317" t="n"/>
      <c r="E28" s="353" t="inlineStr">
        <is>
          <t>SD</t>
        </is>
      </c>
      <c r="F28" s="354" t="n">
        <v>0.25</v>
      </c>
      <c r="G28" s="317" t="n"/>
      <c r="H28" s="353" t="inlineStr">
        <is>
          <t>MR</t>
        </is>
      </c>
      <c r="I28" s="354" t="n">
        <v>0.25</v>
      </c>
      <c r="J28" s="317" t="n"/>
      <c r="K28" s="353" t="inlineStr">
        <is>
          <t>Vertical</t>
        </is>
      </c>
      <c r="L28" s="354" t="n">
        <v>0.35</v>
      </c>
      <c r="M28" s="317" t="n"/>
      <c r="N28" s="353" t="inlineStr">
        <is>
          <t>Sum:</t>
        </is>
      </c>
      <c r="O28" s="231">
        <f>SUM(C28,F28,I28,L28)</f>
        <v/>
      </c>
      <c r="P28" s="317" t="n"/>
      <c r="Q28" s="317" t="n"/>
      <c r="R28" s="317" t="n"/>
      <c r="S28" s="317" t="n"/>
      <c r="T28" s="317" t="n"/>
      <c r="U28" s="317" t="n"/>
      <c r="V28" s="317" t="n"/>
      <c r="W28" s="317" t="n"/>
      <c r="X28" s="317" t="n"/>
      <c r="Y28" s="317" t="n"/>
      <c r="Z28" s="317" t="n"/>
      <c r="AA28" s="317" t="n"/>
      <c r="AB28" s="317" t="n"/>
      <c r="AC28" s="317" t="n"/>
      <c r="AD28" s="317" t="n"/>
      <c r="AE28" s="317" t="n"/>
      <c r="AF28" s="317" t="n"/>
      <c r="AG28" s="317" t="n"/>
      <c r="AH28" s="317" t="n"/>
      <c r="AI28" s="317" t="n"/>
      <c r="AJ28" s="317" t="n"/>
      <c r="AK28" s="317" t="n"/>
      <c r="AL28" s="317" t="n"/>
    </row>
    <row r="29" ht="31.5" customHeight="1" s="141">
      <c r="A29" s="333" t="inlineStr">
        <is>
          <t>Middle Jump</t>
        </is>
      </c>
      <c r="B29" s="333" t="inlineStr">
        <is>
          <t>Low</t>
        </is>
      </c>
      <c r="C29" s="333" t="inlineStr">
        <is>
          <t>High</t>
        </is>
      </c>
      <c r="D29" s="333" t="inlineStr">
        <is>
          <t>Vel Spread (fps)</t>
        </is>
      </c>
      <c r="E29" s="333" t="inlineStr">
        <is>
          <t>SD (fps)</t>
        </is>
      </c>
      <c r="F29" s="333" t="inlineStr">
        <is>
          <t>Mean Radius (MOA)</t>
        </is>
      </c>
      <c r="G29" s="333" t="inlineStr">
        <is>
          <t>Vertical (MOA)</t>
        </is>
      </c>
      <c r="H29" s="333" t="inlineStr">
        <is>
          <t>Norm Spread</t>
        </is>
      </c>
      <c r="I29" s="333" t="inlineStr">
        <is>
          <t>Norm SD</t>
        </is>
      </c>
      <c r="J29" s="333" t="inlineStr">
        <is>
          <t>Norm MR</t>
        </is>
      </c>
      <c r="K29" s="333" t="inlineStr">
        <is>
          <t>Norm Vert</t>
        </is>
      </c>
      <c r="L29" s="333" t="inlineStr">
        <is>
          <t>Composite Score</t>
        </is>
      </c>
      <c r="M29" s="333" t="inlineStr">
        <is>
          <t>Rank</t>
        </is>
      </c>
      <c r="N29" s="333" t="n"/>
      <c r="O29" s="333" t="inlineStr">
        <is>
          <t>Best in</t>
        </is>
      </c>
      <c r="P29" s="317" t="n"/>
      <c r="Q29" s="317" t="n"/>
      <c r="R29" s="317" t="n"/>
      <c r="S29" s="317" t="n"/>
      <c r="T29" s="317" t="n"/>
      <c r="U29" s="317" t="n"/>
      <c r="V29" s="317" t="n"/>
      <c r="W29" s="317" t="n"/>
      <c r="X29" s="317" t="n"/>
      <c r="Y29" s="317" t="n"/>
      <c r="Z29" s="317" t="n"/>
      <c r="AA29" s="317" t="n"/>
      <c r="AB29" s="317" t="n"/>
      <c r="AC29" s="317" t="n"/>
      <c r="AD29" s="317" t="n"/>
      <c r="AE29" s="317" t="n"/>
      <c r="AF29" s="317" t="n"/>
      <c r="AG29" s="317" t="n"/>
      <c r="AH29" s="317" t="n"/>
      <c r="AI29" s="317" t="n"/>
      <c r="AJ29" s="317" t="n"/>
      <c r="AK29" s="317" t="n"/>
      <c r="AL29" s="317" t="n"/>
    </row>
    <row r="30" ht="18.75" customHeight="1" s="141">
      <c r="A30" s="226">
        <f>B17</f>
        <v/>
      </c>
      <c r="B30" s="226">
        <f>B16</f>
        <v/>
      </c>
      <c r="C30" s="226">
        <f>B18</f>
        <v/>
      </c>
      <c r="D30" s="180">
        <f>MAX(I16:I18)-MIN(I16:I18)</f>
        <v/>
      </c>
      <c r="E30" s="181">
        <f>K17</f>
        <v/>
      </c>
      <c r="F30" s="232">
        <f>IFERROR(IF(N17="",L17,N17)/($L$10/100)/1.047,"")</f>
        <v/>
      </c>
      <c r="G30" s="232">
        <f>IF(M17="",F30,M17/($L$10/100)/1.047)</f>
        <v/>
      </c>
      <c r="H30" s="226">
        <f>IFERROR((D30-MIN($D$30:$D$37))/(MAX($D$30:$D$37)-MIN($D$30:$D$37)),0)</f>
        <v/>
      </c>
      <c r="I30" s="226">
        <f>IFERROR((E30-MIN($E$30:$E$37))/(MAX($E$30:$E$37)-MIN($E$30:$E$37)),0)</f>
        <v/>
      </c>
      <c r="J30" s="226">
        <f>IFERROR((F30-MIN($F$30:$F$37))/(MAX($F$30:$F$37)-MIN($F$30:$F$37)),0)</f>
        <v/>
      </c>
      <c r="K30" s="226">
        <f>IFERROR((G30-MIN($G$30:$G$37))/(MAX($G$30:$G$37)-MIN($G$30:$G$37)),0)</f>
        <v/>
      </c>
      <c r="L30" s="226">
        <f>H30*$C$28+I30*$F$28+J30*$I$28+K30*$L$28</f>
        <v/>
      </c>
      <c r="M30" s="180">
        <f>RANK(L30,$L$30:$L$37,1)</f>
        <v/>
      </c>
      <c r="N30" s="317" t="n"/>
      <c r="O30" s="233">
        <f>TRIM(IF(D30=MIN($D$30:$D$37),"Vel ✓ ","")&amp;IF(E30=MIN($E$30:$E$37),"SD ✓ ","")&amp;IF(F30=MIN($F$30:$F$37),"MR ✓ ","")&amp;IF(G30=MIN($G$30:$G$37),"Vert ✓ ",""))</f>
        <v/>
      </c>
      <c r="P30" s="317" t="n"/>
      <c r="Q30" s="317" t="n"/>
      <c r="R30" s="317" t="n"/>
      <c r="S30" s="317" t="n"/>
      <c r="T30" s="317" t="n"/>
      <c r="U30" s="317" t="n"/>
      <c r="V30" s="317" t="n"/>
      <c r="W30" s="317" t="n"/>
      <c r="X30" s="317" t="n"/>
      <c r="Y30" s="317" t="n"/>
      <c r="Z30" s="317" t="n"/>
      <c r="AA30" s="317" t="n"/>
      <c r="AB30" s="317" t="n"/>
      <c r="AC30" s="317" t="n"/>
      <c r="AD30" s="317" t="n"/>
      <c r="AE30" s="317" t="n"/>
      <c r="AF30" s="317" t="n"/>
      <c r="AG30" s="317" t="n"/>
      <c r="AH30" s="317" t="n"/>
      <c r="AI30" s="317" t="n"/>
      <c r="AJ30" s="317" t="n"/>
      <c r="AK30" s="317" t="n"/>
      <c r="AL30" s="317" t="n"/>
    </row>
    <row r="31" ht="18.75" customHeight="1" s="141">
      <c r="A31" s="228">
        <f>B18</f>
        <v/>
      </c>
      <c r="B31" s="228">
        <f>B17</f>
        <v/>
      </c>
      <c r="C31" s="228">
        <f>B19</f>
        <v/>
      </c>
      <c r="D31" s="187">
        <f>MAX(I17:I19)-MIN(I17:I19)</f>
        <v/>
      </c>
      <c r="E31" s="188">
        <f>K18</f>
        <v/>
      </c>
      <c r="F31" s="234">
        <f>IFERROR(IF(N18="",L18,N18)/($L$10/100)/1.047,"")</f>
        <v/>
      </c>
      <c r="G31" s="234">
        <f>IF(M18="",F31,M18/($L$10/100)/1.047)</f>
        <v/>
      </c>
      <c r="H31" s="228">
        <f>IFERROR((D31-MIN($D$30:$D$37))/(MAX($D$30:$D$37)-MIN($D$30:$D$37)),0)</f>
        <v/>
      </c>
      <c r="I31" s="228">
        <f>IFERROR((E31-MIN($E$30:$E$37))/(MAX($E$30:$E$37)-MIN($E$30:$E$37)),0)</f>
        <v/>
      </c>
      <c r="J31" s="228">
        <f>IFERROR((F31-MIN($F$30:$F$37))/(MAX($F$30:$F$37)-MIN($F$30:$F$37)),0)</f>
        <v/>
      </c>
      <c r="K31" s="228">
        <f>IFERROR((G31-MIN($G$30:$G$37))/(MAX($G$30:$G$37)-MIN($G$30:$G$37)),0)</f>
        <v/>
      </c>
      <c r="L31" s="228">
        <f>H31*$C$28+I31*$F$28+J31*$I$28+K31*$L$28</f>
        <v/>
      </c>
      <c r="M31" s="187">
        <f>RANK(L31,$L$30:$L$37,1)</f>
        <v/>
      </c>
      <c r="N31" s="355" t="n"/>
      <c r="O31" s="236">
        <f>TRIM(IF(D31=MIN($D$30:$D$37),"Vel ✓ ","")&amp;IF(E31=MIN($E$30:$E$37),"SD ✓ ","")&amp;IF(F31=MIN($F$30:$F$37),"MR ✓ ","")&amp;IF(G31=MIN($G$30:$G$37),"Vert ✓ ",""))</f>
        <v/>
      </c>
      <c r="P31" s="317" t="n"/>
      <c r="Q31" s="317" t="n"/>
      <c r="R31" s="317" t="n"/>
      <c r="S31" s="317" t="n"/>
      <c r="T31" s="317" t="n"/>
      <c r="U31" s="317" t="n"/>
      <c r="V31" s="317" t="n"/>
      <c r="W31" s="317" t="n"/>
      <c r="X31" s="317" t="n"/>
      <c r="Y31" s="317" t="n"/>
      <c r="Z31" s="317" t="n"/>
      <c r="AA31" s="317" t="n"/>
      <c r="AB31" s="317" t="n"/>
      <c r="AC31" s="317" t="n"/>
      <c r="AD31" s="317" t="n"/>
      <c r="AE31" s="317" t="n"/>
      <c r="AF31" s="317" t="n"/>
      <c r="AG31" s="317" t="n"/>
      <c r="AH31" s="317" t="n"/>
      <c r="AI31" s="317" t="n"/>
      <c r="AJ31" s="317" t="n"/>
      <c r="AK31" s="317" t="n"/>
      <c r="AL31" s="317" t="n"/>
    </row>
    <row r="32" ht="18.75" customHeight="1" s="141">
      <c r="A32" s="226">
        <f>B19</f>
        <v/>
      </c>
      <c r="B32" s="226">
        <f>B18</f>
        <v/>
      </c>
      <c r="C32" s="226">
        <f>B20</f>
        <v/>
      </c>
      <c r="D32" s="180">
        <f>MAX(I18:I20)-MIN(I18:I20)</f>
        <v/>
      </c>
      <c r="E32" s="181">
        <f>K19</f>
        <v/>
      </c>
      <c r="F32" s="232">
        <f>IFERROR(IF(N19="",L19,N19)/($L$10/100)/1.047,"")</f>
        <v/>
      </c>
      <c r="G32" s="232">
        <f>IF(M19="",F32,M19/($L$10/100)/1.047)</f>
        <v/>
      </c>
      <c r="H32" s="226">
        <f>IFERROR((D32-MIN($D$30:$D$37))/(MAX($D$30:$D$37)-MIN($D$30:$D$37)),0)</f>
        <v/>
      </c>
      <c r="I32" s="226">
        <f>IFERROR((E32-MIN($E$30:$E$37))/(MAX($E$30:$E$37)-MIN($E$30:$E$37)),0)</f>
        <v/>
      </c>
      <c r="J32" s="226">
        <f>IFERROR((F32-MIN($F$30:$F$37))/(MAX($F$30:$F$37)-MIN($F$30:$F$37)),0)</f>
        <v/>
      </c>
      <c r="K32" s="226">
        <f>IFERROR((G32-MIN($G$30:$G$37))/(MAX($G$30:$G$37)-MIN($G$30:$G$37)),0)</f>
        <v/>
      </c>
      <c r="L32" s="226">
        <f>H32*$C$28+I32*$F$28+J32*$I$28+K32*$L$28</f>
        <v/>
      </c>
      <c r="M32" s="180">
        <f>RANK(L32,$L$30:$L$37,1)</f>
        <v/>
      </c>
      <c r="N32" s="317" t="n"/>
      <c r="O32" s="233">
        <f>TRIM(IF(D32=MIN($D$30:$D$37),"Vel ✓ ","")&amp;IF(E32=MIN($E$30:$E$37),"SD ✓ ","")&amp;IF(F32=MIN($F$30:$F$37),"MR ✓ ","")&amp;IF(G32=MIN($G$30:$G$37),"Vert ✓ ",""))</f>
        <v/>
      </c>
      <c r="P32" s="317" t="n"/>
      <c r="Q32" s="317" t="n"/>
      <c r="R32" s="317" t="n"/>
      <c r="S32" s="317" t="n"/>
      <c r="T32" s="317" t="n"/>
      <c r="U32" s="317" t="n"/>
      <c r="V32" s="317" t="n"/>
      <c r="W32" s="317" t="n"/>
      <c r="X32" s="317" t="n"/>
      <c r="Y32" s="317" t="n"/>
      <c r="Z32" s="317" t="n"/>
      <c r="AA32" s="317" t="n"/>
      <c r="AB32" s="317" t="n"/>
      <c r="AC32" s="317" t="n"/>
      <c r="AD32" s="317" t="n"/>
      <c r="AE32" s="317" t="n"/>
      <c r="AF32" s="317" t="n"/>
      <c r="AG32" s="317" t="n"/>
      <c r="AH32" s="317" t="n"/>
      <c r="AI32" s="317" t="n"/>
      <c r="AJ32" s="317" t="n"/>
      <c r="AK32" s="317" t="n"/>
      <c r="AL32" s="317" t="n"/>
    </row>
    <row r="33" ht="18.75" customHeight="1" s="141">
      <c r="A33" s="228">
        <f>B20</f>
        <v/>
      </c>
      <c r="B33" s="228">
        <f>B19</f>
        <v/>
      </c>
      <c r="C33" s="228">
        <f>B21</f>
        <v/>
      </c>
      <c r="D33" s="187">
        <f>MAX(I19:I21)-MIN(I19:I21)</f>
        <v/>
      </c>
      <c r="E33" s="188">
        <f>K20</f>
        <v/>
      </c>
      <c r="F33" s="234">
        <f>IFERROR(IF(N20="",L20,N20)/($L$10/100)/1.047,"")</f>
        <v/>
      </c>
      <c r="G33" s="234">
        <f>IF(M20="",F33,M20/($L$10/100)/1.047)</f>
        <v/>
      </c>
      <c r="H33" s="228">
        <f>IFERROR((D33-MIN($D$30:$D$37))/(MAX($D$30:$D$37)-MIN($D$30:$D$37)),0)</f>
        <v/>
      </c>
      <c r="I33" s="228">
        <f>IFERROR((E33-MIN($E$30:$E$37))/(MAX($E$30:$E$37)-MIN($E$30:$E$37)),0)</f>
        <v/>
      </c>
      <c r="J33" s="228">
        <f>IFERROR((F33-MIN($F$30:$F$37))/(MAX($F$30:$F$37)-MIN($F$30:$F$37)),0)</f>
        <v/>
      </c>
      <c r="K33" s="228">
        <f>IFERROR((G33-MIN($G$30:$G$37))/(MAX($G$30:$G$37)-MIN($G$30:$G$37)),0)</f>
        <v/>
      </c>
      <c r="L33" s="228">
        <f>H33*$C$28+I33*$F$28+J33*$I$28+K33*$L$28</f>
        <v/>
      </c>
      <c r="M33" s="187">
        <f>RANK(L33,$L$30:$L$37,1)</f>
        <v/>
      </c>
      <c r="N33" s="355" t="n"/>
      <c r="O33" s="236">
        <f>TRIM(IF(D33=MIN($D$30:$D$37),"Vel ✓ ","")&amp;IF(E33=MIN($E$30:$E$37),"SD ✓ ","")&amp;IF(F33=MIN($F$30:$F$37),"MR ✓ ","")&amp;IF(G33=MIN($G$30:$G$37),"Vert ✓ ",""))</f>
        <v/>
      </c>
      <c r="P33" s="317" t="n"/>
      <c r="Q33" s="317" t="n"/>
      <c r="R33" s="317" t="n"/>
      <c r="S33" s="317" t="n"/>
      <c r="T33" s="317" t="n"/>
      <c r="U33" s="317" t="n"/>
      <c r="V33" s="317" t="n"/>
      <c r="W33" s="317" t="n"/>
      <c r="X33" s="317" t="n"/>
      <c r="Y33" s="317" t="n"/>
      <c r="Z33" s="317" t="n"/>
      <c r="AA33" s="317" t="n"/>
      <c r="AB33" s="317" t="n"/>
      <c r="AC33" s="317" t="n"/>
      <c r="AD33" s="317" t="n"/>
      <c r="AE33" s="317" t="n"/>
      <c r="AF33" s="317" t="n"/>
      <c r="AG33" s="317" t="n"/>
      <c r="AH33" s="317" t="n"/>
      <c r="AI33" s="317" t="n"/>
      <c r="AJ33" s="317" t="n"/>
      <c r="AK33" s="317" t="n"/>
      <c r="AL33" s="317" t="n"/>
    </row>
    <row r="34" ht="18.75" customHeight="1" s="141">
      <c r="A34" s="226">
        <f>B21</f>
        <v/>
      </c>
      <c r="B34" s="226">
        <f>B20</f>
        <v/>
      </c>
      <c r="C34" s="226">
        <f>B22</f>
        <v/>
      </c>
      <c r="D34" s="180">
        <f>MAX(I20:I22)-MIN(I20:I22)</f>
        <v/>
      </c>
      <c r="E34" s="181">
        <f>K21</f>
        <v/>
      </c>
      <c r="F34" s="232">
        <f>IFERROR(IF(N21="",L21,N21)/($L$10/100)/1.047,"")</f>
        <v/>
      </c>
      <c r="G34" s="232">
        <f>IF(M21="",F34,M21/($L$10/100)/1.047)</f>
        <v/>
      </c>
      <c r="H34" s="226">
        <f>IFERROR((D34-MIN($D$30:$D$37))/(MAX($D$30:$D$37)-MIN($D$30:$D$37)),0)</f>
        <v/>
      </c>
      <c r="I34" s="226">
        <f>IFERROR((E34-MIN($E$30:$E$37))/(MAX($E$30:$E$37)-MIN($E$30:$E$37)),0)</f>
        <v/>
      </c>
      <c r="J34" s="226">
        <f>IFERROR((F34-MIN($F$30:$F$37))/(MAX($F$30:$F$37)-MIN($F$30:$F$37)),0)</f>
        <v/>
      </c>
      <c r="K34" s="226">
        <f>IFERROR((G34-MIN($G$30:$G$37))/(MAX($G$30:$G$37)-MIN($G$30:$G$37)),0)</f>
        <v/>
      </c>
      <c r="L34" s="226">
        <f>H34*$C$28+I34*$F$28+J34*$I$28+K34*$L$28</f>
        <v/>
      </c>
      <c r="M34" s="180">
        <f>RANK(L34,$L$30:$L$37,1)</f>
        <v/>
      </c>
      <c r="N34" s="317" t="n"/>
      <c r="O34" s="233">
        <f>TRIM(IF(D34=MIN($D$30:$D$37),"Vel ✓ ","")&amp;IF(E34=MIN($E$30:$E$37),"SD ✓ ","")&amp;IF(F34=MIN($F$30:$F$37),"MR ✓ ","")&amp;IF(G34=MIN($G$30:$G$37),"Vert ✓ ",""))</f>
        <v/>
      </c>
      <c r="P34" s="317" t="n"/>
      <c r="Q34" s="317" t="n"/>
      <c r="R34" s="317" t="n"/>
      <c r="S34" s="317" t="n"/>
      <c r="T34" s="317" t="n"/>
      <c r="U34" s="317" t="n"/>
      <c r="V34" s="317" t="n"/>
      <c r="W34" s="317" t="n"/>
      <c r="X34" s="317" t="n"/>
      <c r="Y34" s="317" t="n"/>
      <c r="Z34" s="317" t="n"/>
      <c r="AA34" s="317" t="n"/>
      <c r="AB34" s="317" t="n"/>
      <c r="AC34" s="317" t="n"/>
      <c r="AD34" s="317" t="n"/>
      <c r="AE34" s="317" t="n"/>
      <c r="AF34" s="317" t="n"/>
      <c r="AG34" s="317" t="n"/>
      <c r="AH34" s="317" t="n"/>
      <c r="AI34" s="317" t="n"/>
      <c r="AJ34" s="317" t="n"/>
      <c r="AK34" s="317" t="n"/>
      <c r="AL34" s="317" t="n"/>
    </row>
    <row r="35" ht="18.75" customHeight="1" s="141">
      <c r="A35" s="228">
        <f>B22</f>
        <v/>
      </c>
      <c r="B35" s="228">
        <f>B21</f>
        <v/>
      </c>
      <c r="C35" s="228">
        <f>B23</f>
        <v/>
      </c>
      <c r="D35" s="187">
        <f>MAX(I21:I23)-MIN(I21:I23)</f>
        <v/>
      </c>
      <c r="E35" s="188">
        <f>K22</f>
        <v/>
      </c>
      <c r="F35" s="234">
        <f>IFERROR(IF(N22="",L22,N22)/($L$10/100)/1.047,"")</f>
        <v/>
      </c>
      <c r="G35" s="234">
        <f>IF(M22="",F35,M22/($L$10/100)/1.047)</f>
        <v/>
      </c>
      <c r="H35" s="228">
        <f>IFERROR((D35-MIN($D$30:$D$37))/(MAX($D$30:$D$37)-MIN($D$30:$D$37)),0)</f>
        <v/>
      </c>
      <c r="I35" s="228">
        <f>IFERROR((E35-MIN($E$30:$E$37))/(MAX($E$30:$E$37)-MIN($E$30:$E$37)),0)</f>
        <v/>
      </c>
      <c r="J35" s="228">
        <f>IFERROR((F35-MIN($F$30:$F$37))/(MAX($F$30:$F$37)-MIN($F$30:$F$37)),0)</f>
        <v/>
      </c>
      <c r="K35" s="228">
        <f>IFERROR((G35-MIN($G$30:$G$37))/(MAX($G$30:$G$37)-MIN($G$30:$G$37)),0)</f>
        <v/>
      </c>
      <c r="L35" s="228">
        <f>H35*$C$28+I35*$F$28+J35*$I$28+K35*$L$28</f>
        <v/>
      </c>
      <c r="M35" s="187">
        <f>RANK(L35,$L$30:$L$37,1)</f>
        <v/>
      </c>
      <c r="N35" s="355" t="n"/>
      <c r="O35" s="236">
        <f>TRIM(IF(D35=MIN($D$30:$D$37),"Vel ✓ ","")&amp;IF(E35=MIN($E$30:$E$37),"SD ✓ ","")&amp;IF(F35=MIN($F$30:$F$37),"MR ✓ ","")&amp;IF(G35=MIN($G$30:$G$37),"Vert ✓ ",""))</f>
        <v/>
      </c>
      <c r="P35" s="317" t="n"/>
      <c r="Q35" s="317" t="n"/>
      <c r="R35" s="317" t="n"/>
      <c r="S35" s="317" t="n"/>
      <c r="T35" s="317" t="n"/>
      <c r="U35" s="317" t="n"/>
      <c r="V35" s="317" t="n"/>
      <c r="W35" s="317" t="n"/>
      <c r="X35" s="317" t="n"/>
      <c r="Y35" s="317" t="n"/>
      <c r="Z35" s="317" t="n"/>
      <c r="AA35" s="317" t="n"/>
      <c r="AB35" s="317" t="n"/>
      <c r="AC35" s="317" t="n"/>
      <c r="AD35" s="317" t="n"/>
      <c r="AE35" s="317" t="n"/>
      <c r="AF35" s="317" t="n"/>
      <c r="AG35" s="317" t="n"/>
      <c r="AH35" s="317" t="n"/>
      <c r="AI35" s="317" t="n"/>
      <c r="AJ35" s="317" t="n"/>
      <c r="AK35" s="317" t="n"/>
      <c r="AL35" s="317" t="n"/>
    </row>
    <row r="36" ht="18.75" customHeight="1" s="141">
      <c r="A36" s="226">
        <f>B23</f>
        <v/>
      </c>
      <c r="B36" s="226">
        <f>B22</f>
        <v/>
      </c>
      <c r="C36" s="226">
        <f>B24</f>
        <v/>
      </c>
      <c r="D36" s="180">
        <f>MAX(I22:I24)-MIN(I22:I24)</f>
        <v/>
      </c>
      <c r="E36" s="181">
        <f>K23</f>
        <v/>
      </c>
      <c r="F36" s="232">
        <f>IFERROR(IF(N23="",L23,N23)/($L$10/100)/1.047,"")</f>
        <v/>
      </c>
      <c r="G36" s="232">
        <f>IF(M23="",F36,M23/($L$10/100)/1.047)</f>
        <v/>
      </c>
      <c r="H36" s="226">
        <f>IFERROR((D36-MIN($D$30:$D$37))/(MAX($D$30:$D$37)-MIN($D$30:$D$37)),0)</f>
        <v/>
      </c>
      <c r="I36" s="226">
        <f>IFERROR((E36-MIN($E$30:$E$37))/(MAX($E$30:$E$37)-MIN($E$30:$E$37)),0)</f>
        <v/>
      </c>
      <c r="J36" s="226">
        <f>IFERROR((F36-MIN($F$30:$F$37))/(MAX($F$30:$F$37)-MIN($F$30:$F$37)),0)</f>
        <v/>
      </c>
      <c r="K36" s="226">
        <f>IFERROR((G36-MIN($G$30:$G$37))/(MAX($G$30:$G$37)-MIN($G$30:$G$37)),0)</f>
        <v/>
      </c>
      <c r="L36" s="226">
        <f>H36*$C$28+I36*$F$28+J36*$I$28+K36*$L$28</f>
        <v/>
      </c>
      <c r="M36" s="180">
        <f>RANK(L36,$L$30:$L$37,1)</f>
        <v/>
      </c>
      <c r="N36" s="317" t="n"/>
      <c r="O36" s="233">
        <f>TRIM(IF(D36=MIN($D$30:$D$37),"Vel ✓ ","")&amp;IF(E36=MIN($E$30:$E$37),"SD ✓ ","")&amp;IF(F36=MIN($F$30:$F$37),"MR ✓ ","")&amp;IF(G36=MIN($G$30:$G$37),"Vert ✓ ",""))</f>
        <v/>
      </c>
      <c r="P36" s="317" t="n"/>
      <c r="Q36" s="317" t="n"/>
      <c r="R36" s="317" t="n"/>
      <c r="S36" s="317" t="n"/>
      <c r="T36" s="317" t="n"/>
      <c r="U36" s="317" t="n"/>
      <c r="V36" s="317" t="n"/>
      <c r="W36" s="317" t="n"/>
      <c r="X36" s="317" t="n"/>
      <c r="Y36" s="317" t="n"/>
      <c r="Z36" s="317" t="n"/>
      <c r="AA36" s="317" t="n"/>
      <c r="AB36" s="317" t="n"/>
      <c r="AC36" s="317" t="n"/>
      <c r="AD36" s="317" t="n"/>
      <c r="AE36" s="317" t="n"/>
      <c r="AF36" s="317" t="n"/>
      <c r="AG36" s="317" t="n"/>
      <c r="AH36" s="317" t="n"/>
      <c r="AI36" s="317" t="n"/>
      <c r="AJ36" s="317" t="n"/>
      <c r="AK36" s="317" t="n"/>
      <c r="AL36" s="317" t="n"/>
    </row>
    <row r="37" ht="18.75" customHeight="1" s="141">
      <c r="A37" s="228">
        <f>B24</f>
        <v/>
      </c>
      <c r="B37" s="228">
        <f>B23</f>
        <v/>
      </c>
      <c r="C37" s="228">
        <f>B25</f>
        <v/>
      </c>
      <c r="D37" s="187">
        <f>MAX(I23:I25)-MIN(I23:I25)</f>
        <v/>
      </c>
      <c r="E37" s="188">
        <f>K24</f>
        <v/>
      </c>
      <c r="F37" s="234">
        <f>IFERROR(IF(N24="",L24,N24)/($L$10/100)/1.047,"")</f>
        <v/>
      </c>
      <c r="G37" s="234">
        <f>IF(M24="",F37,M24/($L$10/100)/1.047)</f>
        <v/>
      </c>
      <c r="H37" s="228">
        <f>IFERROR((D37-MIN($D$30:$D$37))/(MAX($D$30:$D$37)-MIN($D$30:$D$37)),0)</f>
        <v/>
      </c>
      <c r="I37" s="228">
        <f>IFERROR((E37-MIN($E$30:$E$37))/(MAX($E$30:$E$37)-MIN($E$30:$E$37)),0)</f>
        <v/>
      </c>
      <c r="J37" s="228">
        <f>IFERROR((F37-MIN($F$30:$F$37))/(MAX($F$30:$F$37)-MIN($F$30:$F$37)),0)</f>
        <v/>
      </c>
      <c r="K37" s="228">
        <f>IFERROR((G37-MIN($G$30:$G$37))/(MAX($G$30:$G$37)-MIN($G$30:$G$37)),0)</f>
        <v/>
      </c>
      <c r="L37" s="228">
        <f>H37*$C$28+I37*$F$28+J37*$I$28+K37*$L$28</f>
        <v/>
      </c>
      <c r="M37" s="187">
        <f>RANK(L37,$L$30:$L$37,1)</f>
        <v/>
      </c>
      <c r="N37" s="355" t="n"/>
      <c r="O37" s="236">
        <f>TRIM(IF(D37=MIN($D$30:$D$37),"Vel ✓ ","")&amp;IF(E37=MIN($E$30:$E$37),"SD ✓ ","")&amp;IF(F37=MIN($F$30:$F$37),"MR ✓ ","")&amp;IF(G37=MIN($G$30:$G$37),"Vert ✓ ",""))</f>
        <v/>
      </c>
      <c r="P37" s="317" t="n"/>
      <c r="Q37" s="317" t="n"/>
      <c r="R37" s="317" t="n"/>
      <c r="S37" s="317" t="n"/>
      <c r="T37" s="317" t="n"/>
      <c r="U37" s="317" t="n"/>
      <c r="V37" s="317" t="n"/>
      <c r="W37" s="317" t="n"/>
      <c r="X37" s="317" t="n"/>
      <c r="Y37" s="317" t="n"/>
      <c r="Z37" s="317" t="n"/>
      <c r="AA37" s="317" t="n"/>
      <c r="AB37" s="317" t="n"/>
      <c r="AC37" s="317" t="n"/>
      <c r="AD37" s="317" t="n"/>
      <c r="AE37" s="317" t="n"/>
      <c r="AF37" s="317" t="n"/>
      <c r="AG37" s="317" t="n"/>
      <c r="AH37" s="317" t="n"/>
      <c r="AI37" s="317" t="n"/>
      <c r="AJ37" s="317" t="n"/>
      <c r="AK37" s="317" t="n"/>
      <c r="AL37" s="317" t="n"/>
    </row>
    <row r="38" ht="30" customHeight="1" s="141">
      <c r="A38" s="317" t="n"/>
      <c r="B38" s="317" t="n"/>
      <c r="C38" s="317" t="n"/>
      <c r="D38" s="317" t="n"/>
      <c r="E38" s="317" t="n"/>
      <c r="F38" s="317" t="n"/>
      <c r="G38" s="317" t="n"/>
      <c r="H38" s="317" t="n"/>
      <c r="I38" s="317" t="n"/>
      <c r="J38" s="317" t="n"/>
      <c r="K38" s="317" t="n"/>
      <c r="L38" s="317" t="n"/>
      <c r="M38" s="317" t="n"/>
      <c r="N38" s="317" t="n"/>
      <c r="O38" s="317" t="n"/>
      <c r="P38" s="317" t="n"/>
      <c r="Q38" s="317" t="n"/>
      <c r="R38" s="317" t="n"/>
      <c r="S38" s="317" t="n"/>
      <c r="T38" s="317" t="n"/>
      <c r="U38" s="317" t="n"/>
      <c r="V38" s="317" t="n"/>
      <c r="W38" s="317" t="n"/>
      <c r="X38" s="317" t="n"/>
      <c r="Y38" s="317" t="n"/>
      <c r="Z38" s="317" t="n"/>
      <c r="AA38" s="317" t="n"/>
      <c r="AB38" s="317" t="n"/>
      <c r="AC38" s="317" t="n"/>
      <c r="AD38" s="317" t="n"/>
      <c r="AE38" s="317" t="n"/>
      <c r="AF38" s="317" t="n"/>
      <c r="AG38" s="317" t="n"/>
      <c r="AH38" s="317" t="n"/>
      <c r="AI38" s="317" t="n"/>
      <c r="AJ38" s="317" t="n"/>
      <c r="AK38" s="317" t="n"/>
      <c r="AL38" s="317" t="n"/>
    </row>
    <row r="39" ht="15" customHeight="1" s="141">
      <c r="A39" s="317" t="n"/>
      <c r="B39" s="317" t="n"/>
      <c r="C39" s="317" t="n"/>
      <c r="D39" s="317" t="n"/>
      <c r="E39" s="317" t="n"/>
      <c r="F39" s="317" t="n"/>
      <c r="G39" s="317" t="n"/>
      <c r="H39" s="317" t="n"/>
      <c r="I39" s="317" t="n"/>
      <c r="J39" s="317" t="n"/>
      <c r="K39" s="317" t="n"/>
      <c r="L39" s="317" t="n"/>
      <c r="M39" s="317" t="n"/>
      <c r="N39" s="317" t="n"/>
      <c r="O39" s="317" t="n"/>
      <c r="P39" s="317" t="n"/>
      <c r="Q39" s="317" t="n"/>
      <c r="R39" s="317" t="n"/>
      <c r="S39" s="317" t="n"/>
      <c r="T39" s="317" t="n"/>
      <c r="U39" s="317" t="n"/>
      <c r="V39" s="317" t="n"/>
      <c r="W39" s="317" t="n"/>
      <c r="X39" s="317" t="n"/>
      <c r="Y39" s="317" t="n"/>
      <c r="Z39" s="317" t="n"/>
      <c r="AA39" s="317" t="n"/>
      <c r="AB39" s="317" t="n"/>
      <c r="AC39" s="317" t="n"/>
      <c r="AD39" s="317" t="n"/>
      <c r="AE39" s="317" t="n"/>
      <c r="AF39" s="317" t="n"/>
      <c r="AG39" s="317" t="n"/>
      <c r="AH39" s="317" t="n"/>
      <c r="AI39" s="317" t="n"/>
      <c r="AJ39" s="317" t="n"/>
      <c r="AK39" s="317" t="n"/>
      <c r="AL39" s="317" t="n"/>
    </row>
    <row r="40" ht="15" customHeight="1" s="141">
      <c r="A40" s="317" t="n"/>
      <c r="B40" s="317" t="n"/>
      <c r="C40" s="317" t="n"/>
      <c r="D40" s="317" t="n"/>
      <c r="E40" s="317" t="n"/>
      <c r="F40" s="317" t="n"/>
      <c r="G40" s="317" t="n"/>
      <c r="H40" s="317" t="n"/>
      <c r="I40" s="317" t="n"/>
      <c r="J40" s="317" t="n"/>
      <c r="K40" s="317" t="n"/>
      <c r="L40" s="317" t="n"/>
      <c r="M40" s="317" t="n"/>
      <c r="N40" s="317" t="n"/>
      <c r="O40" s="317" t="n"/>
      <c r="P40" s="317" t="n"/>
      <c r="Q40" s="317" t="n"/>
      <c r="R40" s="317" t="n"/>
      <c r="S40" s="317" t="n"/>
      <c r="T40" s="317" t="n"/>
      <c r="U40" s="317" t="n"/>
      <c r="V40" s="317" t="n"/>
      <c r="W40" s="317" t="n"/>
      <c r="X40" s="317" t="n"/>
      <c r="Y40" s="317" t="n"/>
      <c r="Z40" s="317" t="n"/>
      <c r="AA40" s="317" t="n"/>
      <c r="AB40" s="317" t="n"/>
      <c r="AC40" s="317" t="n"/>
      <c r="AD40" s="317" t="n"/>
      <c r="AE40" s="317" t="n"/>
      <c r="AF40" s="317" t="n"/>
      <c r="AG40" s="317" t="n"/>
      <c r="AH40" s="317" t="n"/>
      <c r="AI40" s="317" t="n"/>
      <c r="AJ40" s="317" t="n"/>
      <c r="AK40" s="317" t="n"/>
      <c r="AL40" s="317" t="n"/>
    </row>
    <row r="41" ht="15" customHeight="1" s="141">
      <c r="A41" s="317" t="n"/>
      <c r="B41" s="317" t="n"/>
      <c r="C41" s="317" t="n"/>
      <c r="D41" s="317" t="n"/>
      <c r="E41" s="317" t="n"/>
      <c r="F41" s="317" t="n"/>
      <c r="G41" s="317" t="n"/>
      <c r="H41" s="317" t="n"/>
      <c r="I41" s="317" t="n"/>
      <c r="J41" s="317" t="n"/>
      <c r="K41" s="317" t="n"/>
      <c r="L41" s="317" t="n"/>
      <c r="M41" s="317" t="n"/>
      <c r="N41" s="317" t="n"/>
      <c r="O41" s="317" t="n"/>
      <c r="P41" s="317" t="n"/>
      <c r="Q41" s="317" t="n"/>
      <c r="R41" s="317" t="n"/>
      <c r="S41" s="317" t="n"/>
      <c r="T41" s="317" t="n"/>
      <c r="U41" s="317" t="n"/>
      <c r="V41" s="317" t="n"/>
      <c r="W41" s="317" t="n"/>
      <c r="X41" s="317" t="n"/>
      <c r="Y41" s="317" t="n"/>
      <c r="Z41" s="317" t="n"/>
      <c r="AA41" s="317" t="n"/>
      <c r="AB41" s="317" t="n"/>
      <c r="AC41" s="317" t="n"/>
      <c r="AD41" s="317" t="n"/>
      <c r="AE41" s="317" t="n"/>
      <c r="AF41" s="317" t="n"/>
      <c r="AG41" s="317" t="n"/>
      <c r="AH41" s="317" t="n"/>
      <c r="AI41" s="317" t="n"/>
      <c r="AJ41" s="317" t="n"/>
      <c r="AK41" s="317" t="n"/>
      <c r="AL41" s="317" t="n"/>
    </row>
    <row r="42" ht="15" customHeight="1" s="141">
      <c r="A42" s="317" t="n"/>
      <c r="B42" s="317" t="n"/>
      <c r="C42" s="317" t="n"/>
      <c r="D42" s="317" t="n"/>
      <c r="E42" s="317" t="n"/>
      <c r="F42" s="317" t="n"/>
      <c r="G42" s="317" t="n"/>
      <c r="H42" s="317" t="n"/>
      <c r="I42" s="317" t="n"/>
      <c r="J42" s="317" t="n"/>
      <c r="K42" s="317" t="n"/>
      <c r="L42" s="317" t="n"/>
      <c r="M42" s="317" t="n"/>
      <c r="N42" s="317" t="n"/>
      <c r="O42" s="317" t="n"/>
      <c r="P42" s="317" t="n"/>
      <c r="Q42" s="317" t="n"/>
      <c r="R42" s="317" t="n"/>
      <c r="S42" s="317" t="n"/>
      <c r="T42" s="317" t="n"/>
      <c r="U42" s="317" t="n"/>
      <c r="V42" s="317" t="n"/>
      <c r="W42" s="317" t="n"/>
      <c r="X42" s="317" t="n"/>
      <c r="Y42" s="317" t="n"/>
      <c r="Z42" s="317" t="n"/>
      <c r="AA42" s="317" t="n"/>
      <c r="AB42" s="317" t="n"/>
      <c r="AC42" s="317" t="n"/>
      <c r="AD42" s="317" t="n"/>
      <c r="AE42" s="317" t="n"/>
      <c r="AF42" s="317" t="n"/>
      <c r="AG42" s="317" t="n"/>
      <c r="AH42" s="317" t="n"/>
      <c r="AI42" s="317" t="n"/>
      <c r="AJ42" s="317" t="n"/>
      <c r="AK42" s="317" t="n"/>
      <c r="AL42" s="317" t="n"/>
    </row>
    <row r="43" ht="15" customHeight="1" s="141">
      <c r="A43" s="317" t="n"/>
      <c r="B43" s="317" t="n"/>
      <c r="C43" s="317" t="n"/>
      <c r="D43" s="317" t="n"/>
      <c r="E43" s="317" t="n"/>
      <c r="F43" s="317" t="n"/>
      <c r="G43" s="317" t="n"/>
      <c r="H43" s="317" t="n"/>
      <c r="I43" s="317" t="n"/>
      <c r="J43" s="317" t="n"/>
      <c r="K43" s="317" t="n"/>
      <c r="L43" s="317" t="n"/>
      <c r="M43" s="317" t="n"/>
      <c r="N43" s="317" t="n"/>
      <c r="O43" s="317" t="n"/>
      <c r="P43" s="317" t="n"/>
      <c r="Q43" s="317" t="n"/>
      <c r="R43" s="317" t="n"/>
      <c r="S43" s="317" t="n"/>
      <c r="T43" s="317" t="n"/>
      <c r="U43" s="317" t="n"/>
      <c r="V43" s="317" t="n"/>
      <c r="W43" s="317" t="n"/>
      <c r="X43" s="317" t="n"/>
      <c r="Y43" s="317" t="n"/>
      <c r="Z43" s="317" t="n"/>
      <c r="AA43" s="317" t="n"/>
      <c r="AB43" s="317" t="n"/>
      <c r="AC43" s="317" t="n"/>
      <c r="AD43" s="317" t="n"/>
      <c r="AE43" s="317" t="n"/>
      <c r="AF43" s="317" t="n"/>
      <c r="AG43" s="317" t="n"/>
      <c r="AH43" s="317" t="n"/>
      <c r="AI43" s="317" t="n"/>
      <c r="AJ43" s="317" t="n"/>
      <c r="AK43" s="317" t="n"/>
      <c r="AL43" s="317" t="n"/>
    </row>
    <row r="44" ht="21.75" customHeight="1" s="141">
      <c r="A44" s="317" t="n"/>
      <c r="B44" s="317" t="n"/>
      <c r="C44" s="317" t="n"/>
      <c r="D44" s="317" t="n"/>
      <c r="E44" s="317" t="n"/>
      <c r="F44" s="317" t="n"/>
      <c r="G44" s="317" t="n"/>
      <c r="H44" s="317" t="n"/>
      <c r="I44" s="317" t="n"/>
      <c r="J44" s="317" t="n"/>
      <c r="K44" s="317" t="n"/>
      <c r="L44" s="317" t="n"/>
      <c r="M44" s="317" t="n"/>
      <c r="N44" s="317" t="n"/>
      <c r="O44" s="317" t="n"/>
      <c r="P44" s="317" t="n"/>
      <c r="Q44" s="317" t="n"/>
      <c r="R44" s="317" t="n"/>
      <c r="S44" s="317" t="n"/>
      <c r="T44" s="317" t="n"/>
      <c r="U44" s="317" t="n"/>
      <c r="V44" s="317" t="n"/>
      <c r="W44" s="317" t="n"/>
      <c r="X44" s="317" t="n"/>
      <c r="Y44" s="317" t="n"/>
      <c r="Z44" s="317" t="n"/>
      <c r="AA44" s="317" t="n"/>
      <c r="AB44" s="317" t="n"/>
      <c r="AC44" s="317" t="n"/>
      <c r="AD44" s="317" t="n"/>
      <c r="AE44" s="317" t="n"/>
      <c r="AF44" s="317" t="n"/>
      <c r="AG44" s="317" t="n"/>
      <c r="AH44" s="317" t="n"/>
      <c r="AI44" s="317" t="n"/>
      <c r="AJ44" s="317" t="n"/>
      <c r="AK44" s="317" t="n"/>
      <c r="AL44" s="317" t="n"/>
    </row>
    <row r="45" ht="15" customHeight="1" s="141">
      <c r="A45" s="317" t="n"/>
      <c r="B45" s="317" t="n"/>
      <c r="C45" s="317" t="n"/>
      <c r="D45" s="317" t="n"/>
      <c r="E45" s="317" t="n"/>
      <c r="F45" s="317" t="n"/>
      <c r="G45" s="317" t="n"/>
      <c r="H45" s="317" t="n"/>
      <c r="I45" s="317" t="n"/>
      <c r="J45" s="317" t="n"/>
      <c r="K45" s="317" t="n"/>
      <c r="L45" s="317" t="n"/>
      <c r="M45" s="317" t="n"/>
      <c r="N45" s="317" t="n"/>
      <c r="O45" s="317" t="n"/>
      <c r="P45" s="317" t="n"/>
      <c r="Q45" s="317" t="n"/>
      <c r="R45" s="317" t="n"/>
      <c r="S45" s="317" t="n"/>
      <c r="T45" s="317" t="n"/>
      <c r="U45" s="317" t="n"/>
      <c r="V45" s="317" t="n"/>
      <c r="W45" s="317" t="n"/>
      <c r="X45" s="317" t="n"/>
      <c r="Y45" s="317" t="n"/>
      <c r="Z45" s="317" t="n"/>
      <c r="AA45" s="317" t="n"/>
      <c r="AB45" s="317" t="n"/>
      <c r="AC45" s="317" t="n"/>
      <c r="AD45" s="317" t="n"/>
      <c r="AE45" s="317" t="n"/>
      <c r="AF45" s="317" t="n"/>
      <c r="AG45" s="317" t="n"/>
      <c r="AH45" s="317" t="n"/>
      <c r="AI45" s="317" t="n"/>
      <c r="AJ45" s="317" t="n"/>
      <c r="AK45" s="317" t="n"/>
      <c r="AL45" s="317" t="n"/>
    </row>
    <row r="46" ht="15" customHeight="1" s="141">
      <c r="A46" s="317" t="n"/>
      <c r="B46" s="317" t="n"/>
      <c r="C46" s="317" t="n"/>
      <c r="D46" s="317" t="n"/>
      <c r="E46" s="317" t="n"/>
      <c r="F46" s="317" t="n"/>
      <c r="G46" s="317" t="n"/>
      <c r="H46" s="317" t="n"/>
      <c r="I46" s="317" t="n"/>
      <c r="J46" s="317" t="n"/>
      <c r="K46" s="317" t="n"/>
      <c r="L46" s="317" t="n"/>
      <c r="M46" s="317" t="n"/>
      <c r="N46" s="317" t="n"/>
      <c r="O46" s="317" t="n"/>
      <c r="P46" s="317" t="n"/>
      <c r="Q46" s="317" t="n"/>
      <c r="R46" s="317" t="n"/>
      <c r="S46" s="317" t="n"/>
      <c r="T46" s="317" t="n"/>
      <c r="U46" s="317" t="n"/>
      <c r="V46" s="317" t="n"/>
      <c r="W46" s="317" t="n"/>
      <c r="X46" s="317" t="n"/>
      <c r="Y46" s="317" t="n"/>
      <c r="Z46" s="317" t="n"/>
      <c r="AA46" s="317" t="n"/>
      <c r="AB46" s="317" t="n"/>
      <c r="AC46" s="317" t="n"/>
      <c r="AD46" s="317" t="n"/>
      <c r="AE46" s="317" t="n"/>
      <c r="AF46" s="317" t="n"/>
      <c r="AG46" s="317" t="n"/>
      <c r="AH46" s="317" t="n"/>
      <c r="AI46" s="317" t="n"/>
      <c r="AJ46" s="317" t="n"/>
      <c r="AK46" s="317" t="n"/>
      <c r="AL46" s="317" t="n"/>
    </row>
    <row r="47" ht="15" customHeight="1" s="141">
      <c r="A47" s="317" t="n"/>
      <c r="B47" s="317" t="n"/>
      <c r="C47" s="317" t="n"/>
      <c r="D47" s="317" t="n"/>
      <c r="E47" s="317" t="n"/>
      <c r="F47" s="317" t="n"/>
      <c r="G47" s="317" t="n"/>
      <c r="H47" s="317" t="n"/>
      <c r="I47" s="317" t="n"/>
      <c r="J47" s="317" t="n"/>
      <c r="K47" s="317" t="n"/>
      <c r="L47" s="317" t="n"/>
      <c r="M47" s="317" t="n"/>
      <c r="N47" s="317" t="n"/>
      <c r="O47" s="317" t="n"/>
      <c r="P47" s="317" t="n"/>
      <c r="Q47" s="317" t="n"/>
      <c r="R47" s="317" t="n"/>
      <c r="S47" s="317" t="n"/>
      <c r="T47" s="317" t="n"/>
      <c r="U47" s="317" t="n"/>
      <c r="V47" s="317" t="n"/>
      <c r="W47" s="317" t="n"/>
      <c r="X47" s="317" t="n"/>
      <c r="Y47" s="317" t="n"/>
      <c r="Z47" s="317" t="n"/>
      <c r="AA47" s="317" t="n"/>
      <c r="AB47" s="317" t="n"/>
      <c r="AC47" s="317" t="n"/>
      <c r="AD47" s="317" t="n"/>
      <c r="AE47" s="317" t="n"/>
      <c r="AF47" s="317" t="n"/>
      <c r="AG47" s="317" t="n"/>
      <c r="AH47" s="317" t="n"/>
      <c r="AI47" s="317" t="n"/>
      <c r="AJ47" s="317" t="n"/>
      <c r="AK47" s="317" t="n"/>
      <c r="AL47" s="317" t="n"/>
    </row>
    <row r="48" ht="15" customHeight="1" s="141">
      <c r="A48" s="317" t="n"/>
      <c r="B48" s="317" t="n"/>
      <c r="C48" s="317" t="n"/>
      <c r="D48" s="317" t="n"/>
      <c r="E48" s="317" t="n"/>
      <c r="F48" s="317" t="n"/>
      <c r="G48" s="317" t="n"/>
      <c r="H48" s="317" t="n"/>
      <c r="I48" s="317" t="n"/>
      <c r="J48" s="317" t="n"/>
      <c r="K48" s="317" t="n"/>
      <c r="L48" s="317" t="n"/>
      <c r="M48" s="317" t="n"/>
      <c r="N48" s="317" t="n"/>
      <c r="O48" s="317" t="n"/>
      <c r="P48" s="317" t="n"/>
      <c r="Q48" s="317" t="n"/>
      <c r="R48" s="317" t="n"/>
      <c r="S48" s="317" t="n"/>
      <c r="T48" s="317" t="n"/>
      <c r="U48" s="317" t="n"/>
      <c r="V48" s="317" t="n"/>
      <c r="W48" s="317" t="n"/>
      <c r="X48" s="317" t="n"/>
      <c r="Y48" s="317" t="n"/>
      <c r="Z48" s="317" t="n"/>
      <c r="AA48" s="317" t="n"/>
      <c r="AB48" s="317" t="n"/>
      <c r="AC48" s="317" t="n"/>
      <c r="AD48" s="317" t="n"/>
      <c r="AE48" s="317" t="n"/>
      <c r="AF48" s="317" t="n"/>
      <c r="AG48" s="317" t="n"/>
      <c r="AH48" s="317" t="n"/>
      <c r="AI48" s="317" t="n"/>
      <c r="AJ48" s="317" t="n"/>
      <c r="AK48" s="317" t="n"/>
      <c r="AL48" s="317" t="n"/>
    </row>
    <row r="49" ht="15" customHeight="1" s="141">
      <c r="A49" s="317" t="n"/>
      <c r="B49" s="317" t="n"/>
      <c r="C49" s="317" t="n"/>
      <c r="D49" s="317" t="n"/>
      <c r="E49" s="317" t="n"/>
      <c r="F49" s="317" t="n"/>
      <c r="G49" s="317" t="n"/>
      <c r="H49" s="317" t="n"/>
      <c r="I49" s="317" t="n"/>
      <c r="J49" s="317" t="n"/>
      <c r="K49" s="317" t="n"/>
      <c r="L49" s="317" t="n"/>
      <c r="M49" s="317" t="n"/>
      <c r="N49" s="317" t="n"/>
      <c r="O49" s="317" t="n"/>
      <c r="P49" s="317" t="n"/>
      <c r="Q49" s="317" t="n"/>
      <c r="R49" s="317" t="n"/>
      <c r="S49" s="317" t="n"/>
      <c r="T49" s="317" t="n"/>
      <c r="U49" s="317" t="n"/>
      <c r="V49" s="317" t="n"/>
      <c r="W49" s="317" t="n"/>
      <c r="X49" s="317" t="n"/>
      <c r="Y49" s="317" t="n"/>
      <c r="Z49" s="317" t="n"/>
      <c r="AA49" s="317" t="n"/>
      <c r="AB49" s="317" t="n"/>
      <c r="AC49" s="317" t="n"/>
      <c r="AD49" s="317" t="n"/>
      <c r="AE49" s="317" t="n"/>
      <c r="AF49" s="317" t="n"/>
      <c r="AG49" s="317" t="n"/>
      <c r="AH49" s="317" t="n"/>
      <c r="AI49" s="317" t="n"/>
      <c r="AJ49" s="317" t="n"/>
      <c r="AK49" s="317" t="n"/>
      <c r="AL49" s="317" t="n"/>
    </row>
    <row r="50" ht="21.75" customHeight="1" s="141">
      <c r="A50" s="317" t="n"/>
      <c r="B50" s="317" t="n"/>
      <c r="C50" s="317" t="n"/>
      <c r="D50" s="317" t="n"/>
      <c r="E50" s="317" t="n"/>
      <c r="F50" s="317" t="n"/>
      <c r="G50" s="317" t="n"/>
      <c r="H50" s="317" t="n"/>
      <c r="I50" s="317" t="n"/>
      <c r="J50" s="317" t="n"/>
      <c r="K50" s="317" t="n"/>
      <c r="L50" s="317" t="n"/>
      <c r="M50" s="317" t="n"/>
      <c r="N50" s="317" t="n"/>
      <c r="O50" s="317" t="n"/>
      <c r="P50" s="317" t="n"/>
      <c r="Q50" s="317" t="n"/>
      <c r="R50" s="317" t="n"/>
      <c r="S50" s="317" t="n"/>
      <c r="T50" s="317" t="n"/>
      <c r="U50" s="317" t="n"/>
      <c r="V50" s="317" t="n"/>
      <c r="W50" s="317" t="n"/>
      <c r="X50" s="317" t="n"/>
      <c r="Y50" s="317" t="n"/>
      <c r="Z50" s="317" t="n"/>
      <c r="AA50" s="317" t="n"/>
      <c r="AB50" s="317" t="n"/>
      <c r="AC50" s="317" t="n"/>
      <c r="AD50" s="317" t="n"/>
      <c r="AE50" s="317" t="n"/>
      <c r="AF50" s="317" t="n"/>
      <c r="AG50" s="317" t="n"/>
      <c r="AH50" s="317" t="n"/>
      <c r="AI50" s="317" t="n"/>
      <c r="AJ50" s="317" t="n"/>
      <c r="AK50" s="317" t="n"/>
      <c r="AL50" s="317" t="n"/>
    </row>
    <row r="51" ht="15.75" customHeight="1" s="141">
      <c r="A51" s="317" t="n"/>
      <c r="B51" s="317" t="n"/>
      <c r="C51" s="317" t="n"/>
      <c r="D51" s="317" t="n"/>
      <c r="E51" s="317" t="n"/>
      <c r="F51" s="317" t="n"/>
      <c r="G51" s="317" t="n"/>
      <c r="H51" s="317" t="n"/>
      <c r="I51" s="317" t="n"/>
      <c r="J51" s="317" t="n"/>
      <c r="K51" s="317" t="n"/>
      <c r="L51" s="317" t="n"/>
      <c r="M51" s="317" t="n"/>
      <c r="N51" s="317" t="n"/>
      <c r="O51" s="317" t="n"/>
      <c r="P51" s="317" t="n"/>
      <c r="Q51" s="317" t="n"/>
      <c r="R51" s="317" t="n"/>
      <c r="S51" s="317" t="n"/>
      <c r="T51" s="317" t="n"/>
      <c r="U51" s="317" t="n"/>
      <c r="V51" s="317" t="n"/>
      <c r="W51" s="317" t="n"/>
      <c r="X51" s="317" t="n"/>
      <c r="Y51" s="317" t="n"/>
      <c r="Z51" s="317" t="n"/>
      <c r="AA51" s="317" t="n"/>
      <c r="AB51" s="317" t="n"/>
      <c r="AC51" s="317" t="n"/>
      <c r="AD51" s="317" t="n"/>
      <c r="AE51" s="317" t="n"/>
      <c r="AF51" s="317" t="n"/>
      <c r="AG51" s="317" t="n"/>
      <c r="AH51" s="317" t="n"/>
      <c r="AI51" s="317" t="n"/>
      <c r="AJ51" s="317" t="n"/>
      <c r="AK51" s="317" t="n"/>
      <c r="AL51" s="317" t="n"/>
    </row>
    <row r="52" ht="15.75" customHeight="1" s="141">
      <c r="A52" s="317" t="n"/>
      <c r="B52" s="317" t="n"/>
      <c r="C52" s="317" t="n"/>
      <c r="D52" s="317" t="n"/>
      <c r="E52" s="317" t="n"/>
      <c r="F52" s="317" t="n"/>
      <c r="G52" s="317" t="n"/>
      <c r="H52" s="317" t="n"/>
      <c r="I52" s="317" t="n"/>
      <c r="J52" s="317" t="n"/>
      <c r="K52" s="317" t="n"/>
      <c r="L52" s="317" t="n"/>
      <c r="M52" s="317" t="n"/>
      <c r="N52" s="317" t="n"/>
      <c r="O52" s="317" t="n"/>
      <c r="P52" s="317" t="n"/>
      <c r="Q52" s="317" t="n"/>
      <c r="R52" s="317" t="n"/>
      <c r="S52" s="317" t="n"/>
      <c r="T52" s="317" t="n"/>
      <c r="U52" s="317" t="n"/>
      <c r="V52" s="317" t="n"/>
      <c r="W52" s="317" t="n"/>
      <c r="X52" s="317" t="n"/>
      <c r="Y52" s="317" t="n"/>
      <c r="Z52" s="317" t="n"/>
      <c r="AA52" s="317" t="n"/>
      <c r="AB52" s="317" t="n"/>
      <c r="AC52" s="317" t="n"/>
      <c r="AD52" s="317" t="n"/>
      <c r="AE52" s="317" t="n"/>
      <c r="AF52" s="317" t="n"/>
      <c r="AG52" s="317" t="n"/>
      <c r="AH52" s="317" t="n"/>
      <c r="AI52" s="317" t="n"/>
      <c r="AJ52" s="317" t="n"/>
      <c r="AK52" s="317" t="n"/>
      <c r="AL52" s="317" t="n"/>
    </row>
    <row r="53" ht="15.75" customHeight="1" s="141">
      <c r="A53" s="317" t="n"/>
      <c r="B53" s="317" t="n"/>
      <c r="C53" s="317" t="n"/>
      <c r="D53" s="317" t="n"/>
      <c r="E53" s="317" t="n"/>
      <c r="F53" s="317" t="n"/>
      <c r="G53" s="317" t="n"/>
      <c r="H53" s="317" t="n"/>
      <c r="I53" s="317" t="n"/>
      <c r="J53" s="317" t="n"/>
      <c r="K53" s="317" t="n"/>
      <c r="L53" s="317" t="n"/>
      <c r="M53" s="317" t="n"/>
      <c r="N53" s="317" t="n"/>
      <c r="O53" s="317" t="n"/>
      <c r="P53" s="317" t="n"/>
      <c r="Q53" s="317" t="n"/>
      <c r="R53" s="317" t="n"/>
      <c r="S53" s="317" t="n"/>
      <c r="T53" s="317" t="n"/>
      <c r="U53" s="317" t="n"/>
      <c r="V53" s="317" t="n"/>
      <c r="W53" s="317" t="n"/>
      <c r="X53" s="317" t="n"/>
      <c r="Y53" s="317" t="n"/>
      <c r="Z53" s="317" t="n"/>
      <c r="AA53" s="317" t="n"/>
      <c r="AB53" s="317" t="n"/>
      <c r="AC53" s="317" t="n"/>
      <c r="AD53" s="317" t="n"/>
      <c r="AE53" s="317" t="n"/>
      <c r="AF53" s="317" t="n"/>
      <c r="AG53" s="317" t="n"/>
      <c r="AH53" s="317" t="n"/>
      <c r="AI53" s="317" t="n"/>
      <c r="AJ53" s="317" t="n"/>
      <c r="AK53" s="317" t="n"/>
      <c r="AL53" s="317" t="n"/>
    </row>
    <row r="54" ht="15.75" customHeight="1" s="141">
      <c r="A54" s="317" t="n"/>
      <c r="B54" s="317" t="n"/>
      <c r="C54" s="317" t="n"/>
      <c r="D54" s="317" t="n"/>
      <c r="E54" s="317" t="n"/>
      <c r="F54" s="317" t="n"/>
      <c r="G54" s="317" t="n"/>
      <c r="H54" s="317" t="n"/>
      <c r="I54" s="317" t="n"/>
      <c r="J54" s="317" t="n"/>
      <c r="K54" s="317" t="n"/>
      <c r="L54" s="317" t="n"/>
      <c r="M54" s="317" t="n"/>
      <c r="N54" s="317" t="n"/>
      <c r="O54" s="317" t="n"/>
      <c r="P54" s="317" t="n"/>
      <c r="Q54" s="317" t="n"/>
      <c r="R54" s="317" t="n"/>
      <c r="S54" s="317" t="n"/>
      <c r="T54" s="317" t="n"/>
      <c r="U54" s="317" t="n"/>
      <c r="V54" s="317" t="n"/>
      <c r="W54" s="317" t="n"/>
      <c r="X54" s="317" t="n"/>
      <c r="Y54" s="317" t="n"/>
      <c r="Z54" s="317" t="n"/>
      <c r="AA54" s="317" t="n"/>
      <c r="AB54" s="317" t="n"/>
      <c r="AC54" s="317" t="n"/>
      <c r="AD54" s="317" t="n"/>
      <c r="AE54" s="317" t="n"/>
      <c r="AF54" s="317" t="n"/>
      <c r="AG54" s="317" t="n"/>
      <c r="AH54" s="317" t="n"/>
      <c r="AI54" s="317" t="n"/>
      <c r="AJ54" s="317" t="n"/>
      <c r="AK54" s="317" t="n"/>
      <c r="AL54" s="317" t="n"/>
    </row>
    <row r="55" ht="15.75" customHeight="1" s="141">
      <c r="A55" s="317" t="n"/>
      <c r="B55" s="317" t="n"/>
      <c r="C55" s="317" t="n"/>
      <c r="D55" s="317" t="n"/>
      <c r="E55" s="317" t="n"/>
      <c r="F55" s="317" t="n"/>
      <c r="G55" s="317" t="n"/>
      <c r="H55" s="317" t="n"/>
      <c r="I55" s="317" t="n"/>
      <c r="J55" s="317" t="n"/>
      <c r="K55" s="317" t="n"/>
      <c r="L55" s="317" t="n"/>
      <c r="M55" s="317" t="n"/>
      <c r="N55" s="317" t="n"/>
      <c r="O55" s="317" t="n"/>
      <c r="P55" s="317" t="n"/>
      <c r="Q55" s="317" t="n"/>
      <c r="R55" s="317" t="n"/>
      <c r="S55" s="317" t="n"/>
      <c r="T55" s="317" t="n"/>
      <c r="U55" s="317" t="n"/>
      <c r="V55" s="317" t="n"/>
      <c r="W55" s="317" t="n"/>
      <c r="X55" s="317" t="n"/>
      <c r="Y55" s="317" t="n"/>
      <c r="Z55" s="317" t="n"/>
      <c r="AA55" s="317" t="n"/>
      <c r="AB55" s="317" t="n"/>
      <c r="AC55" s="317" t="n"/>
      <c r="AD55" s="317" t="n"/>
      <c r="AE55" s="317" t="n"/>
      <c r="AF55" s="317" t="n"/>
      <c r="AG55" s="317" t="n"/>
      <c r="AH55" s="317" t="n"/>
      <c r="AI55" s="317" t="n"/>
      <c r="AJ55" s="317" t="n"/>
      <c r="AK55" s="317" t="n"/>
      <c r="AL55" s="317" t="n"/>
    </row>
    <row r="56" ht="15.75" customHeight="1" s="141">
      <c r="A56" s="317" t="n"/>
      <c r="B56" s="317" t="n"/>
      <c r="C56" s="317" t="n"/>
      <c r="D56" s="317" t="n"/>
      <c r="E56" s="317" t="n"/>
      <c r="F56" s="317" t="n"/>
      <c r="G56" s="317" t="n"/>
      <c r="H56" s="317" t="n"/>
      <c r="I56" s="317" t="n"/>
      <c r="J56" s="317" t="n"/>
      <c r="K56" s="317" t="n"/>
      <c r="L56" s="317" t="n"/>
      <c r="M56" s="317" t="n"/>
      <c r="N56" s="317" t="n"/>
      <c r="O56" s="317" t="n"/>
      <c r="P56" s="317" t="n"/>
      <c r="Q56" s="317" t="n"/>
      <c r="R56" s="317" t="n"/>
      <c r="S56" s="317" t="n"/>
      <c r="T56" s="317" t="n"/>
      <c r="U56" s="317" t="n"/>
      <c r="V56" s="317" t="n"/>
      <c r="W56" s="317" t="n"/>
      <c r="X56" s="317" t="n"/>
      <c r="Y56" s="317" t="n"/>
      <c r="Z56" s="317" t="n"/>
      <c r="AA56" s="317" t="n"/>
      <c r="AB56" s="317" t="n"/>
      <c r="AC56" s="317" t="n"/>
      <c r="AD56" s="317" t="n"/>
      <c r="AE56" s="317" t="n"/>
      <c r="AF56" s="317" t="n"/>
      <c r="AG56" s="317" t="n"/>
      <c r="AH56" s="317" t="n"/>
      <c r="AI56" s="317" t="n"/>
      <c r="AJ56" s="317" t="n"/>
      <c r="AK56" s="317" t="n"/>
      <c r="AL56" s="317" t="n"/>
    </row>
    <row r="57" ht="15.75" customHeight="1" s="141">
      <c r="A57" s="317" t="n"/>
      <c r="B57" s="317" t="n"/>
      <c r="C57" s="317" t="n"/>
      <c r="D57" s="317" t="n"/>
      <c r="E57" s="317" t="n"/>
      <c r="F57" s="317" t="n"/>
      <c r="G57" s="317" t="n"/>
      <c r="H57" s="317" t="n"/>
      <c r="I57" s="317" t="n"/>
      <c r="J57" s="317" t="n"/>
      <c r="K57" s="317" t="n"/>
      <c r="L57" s="317" t="n"/>
      <c r="M57" s="317" t="n"/>
      <c r="N57" s="317" t="n"/>
      <c r="O57" s="317" t="n"/>
      <c r="P57" s="317" t="n"/>
      <c r="Q57" s="317" t="n"/>
      <c r="R57" s="317" t="n"/>
      <c r="S57" s="317" t="n"/>
      <c r="T57" s="317" t="n"/>
      <c r="U57" s="317" t="n"/>
      <c r="V57" s="317" t="n"/>
      <c r="W57" s="317" t="n"/>
      <c r="X57" s="317" t="n"/>
      <c r="Y57" s="317" t="n"/>
      <c r="Z57" s="317" t="n"/>
      <c r="AA57" s="317" t="n"/>
      <c r="AB57" s="317" t="n"/>
      <c r="AC57" s="317" t="n"/>
      <c r="AD57" s="317" t="n"/>
      <c r="AE57" s="317" t="n"/>
      <c r="AF57" s="317" t="n"/>
      <c r="AG57" s="317" t="n"/>
      <c r="AH57" s="317" t="n"/>
      <c r="AI57" s="317" t="n"/>
      <c r="AJ57" s="317" t="n"/>
      <c r="AK57" s="317" t="n"/>
      <c r="AL57" s="317" t="n"/>
    </row>
    <row r="58" ht="15.75" customHeight="1" s="141">
      <c r="A58" s="317" t="n"/>
      <c r="B58" s="317" t="n"/>
      <c r="C58" s="317" t="n"/>
      <c r="D58" s="317" t="n"/>
      <c r="E58" s="317" t="n"/>
      <c r="F58" s="317" t="n"/>
      <c r="G58" s="317" t="n"/>
      <c r="H58" s="317" t="n"/>
      <c r="I58" s="317" t="n"/>
      <c r="J58" s="317" t="n"/>
      <c r="K58" s="317" t="n"/>
      <c r="L58" s="317" t="n"/>
      <c r="M58" s="317" t="n"/>
      <c r="N58" s="317" t="n"/>
      <c r="O58" s="317" t="n"/>
      <c r="P58" s="317" t="n"/>
      <c r="Q58" s="317" t="n"/>
      <c r="R58" s="317" t="n"/>
      <c r="S58" s="317" t="n"/>
      <c r="T58" s="317" t="n"/>
      <c r="U58" s="317" t="n"/>
      <c r="V58" s="317" t="n"/>
      <c r="W58" s="317" t="n"/>
      <c r="X58" s="317" t="n"/>
      <c r="Y58" s="317" t="n"/>
      <c r="Z58" s="317" t="n"/>
      <c r="AA58" s="317" t="n"/>
      <c r="AB58" s="317" t="n"/>
      <c r="AC58" s="317" t="n"/>
      <c r="AD58" s="317" t="n"/>
      <c r="AE58" s="317" t="n"/>
      <c r="AF58" s="317" t="n"/>
      <c r="AG58" s="317" t="n"/>
      <c r="AH58" s="317" t="n"/>
      <c r="AI58" s="317" t="n"/>
      <c r="AJ58" s="317" t="n"/>
      <c r="AK58" s="317" t="n"/>
      <c r="AL58" s="317" t="n"/>
    </row>
    <row r="59" ht="15.75" customHeight="1" s="141">
      <c r="A59" s="317" t="n"/>
      <c r="B59" s="317" t="n"/>
      <c r="C59" s="317" t="n"/>
      <c r="D59" s="317" t="n"/>
      <c r="E59" s="317" t="n"/>
      <c r="F59" s="317" t="n"/>
      <c r="G59" s="317" t="n"/>
      <c r="H59" s="317" t="n"/>
      <c r="I59" s="317" t="n"/>
      <c r="J59" s="317" t="n"/>
      <c r="K59" s="317" t="n"/>
      <c r="L59" s="317" t="n"/>
      <c r="M59" s="317" t="n"/>
      <c r="N59" s="317" t="n"/>
      <c r="O59" s="317" t="n"/>
      <c r="P59" s="317" t="n"/>
      <c r="Q59" s="317" t="n"/>
      <c r="R59" s="317" t="n"/>
      <c r="S59" s="317" t="n"/>
      <c r="T59" s="317" t="n"/>
      <c r="U59" s="317" t="n"/>
      <c r="V59" s="317" t="n"/>
      <c r="W59" s="317" t="n"/>
      <c r="X59" s="317" t="n"/>
      <c r="Y59" s="317" t="n"/>
      <c r="Z59" s="317" t="n"/>
      <c r="AA59" s="317" t="n"/>
      <c r="AB59" s="317" t="n"/>
      <c r="AC59" s="317" t="n"/>
      <c r="AD59" s="317" t="n"/>
      <c r="AE59" s="317" t="n"/>
      <c r="AF59" s="317" t="n"/>
      <c r="AG59" s="317" t="n"/>
      <c r="AH59" s="317" t="n"/>
      <c r="AI59" s="317" t="n"/>
      <c r="AJ59" s="317" t="n"/>
      <c r="AK59" s="317" t="n"/>
      <c r="AL59" s="317" t="n"/>
    </row>
    <row r="60" ht="15.75" customHeight="1" s="141">
      <c r="A60" s="317" t="n"/>
      <c r="B60" s="317" t="n"/>
      <c r="C60" s="317" t="n"/>
      <c r="D60" s="317" t="n"/>
      <c r="E60" s="317" t="n"/>
      <c r="F60" s="317" t="n"/>
      <c r="G60" s="317" t="n"/>
      <c r="H60" s="317" t="n"/>
      <c r="I60" s="317" t="n"/>
      <c r="J60" s="317" t="n"/>
      <c r="K60" s="317" t="n"/>
      <c r="L60" s="317" t="n"/>
      <c r="M60" s="317" t="n"/>
      <c r="N60" s="317" t="n"/>
      <c r="O60" s="317" t="n"/>
      <c r="P60" s="317" t="n"/>
      <c r="Q60" s="317" t="n"/>
      <c r="R60" s="317" t="n"/>
      <c r="S60" s="317" t="n"/>
      <c r="T60" s="317" t="n"/>
      <c r="U60" s="317" t="n"/>
      <c r="V60" s="317" t="n"/>
      <c r="W60" s="317" t="n"/>
      <c r="X60" s="317" t="n"/>
      <c r="Y60" s="317" t="n"/>
      <c r="Z60" s="317" t="n"/>
      <c r="AA60" s="317" t="n"/>
      <c r="AB60" s="317" t="n"/>
      <c r="AC60" s="317" t="n"/>
      <c r="AD60" s="317" t="n"/>
      <c r="AE60" s="317" t="n"/>
      <c r="AF60" s="317" t="n"/>
      <c r="AG60" s="317" t="n"/>
      <c r="AH60" s="317" t="n"/>
      <c r="AI60" s="317" t="n"/>
      <c r="AJ60" s="317" t="n"/>
      <c r="AK60" s="317" t="n"/>
      <c r="AL60" s="317" t="n"/>
    </row>
    <row r="61" ht="15.75" customHeight="1" s="141">
      <c r="A61" s="317" t="n"/>
      <c r="B61" s="317" t="n"/>
      <c r="C61" s="317" t="n"/>
      <c r="D61" s="317" t="n"/>
      <c r="E61" s="317" t="n"/>
      <c r="F61" s="317" t="n"/>
      <c r="G61" s="317" t="n"/>
      <c r="H61" s="317" t="n"/>
      <c r="I61" s="317" t="n"/>
      <c r="J61" s="317" t="n"/>
      <c r="K61" s="317" t="n"/>
      <c r="L61" s="317" t="n"/>
      <c r="M61" s="317" t="n"/>
      <c r="N61" s="317" t="n"/>
      <c r="O61" s="317" t="n"/>
      <c r="P61" s="317" t="n"/>
      <c r="Q61" s="317" t="n"/>
      <c r="R61" s="317" t="n"/>
      <c r="S61" s="317" t="n"/>
      <c r="T61" s="317" t="n"/>
      <c r="U61" s="317" t="n"/>
      <c r="V61" s="317" t="n"/>
      <c r="W61" s="317" t="n"/>
      <c r="X61" s="317" t="n"/>
      <c r="Y61" s="317" t="n"/>
      <c r="Z61" s="317" t="n"/>
      <c r="AA61" s="317" t="n"/>
      <c r="AB61" s="317" t="n"/>
      <c r="AC61" s="317" t="n"/>
      <c r="AD61" s="317" t="n"/>
      <c r="AE61" s="317" t="n"/>
      <c r="AF61" s="317" t="n"/>
      <c r="AG61" s="317" t="n"/>
      <c r="AH61" s="317" t="n"/>
      <c r="AI61" s="317" t="n"/>
      <c r="AJ61" s="317" t="n"/>
      <c r="AK61" s="317" t="n"/>
      <c r="AL61" s="317" t="n"/>
    </row>
    <row r="62" ht="15.75" customHeight="1" s="141">
      <c r="A62" s="317" t="n"/>
      <c r="B62" s="317" t="n"/>
      <c r="C62" s="317" t="n"/>
      <c r="D62" s="317" t="n"/>
      <c r="E62" s="317" t="n"/>
      <c r="F62" s="317" t="n"/>
      <c r="G62" s="317" t="n"/>
      <c r="H62" s="317" t="n"/>
      <c r="I62" s="317" t="n"/>
      <c r="J62" s="317" t="n"/>
      <c r="K62" s="317" t="n"/>
      <c r="L62" s="317" t="n"/>
      <c r="M62" s="317" t="n"/>
      <c r="N62" s="317" t="n"/>
      <c r="O62" s="317" t="n"/>
      <c r="P62" s="317" t="n"/>
      <c r="Q62" s="317" t="n"/>
      <c r="R62" s="317" t="n"/>
      <c r="S62" s="317" t="n"/>
      <c r="T62" s="317" t="n"/>
      <c r="U62" s="317" t="n"/>
      <c r="V62" s="317" t="n"/>
      <c r="W62" s="317" t="n"/>
      <c r="X62" s="317" t="n"/>
      <c r="Y62" s="317" t="n"/>
      <c r="Z62" s="317" t="n"/>
      <c r="AA62" s="317" t="n"/>
      <c r="AB62" s="317" t="n"/>
      <c r="AC62" s="317" t="n"/>
      <c r="AD62" s="317" t="n"/>
      <c r="AE62" s="317" t="n"/>
      <c r="AF62" s="317" t="n"/>
      <c r="AG62" s="317" t="n"/>
      <c r="AH62" s="317" t="n"/>
      <c r="AI62" s="317" t="n"/>
      <c r="AJ62" s="317" t="n"/>
      <c r="AK62" s="317" t="n"/>
      <c r="AL62" s="317" t="n"/>
    </row>
    <row r="63" ht="15.75" customHeight="1" s="141">
      <c r="A63" s="317" t="n"/>
      <c r="B63" s="317" t="n"/>
      <c r="C63" s="317" t="n"/>
      <c r="D63" s="317" t="n"/>
      <c r="E63" s="317" t="n"/>
      <c r="F63" s="317" t="n"/>
      <c r="G63" s="317" t="n"/>
      <c r="H63" s="317" t="n"/>
      <c r="I63" s="317" t="n"/>
      <c r="J63" s="317" t="n"/>
      <c r="K63" s="317" t="n"/>
      <c r="L63" s="317" t="n"/>
      <c r="M63" s="317" t="n"/>
      <c r="N63" s="317" t="n"/>
      <c r="O63" s="317" t="n"/>
      <c r="P63" s="317" t="n"/>
      <c r="Q63" s="317" t="n"/>
      <c r="R63" s="317" t="n"/>
      <c r="S63" s="317" t="n"/>
      <c r="T63" s="317" t="n"/>
      <c r="U63" s="317" t="n"/>
      <c r="V63" s="317" t="n"/>
      <c r="W63" s="317" t="n"/>
      <c r="X63" s="317" t="n"/>
      <c r="Y63" s="317" t="n"/>
      <c r="Z63" s="317" t="n"/>
      <c r="AA63" s="317" t="n"/>
      <c r="AB63" s="317" t="n"/>
      <c r="AC63" s="317" t="n"/>
      <c r="AD63" s="317" t="n"/>
      <c r="AE63" s="317" t="n"/>
      <c r="AF63" s="317" t="n"/>
      <c r="AG63" s="317" t="n"/>
      <c r="AH63" s="317" t="n"/>
      <c r="AI63" s="317" t="n"/>
      <c r="AJ63" s="317" t="n"/>
      <c r="AK63" s="317" t="n"/>
      <c r="AL63" s="317" t="n"/>
    </row>
    <row r="64" ht="15.75" customHeight="1" s="141">
      <c r="A64" s="317" t="n"/>
      <c r="B64" s="317" t="n"/>
      <c r="C64" s="317" t="n"/>
      <c r="D64" s="317" t="n"/>
      <c r="E64" s="317" t="n"/>
      <c r="F64" s="317" t="n"/>
      <c r="G64" s="317" t="n"/>
      <c r="H64" s="317" t="n"/>
      <c r="I64" s="317" t="n"/>
      <c r="J64" s="317" t="n"/>
      <c r="K64" s="317" t="n"/>
      <c r="L64" s="317" t="n"/>
      <c r="M64" s="317" t="n"/>
      <c r="N64" s="317" t="n"/>
      <c r="O64" s="317" t="n"/>
      <c r="P64" s="317" t="n"/>
      <c r="Q64" s="317" t="n"/>
      <c r="R64" s="317" t="n"/>
      <c r="S64" s="317" t="n"/>
      <c r="T64" s="317" t="n"/>
      <c r="U64" s="317" t="n"/>
      <c r="V64" s="317" t="n"/>
      <c r="W64" s="317" t="n"/>
      <c r="X64" s="317" t="n"/>
      <c r="Y64" s="317" t="n"/>
      <c r="Z64" s="317" t="n"/>
      <c r="AA64" s="317" t="n"/>
      <c r="AB64" s="317" t="n"/>
      <c r="AC64" s="317" t="n"/>
      <c r="AD64" s="317" t="n"/>
      <c r="AE64" s="317" t="n"/>
      <c r="AF64" s="317" t="n"/>
      <c r="AG64" s="317" t="n"/>
      <c r="AH64" s="317" t="n"/>
      <c r="AI64" s="317" t="n"/>
      <c r="AJ64" s="317" t="n"/>
      <c r="AK64" s="317" t="n"/>
      <c r="AL64" s="317" t="n"/>
    </row>
    <row r="65" ht="15.75" customHeight="1" s="141">
      <c r="A65" s="317" t="n"/>
      <c r="B65" s="317" t="n"/>
      <c r="C65" s="317" t="n"/>
      <c r="D65" s="317" t="n"/>
      <c r="E65" s="317" t="n"/>
      <c r="F65" s="317" t="n"/>
      <c r="G65" s="317" t="n"/>
      <c r="H65" s="317" t="n"/>
      <c r="I65" s="317" t="n"/>
      <c r="J65" s="317" t="n"/>
      <c r="K65" s="317" t="n"/>
      <c r="L65" s="317" t="n"/>
      <c r="M65" s="317" t="n"/>
      <c r="N65" s="317" t="n"/>
      <c r="O65" s="317" t="n"/>
      <c r="P65" s="317" t="n"/>
      <c r="Q65" s="317" t="n"/>
      <c r="R65" s="317" t="n"/>
      <c r="S65" s="317" t="n"/>
      <c r="T65" s="317" t="n"/>
      <c r="U65" s="317" t="n"/>
      <c r="V65" s="317" t="n"/>
      <c r="W65" s="317" t="n"/>
      <c r="X65" s="317" t="n"/>
      <c r="Y65" s="317" t="n"/>
      <c r="Z65" s="317" t="n"/>
      <c r="AA65" s="317" t="n"/>
      <c r="AB65" s="317" t="n"/>
      <c r="AC65" s="317" t="n"/>
      <c r="AD65" s="317" t="n"/>
      <c r="AE65" s="317" t="n"/>
      <c r="AF65" s="317" t="n"/>
      <c r="AG65" s="317" t="n"/>
      <c r="AH65" s="317" t="n"/>
      <c r="AI65" s="317" t="n"/>
      <c r="AJ65" s="317" t="n"/>
      <c r="AK65" s="317" t="n"/>
      <c r="AL65" s="317" t="n"/>
    </row>
    <row r="66" ht="15.75" customHeight="1" s="141">
      <c r="A66" s="317" t="n"/>
      <c r="B66" s="317" t="n"/>
      <c r="C66" s="317" t="n"/>
      <c r="D66" s="317" t="n"/>
      <c r="E66" s="317" t="n"/>
      <c r="F66" s="317" t="n"/>
      <c r="G66" s="317" t="n"/>
      <c r="H66" s="317" t="n"/>
      <c r="I66" s="317" t="n"/>
      <c r="J66" s="317" t="n"/>
      <c r="K66" s="317" t="n"/>
      <c r="L66" s="317" t="n"/>
      <c r="M66" s="317" t="n"/>
      <c r="N66" s="317" t="n"/>
      <c r="O66" s="317" t="n"/>
      <c r="P66" s="317" t="n"/>
      <c r="Q66" s="317" t="n"/>
      <c r="R66" s="317" t="n"/>
      <c r="S66" s="317" t="n"/>
      <c r="T66" s="317" t="n"/>
      <c r="U66" s="317" t="n"/>
      <c r="V66" s="317" t="n"/>
      <c r="W66" s="317" t="n"/>
      <c r="X66" s="317" t="n"/>
      <c r="Y66" s="317" t="n"/>
      <c r="Z66" s="317" t="n"/>
      <c r="AA66" s="317" t="n"/>
      <c r="AB66" s="317" t="n"/>
      <c r="AC66" s="317" t="n"/>
      <c r="AD66" s="317" t="n"/>
      <c r="AE66" s="317" t="n"/>
      <c r="AF66" s="317" t="n"/>
      <c r="AG66" s="317" t="n"/>
      <c r="AH66" s="317" t="n"/>
      <c r="AI66" s="317" t="n"/>
      <c r="AJ66" s="317" t="n"/>
      <c r="AK66" s="317" t="n"/>
      <c r="AL66" s="317" t="n"/>
    </row>
    <row r="67" ht="15.75" customHeight="1" s="141">
      <c r="A67" s="317" t="n"/>
      <c r="B67" s="317" t="n"/>
      <c r="C67" s="317" t="n"/>
      <c r="D67" s="317" t="n"/>
      <c r="E67" s="317" t="n"/>
      <c r="F67" s="317" t="n"/>
      <c r="G67" s="317" t="n"/>
      <c r="H67" s="317" t="n"/>
      <c r="I67" s="317" t="n"/>
      <c r="J67" s="317" t="n"/>
      <c r="K67" s="317" t="n"/>
      <c r="L67" s="317" t="n"/>
      <c r="M67" s="317" t="n"/>
      <c r="N67" s="317" t="n"/>
      <c r="O67" s="317" t="n"/>
      <c r="P67" s="317" t="n"/>
      <c r="Q67" s="317" t="n"/>
      <c r="R67" s="317" t="n"/>
      <c r="S67" s="317" t="n"/>
      <c r="T67" s="317" t="n"/>
      <c r="U67" s="317" t="n"/>
      <c r="V67" s="317" t="n"/>
      <c r="W67" s="317" t="n"/>
      <c r="X67" s="317" t="n"/>
      <c r="Y67" s="317" t="n"/>
      <c r="Z67" s="317" t="n"/>
      <c r="AA67" s="317" t="n"/>
      <c r="AB67" s="317" t="n"/>
      <c r="AC67" s="317" t="n"/>
      <c r="AD67" s="317" t="n"/>
      <c r="AE67" s="317" t="n"/>
      <c r="AF67" s="317" t="n"/>
      <c r="AG67" s="317" t="n"/>
      <c r="AH67" s="317" t="n"/>
      <c r="AI67" s="317" t="n"/>
      <c r="AJ67" s="317" t="n"/>
      <c r="AK67" s="317" t="n"/>
      <c r="AL67" s="317" t="n"/>
    </row>
    <row r="68" ht="15.75" customHeight="1" s="141">
      <c r="A68" s="317" t="n"/>
      <c r="B68" s="317" t="n"/>
      <c r="C68" s="317" t="n"/>
      <c r="D68" s="317" t="n"/>
      <c r="E68" s="317" t="n"/>
      <c r="F68" s="317" t="n"/>
      <c r="G68" s="317" t="n"/>
      <c r="H68" s="317" t="n"/>
      <c r="I68" s="317" t="n"/>
      <c r="J68" s="317" t="n"/>
      <c r="K68" s="317" t="n"/>
      <c r="L68" s="317" t="n"/>
      <c r="M68" s="317" t="n"/>
      <c r="N68" s="317" t="n"/>
      <c r="O68" s="317" t="n"/>
      <c r="P68" s="317" t="n"/>
      <c r="Q68" s="317" t="n"/>
      <c r="R68" s="317" t="n"/>
      <c r="S68" s="317" t="n"/>
      <c r="T68" s="317" t="n"/>
      <c r="U68" s="317" t="n"/>
      <c r="V68" s="317" t="n"/>
      <c r="W68" s="317" t="n"/>
      <c r="X68" s="317" t="n"/>
      <c r="Y68" s="317" t="n"/>
      <c r="Z68" s="317" t="n"/>
      <c r="AA68" s="317" t="n"/>
      <c r="AB68" s="317" t="n"/>
      <c r="AC68" s="317" t="n"/>
      <c r="AD68" s="317" t="n"/>
      <c r="AE68" s="317" t="n"/>
      <c r="AF68" s="317" t="n"/>
      <c r="AG68" s="317" t="n"/>
      <c r="AH68" s="317" t="n"/>
      <c r="AI68" s="317" t="n"/>
      <c r="AJ68" s="317" t="n"/>
      <c r="AK68" s="317" t="n"/>
      <c r="AL68" s="317" t="n"/>
    </row>
    <row r="69" ht="15.75" customHeight="1" s="141">
      <c r="A69" s="317" t="n"/>
      <c r="B69" s="317" t="n"/>
      <c r="C69" s="317" t="n"/>
      <c r="D69" s="317" t="n"/>
      <c r="E69" s="317" t="n"/>
      <c r="F69" s="317" t="n"/>
      <c r="G69" s="317" t="n"/>
      <c r="H69" s="317" t="n"/>
      <c r="I69" s="317" t="n"/>
      <c r="J69" s="317" t="n"/>
      <c r="K69" s="317" t="n"/>
      <c r="L69" s="317" t="n"/>
      <c r="M69" s="317" t="n"/>
      <c r="N69" s="317" t="n"/>
      <c r="O69" s="317" t="n"/>
      <c r="P69" s="317" t="n"/>
      <c r="Q69" s="317" t="n"/>
      <c r="R69" s="317" t="n"/>
      <c r="S69" s="317" t="n"/>
      <c r="T69" s="317" t="n"/>
      <c r="U69" s="317" t="n"/>
      <c r="V69" s="317" t="n"/>
      <c r="W69" s="317" t="n"/>
      <c r="X69" s="317" t="n"/>
      <c r="Y69" s="317" t="n"/>
      <c r="Z69" s="317" t="n"/>
      <c r="AA69" s="317" t="n"/>
      <c r="AB69" s="317" t="n"/>
      <c r="AC69" s="317" t="n"/>
      <c r="AD69" s="317" t="n"/>
      <c r="AE69" s="317" t="n"/>
      <c r="AF69" s="317" t="n"/>
      <c r="AG69" s="317" t="n"/>
      <c r="AH69" s="317" t="n"/>
      <c r="AI69" s="317" t="n"/>
      <c r="AJ69" s="317" t="n"/>
      <c r="AK69" s="317" t="n"/>
      <c r="AL69" s="317" t="n"/>
    </row>
    <row r="70" ht="15.75" customHeight="1" s="141">
      <c r="A70" s="317" t="n"/>
      <c r="B70" s="317" t="n"/>
      <c r="C70" s="317" t="n"/>
      <c r="D70" s="317" t="n"/>
      <c r="E70" s="317" t="n"/>
      <c r="F70" s="317" t="n"/>
      <c r="G70" s="317" t="n"/>
      <c r="H70" s="317" t="n"/>
      <c r="I70" s="317" t="n"/>
      <c r="J70" s="317" t="n"/>
      <c r="K70" s="317" t="n"/>
      <c r="L70" s="317" t="n"/>
      <c r="M70" s="317" t="n"/>
      <c r="N70" s="317" t="n"/>
      <c r="O70" s="317" t="n"/>
      <c r="P70" s="317" t="n"/>
      <c r="Q70" s="317" t="n"/>
      <c r="R70" s="317" t="n"/>
      <c r="S70" s="317" t="n"/>
      <c r="T70" s="317" t="n"/>
      <c r="U70" s="317" t="n"/>
      <c r="V70" s="317" t="n"/>
      <c r="W70" s="317" t="n"/>
      <c r="X70" s="317" t="n"/>
      <c r="Y70" s="317" t="n"/>
      <c r="Z70" s="317" t="n"/>
      <c r="AA70" s="317" t="n"/>
      <c r="AB70" s="317" t="n"/>
      <c r="AC70" s="317" t="n"/>
      <c r="AD70" s="317" t="n"/>
      <c r="AE70" s="317" t="n"/>
      <c r="AF70" s="317" t="n"/>
      <c r="AG70" s="317" t="n"/>
      <c r="AH70" s="317" t="n"/>
      <c r="AI70" s="317" t="n"/>
      <c r="AJ70" s="317" t="n"/>
      <c r="AK70" s="317" t="n"/>
      <c r="AL70" s="317" t="n"/>
    </row>
    <row r="71" ht="15.75" customHeight="1" s="141"/>
    <row r="72" ht="15.75" customHeight="1" s="141"/>
    <row r="73" ht="15.75" customHeight="1" s="141"/>
    <row r="74" ht="15.75" customHeight="1" s="141"/>
    <row r="75" ht="15.75" customHeight="1" s="141"/>
    <row r="76" ht="15.75" customHeight="1" s="141"/>
    <row r="77" ht="15.75" customHeight="1" s="141"/>
    <row r="78" ht="15.75" customHeight="1" s="141"/>
    <row r="79" ht="15.75" customHeight="1" s="141"/>
    <row r="80" ht="15.75" customHeight="1" s="141"/>
    <row r="81" ht="15.75" customHeight="1" s="141"/>
    <row r="82" ht="15.75" customHeight="1" s="141"/>
    <row r="83" ht="15.75" customHeight="1" s="141"/>
    <row r="84" ht="15.75" customHeight="1" s="141"/>
    <row r="85" ht="15.75" customHeight="1" s="141"/>
    <row r="86" ht="15.75" customHeight="1" s="141"/>
    <row r="87" ht="15.75" customHeight="1" s="141"/>
    <row r="88" ht="15.75" customHeight="1" s="141"/>
    <row r="89" ht="15.75" customHeight="1" s="141"/>
    <row r="90" ht="15.75" customHeight="1" s="141"/>
    <row r="91" ht="15.75" customHeight="1" s="141"/>
    <row r="92" ht="15.75" customHeight="1" s="141"/>
    <row r="93" ht="15.75" customHeight="1" s="141"/>
    <row r="94" ht="15.75" customHeight="1" s="141"/>
    <row r="95" ht="15.75" customHeight="1" s="141"/>
    <row r="96" ht="15.75" customHeight="1" s="141"/>
    <row r="97" ht="15.75" customHeight="1" s="141"/>
    <row r="98" ht="15.75" customHeight="1" s="141"/>
    <row r="99" ht="15.75" customHeight="1" s="141"/>
    <row r="100" ht="15.75" customHeight="1" s="141"/>
    <row r="101" ht="15.75" customHeight="1" s="141"/>
    <row r="102" ht="15.75" customHeight="1" s="141"/>
    <row r="103" ht="15.75" customHeight="1" s="141"/>
    <row r="104" ht="15.75" customHeight="1" s="141"/>
    <row r="105" ht="15.75" customHeight="1" s="141"/>
    <row r="106" ht="15.75" customHeight="1" s="141"/>
    <row r="107" ht="15.75" customHeight="1" s="141"/>
    <row r="108" ht="15.75" customHeight="1" s="141"/>
    <row r="109" ht="15.75" customHeight="1" s="141"/>
    <row r="110" ht="15.75" customHeight="1" s="141"/>
    <row r="111" ht="15.75" customHeight="1" s="141"/>
    <row r="112" ht="15.75" customHeight="1" s="141"/>
    <row r="113" ht="15.75" customHeight="1" s="141"/>
    <row r="114" ht="15.75" customHeight="1" s="141"/>
    <row r="115" ht="15.75" customHeight="1" s="141"/>
    <row r="116" ht="15.75" customHeight="1" s="141"/>
    <row r="117" ht="15.75" customHeight="1" s="141"/>
    <row r="118" ht="15.75" customHeight="1" s="141"/>
    <row r="119" ht="15.75" customHeight="1" s="141"/>
    <row r="120" ht="15.75" customHeight="1" s="141"/>
    <row r="121" ht="15.75" customHeight="1" s="141"/>
    <row r="122" ht="15.75" customHeight="1" s="141"/>
    <row r="123" ht="15.75" customHeight="1" s="141"/>
    <row r="124" ht="15.75" customHeight="1" s="141"/>
    <row r="125" ht="15.75" customHeight="1" s="141"/>
    <row r="126" ht="15.75" customHeight="1" s="141"/>
    <row r="127" ht="15.75" customHeight="1" s="141"/>
    <row r="128" ht="15.75" customHeight="1" s="141"/>
    <row r="129" ht="15.75" customHeight="1" s="141"/>
    <row r="130" ht="15.75" customHeight="1" s="141"/>
    <row r="131" ht="15.75" customHeight="1" s="141"/>
    <row r="132" ht="15.75" customHeight="1" s="141"/>
    <row r="133" ht="15.75" customHeight="1" s="141"/>
    <row r="134" ht="15.75" customHeight="1" s="141"/>
    <row r="135" ht="15.75" customHeight="1" s="141"/>
    <row r="136" ht="15.75" customHeight="1" s="141"/>
    <row r="137" ht="15.75" customHeight="1" s="141"/>
    <row r="138" ht="15.75" customHeight="1" s="141"/>
    <row r="139" ht="15.75" customHeight="1" s="141"/>
    <row r="140" ht="15.75" customHeight="1" s="141"/>
    <row r="141" ht="15.75" customHeight="1" s="141"/>
    <row r="142" ht="15.75" customHeight="1" s="141"/>
    <row r="143" ht="15.75" customHeight="1" s="141"/>
    <row r="144" ht="15.75" customHeight="1" s="141"/>
    <row r="145" ht="15.75" customHeight="1" s="141"/>
    <row r="146" ht="15.75" customHeight="1" s="141"/>
    <row r="147" ht="15.75" customHeight="1" s="141"/>
    <row r="148" ht="15.75" customHeight="1" s="141"/>
    <row r="149" ht="15.75" customHeight="1" s="141"/>
    <row r="150" ht="15.75" customHeight="1" s="141"/>
    <row r="151" ht="15.75" customHeight="1" s="141"/>
    <row r="152" ht="15.75" customHeight="1" s="141"/>
    <row r="153" ht="15.75" customHeight="1" s="141"/>
    <row r="154" ht="15.75" customHeight="1" s="141"/>
    <row r="155" ht="15.75" customHeight="1" s="141"/>
    <row r="156" ht="15.75" customHeight="1" s="141"/>
    <row r="157" ht="15.75" customHeight="1" s="141"/>
    <row r="158" ht="15.75" customHeight="1" s="141"/>
    <row r="159" ht="15.75" customHeight="1" s="141"/>
    <row r="160" ht="15.75" customHeight="1" s="141"/>
    <row r="161" ht="15.75" customHeight="1" s="141"/>
    <row r="162" ht="15.75" customHeight="1" s="141"/>
    <row r="163" ht="15.75" customHeight="1" s="141"/>
    <row r="164" ht="15.75" customHeight="1" s="141"/>
    <row r="165" ht="15.75" customHeight="1" s="141"/>
    <row r="166" ht="15.75" customHeight="1" s="141"/>
    <row r="167" ht="15.75" customHeight="1" s="141"/>
    <row r="168" ht="15.75" customHeight="1" s="141"/>
    <row r="169" ht="15.75" customHeight="1" s="141"/>
    <row r="170" ht="15.75" customHeight="1" s="141"/>
    <row r="171" ht="15.75" customHeight="1" s="141"/>
    <row r="172" ht="15.75" customHeight="1" s="141"/>
    <row r="173" ht="15.75" customHeight="1" s="141"/>
    <row r="174" ht="15.75" customHeight="1" s="141"/>
    <row r="175" ht="15.75" customHeight="1" s="141"/>
    <row r="176" ht="15.75" customHeight="1" s="141"/>
    <row r="177" ht="15.75" customHeight="1" s="141"/>
    <row r="178" ht="15.75" customHeight="1" s="141"/>
    <row r="179" ht="15.75" customHeight="1" s="141"/>
    <row r="180" ht="15.75" customHeight="1" s="141"/>
    <row r="181" ht="15.75" customHeight="1" s="141"/>
    <row r="182" ht="15.75" customHeight="1" s="141"/>
    <row r="183" ht="15.75" customHeight="1" s="141"/>
    <row r="184" ht="15.75" customHeight="1" s="141"/>
    <row r="185" ht="15.75" customHeight="1" s="141"/>
    <row r="186" ht="15.75" customHeight="1" s="141"/>
    <row r="187" ht="15.75" customHeight="1" s="141"/>
    <row r="188" ht="15.75" customHeight="1" s="141"/>
    <row r="189" ht="15.75" customHeight="1" s="141"/>
    <row r="190" ht="15.75" customHeight="1" s="141"/>
    <row r="191" ht="15.75" customHeight="1" s="141"/>
    <row r="192" ht="15.75" customHeight="1" s="141"/>
    <row r="193" ht="15.75" customHeight="1" s="141"/>
    <row r="194" ht="15.75" customHeight="1" s="141"/>
    <row r="195" ht="15.75" customHeight="1" s="141"/>
    <row r="196" ht="15.75" customHeight="1" s="141"/>
    <row r="197" ht="15.75" customHeight="1" s="141"/>
    <row r="198" ht="15.75" customHeight="1" s="141"/>
    <row r="199" ht="15.75" customHeight="1" s="141"/>
    <row r="200" ht="15.75" customHeight="1" s="141"/>
    <row r="201" ht="15.75" customHeight="1" s="141"/>
    <row r="202" ht="15.75" customHeight="1" s="141"/>
    <row r="203" ht="15.75" customHeight="1" s="141"/>
    <row r="204" ht="15.75" customHeight="1" s="141"/>
    <row r="205" ht="15.75" customHeight="1" s="141"/>
    <row r="206" ht="15.75" customHeight="1" s="141"/>
    <row r="207" ht="15.75" customHeight="1" s="141"/>
    <row r="208" ht="15.75" customHeight="1" s="141"/>
    <row r="209" ht="15.75" customHeight="1" s="141"/>
    <row r="210" ht="15.75" customHeight="1" s="141"/>
    <row r="211" ht="15.75" customHeight="1" s="141"/>
    <row r="212" ht="15.75" customHeight="1" s="141"/>
    <row r="213" ht="15.75" customHeight="1" s="141"/>
    <row r="214" ht="15.75" customHeight="1" s="141"/>
    <row r="215" ht="15.75" customHeight="1" s="141"/>
    <row r="216" ht="15.75" customHeight="1" s="141"/>
    <row r="217" ht="15.75" customHeight="1" s="141"/>
    <row r="218" ht="15.75" customHeight="1" s="141"/>
    <row r="219" ht="15.75" customHeight="1" s="141"/>
    <row r="220" ht="15.75" customHeight="1" s="141"/>
    <row r="221" ht="15.75" customHeight="1" s="141"/>
    <row r="222" ht="15.75" customHeight="1" s="141"/>
    <row r="223" ht="15.75" customHeight="1" s="141"/>
    <row r="224" ht="15.75" customHeight="1" s="141"/>
    <row r="225" ht="15.75" customHeight="1" s="141"/>
    <row r="226" ht="15.75" customHeight="1" s="141"/>
    <row r="227" ht="15.75" customHeight="1" s="141"/>
    <row r="228" ht="15.75" customHeight="1" s="141"/>
    <row r="229" ht="15.75" customHeight="1" s="141"/>
    <row r="230" ht="15.75" customHeight="1" s="141"/>
    <row r="231" ht="15.75" customHeight="1" s="141"/>
    <row r="232" ht="15.75" customHeight="1" s="141"/>
    <row r="233" ht="15.75" customHeight="1" s="141"/>
    <row r="234" ht="15.75" customHeight="1" s="141"/>
    <row r="235" ht="15.75" customHeight="1" s="141"/>
    <row r="236" ht="15.75" customHeight="1" s="141"/>
    <row r="237" ht="15.75" customHeight="1" s="141"/>
    <row r="238" ht="15.75" customHeight="1" s="141"/>
    <row r="239" ht="15.75" customHeight="1" s="141"/>
    <row r="240" ht="15.75" customHeight="1" s="141"/>
    <row r="241" ht="15.75" customHeight="1" s="141"/>
    <row r="242" ht="15.75" customHeight="1" s="141"/>
    <row r="243" ht="15.75" customHeight="1" s="141"/>
    <row r="244" ht="15.75" customHeight="1" s="141"/>
    <row r="245" ht="15.75" customHeight="1" s="141"/>
    <row r="246" ht="15.75" customHeight="1" s="141"/>
    <row r="247" ht="15.75" customHeight="1" s="141"/>
    <row r="248" ht="15.75" customHeight="1" s="141"/>
    <row r="249" ht="15.75" customHeight="1" s="141"/>
    <row r="250" ht="15.75" customHeight="1" s="141"/>
    <row r="251" ht="15.75" customHeight="1" s="141"/>
    <row r="252" ht="15.75" customHeight="1" s="141"/>
    <row r="253" ht="15.75" customHeight="1" s="141"/>
    <row r="254" ht="15.75" customHeight="1" s="141"/>
    <row r="255" ht="15.75" customHeight="1" s="141"/>
    <row r="256" ht="15.75" customHeight="1" s="141"/>
    <row r="257" ht="15.75" customHeight="1" s="141"/>
    <row r="258" ht="15.75" customHeight="1" s="141"/>
    <row r="259" ht="15.75" customHeight="1" s="141"/>
    <row r="260" ht="15.75" customHeight="1" s="141"/>
    <row r="261" ht="15.75" customHeight="1" s="141"/>
    <row r="262" ht="15.75" customHeight="1" s="141"/>
    <row r="263" ht="15.75" customHeight="1" s="141"/>
    <row r="264" ht="15.75" customHeight="1" s="141"/>
    <row r="265" ht="15.75" customHeight="1" s="141"/>
    <row r="266" ht="15.75" customHeight="1" s="141"/>
    <row r="267" ht="15.75" customHeight="1" s="141"/>
    <row r="268" ht="15.75" customHeight="1" s="141"/>
    <row r="269" ht="15.75" customHeight="1" s="141"/>
    <row r="270" ht="15.75" customHeight="1" s="141"/>
    <row r="271" ht="15.75" customHeight="1" s="141"/>
    <row r="272" ht="15.75" customHeight="1" s="141"/>
    <row r="273" ht="15.75" customHeight="1" s="141"/>
    <row r="274" ht="15.75" customHeight="1" s="141"/>
    <row r="275" ht="15.75" customHeight="1" s="141"/>
    <row r="276" ht="15.75" customHeight="1" s="141"/>
    <row r="277" ht="15.75" customHeight="1" s="141"/>
    <row r="278" ht="15.75" customHeight="1" s="141"/>
    <row r="279" ht="15.75" customHeight="1" s="141"/>
    <row r="280" ht="15.75" customHeight="1" s="141"/>
    <row r="281" ht="15.75" customHeight="1" s="141"/>
    <row r="282" ht="15.75" customHeight="1" s="141"/>
    <row r="283" ht="15.75" customHeight="1" s="141"/>
    <row r="284" ht="15.75" customHeight="1" s="141"/>
    <row r="285" ht="15.75" customHeight="1" s="141"/>
    <row r="286" ht="15.75" customHeight="1" s="141"/>
    <row r="287" ht="15.75" customHeight="1" s="141"/>
    <row r="288" ht="15.75" customHeight="1" s="141"/>
    <row r="289" ht="15.75" customHeight="1" s="141"/>
    <row r="290" ht="15.75" customHeight="1" s="141"/>
    <row r="291" ht="15.75" customHeight="1" s="141"/>
    <row r="292" ht="15.75" customHeight="1" s="141"/>
    <row r="293" ht="15.75" customHeight="1" s="141"/>
    <row r="294" ht="15.75" customHeight="1" s="141"/>
    <row r="295" ht="15.75" customHeight="1" s="141"/>
    <row r="296" ht="15.75" customHeight="1" s="141"/>
    <row r="297" ht="15.75" customHeight="1" s="141"/>
    <row r="298" ht="15.75" customHeight="1" s="141"/>
    <row r="299" ht="15.75" customHeight="1" s="141"/>
    <row r="300" ht="15.75" customHeight="1" s="141"/>
    <row r="301" ht="15.75" customHeight="1" s="141"/>
    <row r="302" ht="15.75" customHeight="1" s="141"/>
    <row r="303" ht="15.75" customHeight="1" s="141"/>
    <row r="304" ht="15.75" customHeight="1" s="141"/>
    <row r="305" ht="15.75" customHeight="1" s="141"/>
    <row r="306" ht="15.75" customHeight="1" s="141"/>
    <row r="307" ht="15.75" customHeight="1" s="141"/>
    <row r="308" ht="15.75" customHeight="1" s="141"/>
    <row r="309" ht="15.75" customHeight="1" s="141"/>
    <row r="310" ht="15.75" customHeight="1" s="141"/>
    <row r="311" ht="15.75" customHeight="1" s="141"/>
    <row r="312" ht="15.75" customHeight="1" s="141"/>
    <row r="313" ht="15.75" customHeight="1" s="141"/>
    <row r="314" ht="15.75" customHeight="1" s="141"/>
    <row r="315" ht="15.75" customHeight="1" s="141"/>
    <row r="316" ht="15.75" customHeight="1" s="141"/>
    <row r="317" ht="15.75" customHeight="1" s="141"/>
    <row r="318" ht="15.75" customHeight="1" s="141"/>
    <row r="319" ht="15.75" customHeight="1" s="141"/>
    <row r="320" ht="15.75" customHeight="1" s="141"/>
    <row r="321" ht="15.75" customHeight="1" s="141"/>
    <row r="322" ht="15.75" customHeight="1" s="141"/>
    <row r="323" ht="15.75" customHeight="1" s="141"/>
    <row r="324" ht="15.75" customHeight="1" s="141"/>
    <row r="325" ht="15.75" customHeight="1" s="141"/>
    <row r="326" ht="15.75" customHeight="1" s="141"/>
    <row r="327" ht="15.75" customHeight="1" s="141"/>
    <row r="328" ht="15.75" customHeight="1" s="141"/>
    <row r="329" ht="15.75" customHeight="1" s="141"/>
    <row r="330" ht="15.75" customHeight="1" s="141"/>
    <row r="331" ht="15.75" customHeight="1" s="141"/>
    <row r="332" ht="15.75" customHeight="1" s="141"/>
    <row r="333" ht="15.75" customHeight="1" s="141"/>
    <row r="334" ht="15.75" customHeight="1" s="141"/>
    <row r="335" ht="15.75" customHeight="1" s="141"/>
    <row r="336" ht="15.75" customHeight="1" s="141"/>
    <row r="337" ht="15.75" customHeight="1" s="141"/>
    <row r="338" ht="15.75" customHeight="1" s="141"/>
    <row r="339" ht="15.75" customHeight="1" s="141"/>
    <row r="340" ht="15.75" customHeight="1" s="141"/>
    <row r="341" ht="15.75" customHeight="1" s="141"/>
    <row r="342" ht="15.75" customHeight="1" s="141"/>
    <row r="343" ht="15.75" customHeight="1" s="141"/>
    <row r="344" ht="15.75" customHeight="1" s="141"/>
    <row r="345" ht="15.75" customHeight="1" s="141"/>
    <row r="346" ht="15.75" customHeight="1" s="141"/>
    <row r="347" ht="15.75" customHeight="1" s="141"/>
    <row r="348" ht="15.75" customHeight="1" s="141"/>
    <row r="349" ht="15.75" customHeight="1" s="141"/>
    <row r="350" ht="15.75" customHeight="1" s="141"/>
    <row r="351" ht="15.75" customHeight="1" s="141"/>
    <row r="352" ht="15.75" customHeight="1" s="141"/>
    <row r="353" ht="15.75" customHeight="1" s="141"/>
    <row r="354" ht="15.75" customHeight="1" s="141"/>
    <row r="355" ht="15.75" customHeight="1" s="141"/>
    <row r="356" ht="15.75" customHeight="1" s="141"/>
    <row r="357" ht="15.75" customHeight="1" s="141"/>
    <row r="358" ht="15.75" customHeight="1" s="141"/>
    <row r="359" ht="15.75" customHeight="1" s="141"/>
    <row r="360" ht="15.75" customHeight="1" s="141"/>
    <row r="361" ht="15.75" customHeight="1" s="141"/>
    <row r="362" ht="15.75" customHeight="1" s="141"/>
    <row r="363" ht="15.75" customHeight="1" s="141"/>
    <row r="364" ht="15.75" customHeight="1" s="141"/>
    <row r="365" ht="15.75" customHeight="1" s="141"/>
    <row r="366" ht="15.75" customHeight="1" s="141"/>
    <row r="367" ht="15.75" customHeight="1" s="141"/>
    <row r="368" ht="15.75" customHeight="1" s="141"/>
    <row r="369" ht="15.75" customHeight="1" s="141"/>
    <row r="370" ht="15.75" customHeight="1" s="141"/>
    <row r="371" ht="15.75" customHeight="1" s="141"/>
    <row r="372" ht="15.75" customHeight="1" s="141"/>
    <row r="373" ht="15.75" customHeight="1" s="141"/>
    <row r="374" ht="15.75" customHeight="1" s="141"/>
    <row r="375" ht="15.75" customHeight="1" s="141"/>
    <row r="376" ht="15.75" customHeight="1" s="141"/>
    <row r="377" ht="15.75" customHeight="1" s="141"/>
    <row r="378" ht="15.75" customHeight="1" s="141"/>
    <row r="379" ht="15.75" customHeight="1" s="141"/>
    <row r="380" ht="15.75" customHeight="1" s="141"/>
    <row r="381" ht="15.75" customHeight="1" s="141"/>
    <row r="382" ht="15.75" customHeight="1" s="141"/>
    <row r="383" ht="15.75" customHeight="1" s="141"/>
    <row r="384" ht="15.75" customHeight="1" s="141"/>
    <row r="385" ht="15.75" customHeight="1" s="141"/>
    <row r="386" ht="15.75" customHeight="1" s="141"/>
    <row r="387" ht="15.75" customHeight="1" s="141"/>
    <row r="388" ht="15.75" customHeight="1" s="141"/>
    <row r="389" ht="15.75" customHeight="1" s="141"/>
    <row r="390" ht="15.75" customHeight="1" s="141"/>
    <row r="391" ht="15.75" customHeight="1" s="141"/>
    <row r="392" ht="15.75" customHeight="1" s="141"/>
    <row r="393" ht="15.75" customHeight="1" s="141"/>
    <row r="394" ht="15.75" customHeight="1" s="141"/>
    <row r="395" ht="15.75" customHeight="1" s="141"/>
    <row r="396" ht="15.75" customHeight="1" s="141"/>
    <row r="397" ht="15.75" customHeight="1" s="141"/>
    <row r="398" ht="15.75" customHeight="1" s="141"/>
    <row r="399" ht="15.75" customHeight="1" s="141"/>
    <row r="400" ht="15.75" customHeight="1" s="141"/>
    <row r="401" ht="15.75" customHeight="1" s="141"/>
    <row r="402" ht="15.75" customHeight="1" s="141"/>
    <row r="403" ht="15.75" customHeight="1" s="141"/>
    <row r="404" ht="15.75" customHeight="1" s="141"/>
    <row r="405" ht="15.75" customHeight="1" s="141"/>
    <row r="406" ht="15.75" customHeight="1" s="141"/>
    <row r="407" ht="15.75" customHeight="1" s="141"/>
    <row r="408" ht="15.75" customHeight="1" s="141"/>
    <row r="409" ht="15.75" customHeight="1" s="141"/>
    <row r="410" ht="15.75" customHeight="1" s="141"/>
    <row r="411" ht="15.75" customHeight="1" s="141"/>
    <row r="412" ht="15.75" customHeight="1" s="141"/>
    <row r="413" ht="15.75" customHeight="1" s="141"/>
    <row r="414" ht="15.75" customHeight="1" s="141"/>
    <row r="415" ht="15.75" customHeight="1" s="141"/>
    <row r="416" ht="15.75" customHeight="1" s="141"/>
    <row r="417" ht="15.75" customHeight="1" s="141"/>
    <row r="418" ht="15.75" customHeight="1" s="141"/>
    <row r="419" ht="15.75" customHeight="1" s="141"/>
    <row r="420" ht="15.75" customHeight="1" s="141"/>
    <row r="421" ht="15.75" customHeight="1" s="141"/>
    <row r="422" ht="15.75" customHeight="1" s="141"/>
    <row r="423" ht="15.75" customHeight="1" s="141"/>
    <row r="424" ht="15.75" customHeight="1" s="141"/>
    <row r="425" ht="15.75" customHeight="1" s="141"/>
    <row r="426" ht="15.75" customHeight="1" s="141"/>
    <row r="427" ht="15.75" customHeight="1" s="141"/>
    <row r="428" ht="15.75" customHeight="1" s="141"/>
    <row r="429" ht="15.75" customHeight="1" s="141"/>
    <row r="430" ht="15.75" customHeight="1" s="141"/>
    <row r="431" ht="15.75" customHeight="1" s="141"/>
    <row r="432" ht="15.75" customHeight="1" s="141"/>
    <row r="433" ht="15.75" customHeight="1" s="141"/>
    <row r="434" ht="15.75" customHeight="1" s="141"/>
    <row r="435" ht="15.75" customHeight="1" s="141"/>
    <row r="436" ht="15.75" customHeight="1" s="141"/>
    <row r="437" ht="15.75" customHeight="1" s="141"/>
    <row r="438" ht="15.75" customHeight="1" s="141"/>
    <row r="439" ht="15.75" customHeight="1" s="141"/>
    <row r="440" ht="15.75" customHeight="1" s="141"/>
    <row r="441" ht="15.75" customHeight="1" s="141"/>
    <row r="442" ht="15.75" customHeight="1" s="141"/>
    <row r="443" ht="15.75" customHeight="1" s="141"/>
    <row r="444" ht="15.75" customHeight="1" s="141"/>
    <row r="445" ht="15.75" customHeight="1" s="141"/>
    <row r="446" ht="15.75" customHeight="1" s="141"/>
    <row r="447" ht="15.75" customHeight="1" s="141"/>
    <row r="448" ht="15.75" customHeight="1" s="141"/>
    <row r="449" ht="15.75" customHeight="1" s="141"/>
    <row r="450" ht="15.75" customHeight="1" s="141"/>
    <row r="451" ht="15.75" customHeight="1" s="141"/>
    <row r="452" ht="15.75" customHeight="1" s="141"/>
    <row r="453" ht="15.75" customHeight="1" s="141"/>
    <row r="454" ht="15.75" customHeight="1" s="141"/>
    <row r="455" ht="15.75" customHeight="1" s="141"/>
    <row r="456" ht="15.75" customHeight="1" s="141"/>
    <row r="457" ht="15.75" customHeight="1" s="141"/>
    <row r="458" ht="15.75" customHeight="1" s="141"/>
    <row r="459" ht="15.75" customHeight="1" s="141"/>
    <row r="460" ht="15.75" customHeight="1" s="141"/>
    <row r="461" ht="15.75" customHeight="1" s="141"/>
    <row r="462" ht="15.75" customHeight="1" s="141"/>
    <row r="463" ht="15.75" customHeight="1" s="141"/>
    <row r="464" ht="15.75" customHeight="1" s="141"/>
    <row r="465" ht="15.75" customHeight="1" s="141"/>
    <row r="466" ht="15.75" customHeight="1" s="141"/>
    <row r="467" ht="15.75" customHeight="1" s="141"/>
    <row r="468" ht="15.75" customHeight="1" s="141"/>
    <row r="469" ht="15.75" customHeight="1" s="141"/>
    <row r="470" ht="15.75" customHeight="1" s="141"/>
    <row r="471" ht="15.75" customHeight="1" s="141"/>
    <row r="472" ht="15.75" customHeight="1" s="141"/>
    <row r="473" ht="15.75" customHeight="1" s="141"/>
    <row r="474" ht="15.75" customHeight="1" s="141"/>
    <row r="475" ht="15.75" customHeight="1" s="141"/>
    <row r="476" ht="15.75" customHeight="1" s="141"/>
    <row r="477" ht="15.75" customHeight="1" s="141"/>
    <row r="478" ht="15.75" customHeight="1" s="141"/>
    <row r="479" ht="15.75" customHeight="1" s="141"/>
    <row r="480" ht="15.75" customHeight="1" s="141"/>
    <row r="481" ht="15.75" customHeight="1" s="141"/>
    <row r="482" ht="15.75" customHeight="1" s="141"/>
    <row r="483" ht="15.75" customHeight="1" s="141"/>
    <row r="484" ht="15.75" customHeight="1" s="141"/>
    <row r="485" ht="15.75" customHeight="1" s="141"/>
    <row r="486" ht="15.75" customHeight="1" s="141"/>
    <row r="487" ht="15.75" customHeight="1" s="141"/>
    <row r="488" ht="15.75" customHeight="1" s="141"/>
    <row r="489" ht="15.75" customHeight="1" s="141"/>
    <row r="490" ht="15.75" customHeight="1" s="141"/>
    <row r="491" ht="15.75" customHeight="1" s="141"/>
    <row r="492" ht="15.75" customHeight="1" s="141"/>
    <row r="493" ht="15.75" customHeight="1" s="141"/>
    <row r="494" ht="15.75" customHeight="1" s="141"/>
    <row r="495" ht="15.75" customHeight="1" s="141"/>
    <row r="496" ht="15.75" customHeight="1" s="141"/>
    <row r="497" ht="15.75" customHeight="1" s="141"/>
    <row r="498" ht="15.75" customHeight="1" s="141"/>
    <row r="499" ht="15.75" customHeight="1" s="141"/>
    <row r="500" ht="15.75" customHeight="1" s="141"/>
    <row r="501" ht="15.75" customHeight="1" s="141"/>
    <row r="502" ht="15.75" customHeight="1" s="141"/>
    <row r="503" ht="15.75" customHeight="1" s="141"/>
    <row r="504" ht="15.75" customHeight="1" s="141"/>
    <row r="505" ht="15.75" customHeight="1" s="141"/>
    <row r="506" ht="15.75" customHeight="1" s="141"/>
    <row r="507" ht="15.75" customHeight="1" s="141"/>
    <row r="508" ht="15.75" customHeight="1" s="141"/>
    <row r="509" ht="15.75" customHeight="1" s="141"/>
    <row r="510" ht="15.75" customHeight="1" s="141"/>
    <row r="511" ht="15.75" customHeight="1" s="141"/>
    <row r="512" ht="15.75" customHeight="1" s="141"/>
    <row r="513" ht="15.75" customHeight="1" s="141"/>
    <row r="514" ht="15.75" customHeight="1" s="141"/>
    <row r="515" ht="15.75" customHeight="1" s="141"/>
    <row r="516" ht="15.75" customHeight="1" s="141"/>
    <row r="517" ht="15.75" customHeight="1" s="141"/>
    <row r="518" ht="15.75" customHeight="1" s="141"/>
    <row r="519" ht="15.75" customHeight="1" s="141"/>
    <row r="520" ht="15.75" customHeight="1" s="141"/>
    <row r="521" ht="15.75" customHeight="1" s="141"/>
    <row r="522" ht="15.75" customHeight="1" s="141"/>
    <row r="523" ht="15.75" customHeight="1" s="141"/>
    <row r="524" ht="15.75" customHeight="1" s="141"/>
    <row r="525" ht="15.75" customHeight="1" s="141"/>
    <row r="526" ht="15.75" customHeight="1" s="141"/>
    <row r="527" ht="15.75" customHeight="1" s="141"/>
    <row r="528" ht="15.75" customHeight="1" s="141"/>
    <row r="529" ht="15.75" customHeight="1" s="141"/>
    <row r="530" ht="15.75" customHeight="1" s="141"/>
    <row r="531" ht="15.75" customHeight="1" s="141"/>
    <row r="532" ht="15.75" customHeight="1" s="141"/>
    <row r="533" ht="15.75" customHeight="1" s="141"/>
    <row r="534" ht="15.75" customHeight="1" s="141"/>
    <row r="535" ht="15.75" customHeight="1" s="141"/>
    <row r="536" ht="15.75" customHeight="1" s="141"/>
    <row r="537" ht="15.75" customHeight="1" s="141"/>
    <row r="538" ht="15.75" customHeight="1" s="141"/>
    <row r="539" ht="15.75" customHeight="1" s="141"/>
    <row r="540" ht="15.75" customHeight="1" s="141"/>
    <row r="541" ht="15.75" customHeight="1" s="141"/>
    <row r="542" ht="15.75" customHeight="1" s="141"/>
    <row r="543" ht="15.75" customHeight="1" s="141"/>
    <row r="544" ht="15.75" customHeight="1" s="141"/>
    <row r="545" ht="15.75" customHeight="1" s="141"/>
    <row r="546" ht="15.75" customHeight="1" s="141"/>
    <row r="547" ht="15.75" customHeight="1" s="141"/>
    <row r="548" ht="15.75" customHeight="1" s="141"/>
    <row r="549" ht="15.75" customHeight="1" s="141"/>
    <row r="550" ht="15.75" customHeight="1" s="141"/>
    <row r="551" ht="15.75" customHeight="1" s="141"/>
    <row r="552" ht="15.75" customHeight="1" s="141"/>
    <row r="553" ht="15.75" customHeight="1" s="141"/>
    <row r="554" ht="15.75" customHeight="1" s="141"/>
    <row r="555" ht="15.75" customHeight="1" s="141"/>
    <row r="556" ht="15.75" customHeight="1" s="141"/>
    <row r="557" ht="15.75" customHeight="1" s="141"/>
    <row r="558" ht="15.75" customHeight="1" s="141"/>
    <row r="559" ht="15.75" customHeight="1" s="141"/>
    <row r="560" ht="15.75" customHeight="1" s="141"/>
    <row r="561" ht="15.75" customHeight="1" s="141"/>
    <row r="562" ht="15.75" customHeight="1" s="141"/>
    <row r="563" ht="15.75" customHeight="1" s="141"/>
    <row r="564" ht="15.75" customHeight="1" s="141"/>
    <row r="565" ht="15.75" customHeight="1" s="141"/>
    <row r="566" ht="15.75" customHeight="1" s="141"/>
    <row r="567" ht="15.75" customHeight="1" s="141"/>
    <row r="568" ht="15.75" customHeight="1" s="141"/>
    <row r="569" ht="15.75" customHeight="1" s="141"/>
    <row r="570" ht="15.75" customHeight="1" s="141"/>
    <row r="571" ht="15.75" customHeight="1" s="141"/>
    <row r="572" ht="15.75" customHeight="1" s="141"/>
    <row r="573" ht="15.75" customHeight="1" s="141"/>
    <row r="574" ht="15.75" customHeight="1" s="141"/>
    <row r="575" ht="15.75" customHeight="1" s="141"/>
    <row r="576" ht="15.75" customHeight="1" s="141"/>
    <row r="577" ht="15.75" customHeight="1" s="141"/>
    <row r="578" ht="15.75" customHeight="1" s="141"/>
    <row r="579" ht="15.75" customHeight="1" s="141"/>
    <row r="580" ht="15.75" customHeight="1" s="141"/>
    <row r="581" ht="15.75" customHeight="1" s="141"/>
    <row r="582" ht="15.75" customHeight="1" s="141"/>
    <row r="583" ht="15.75" customHeight="1" s="141"/>
    <row r="584" ht="15.75" customHeight="1" s="141"/>
    <row r="585" ht="15.75" customHeight="1" s="141"/>
    <row r="586" ht="15.75" customHeight="1" s="141"/>
    <row r="587" ht="15.75" customHeight="1" s="141"/>
    <row r="588" ht="15.75" customHeight="1" s="141"/>
    <row r="589" ht="15.75" customHeight="1" s="141"/>
    <row r="590" ht="15.75" customHeight="1" s="141"/>
    <row r="591" ht="15.75" customHeight="1" s="141"/>
    <row r="592" ht="15.75" customHeight="1" s="141"/>
    <row r="593" ht="15.75" customHeight="1" s="141"/>
    <row r="594" ht="15.75" customHeight="1" s="141"/>
    <row r="595" ht="15.75" customHeight="1" s="141"/>
    <row r="596" ht="15.75" customHeight="1" s="141"/>
    <row r="597" ht="15.75" customHeight="1" s="141"/>
    <row r="598" ht="15.75" customHeight="1" s="141"/>
    <row r="599" ht="15.75" customHeight="1" s="141"/>
    <row r="600" ht="15.75" customHeight="1" s="141"/>
    <row r="601" ht="15.75" customHeight="1" s="141"/>
    <row r="602" ht="15.75" customHeight="1" s="141"/>
    <row r="603" ht="15.75" customHeight="1" s="141"/>
    <row r="604" ht="15.75" customHeight="1" s="141"/>
    <row r="605" ht="15.75" customHeight="1" s="141"/>
    <row r="606" ht="15.75" customHeight="1" s="141"/>
    <row r="607" ht="15.75" customHeight="1" s="141"/>
    <row r="608" ht="15.75" customHeight="1" s="141"/>
    <row r="609" ht="15.75" customHeight="1" s="141"/>
    <row r="610" ht="15.75" customHeight="1" s="141"/>
    <row r="611" ht="15.75" customHeight="1" s="141"/>
    <row r="612" ht="15.75" customHeight="1" s="141"/>
    <row r="613" ht="15.75" customHeight="1" s="141"/>
    <row r="614" ht="15.75" customHeight="1" s="141"/>
    <row r="615" ht="15.75" customHeight="1" s="141"/>
    <row r="616" ht="15.75" customHeight="1" s="141"/>
    <row r="617" ht="15.75" customHeight="1" s="141"/>
    <row r="618" ht="15.75" customHeight="1" s="141"/>
    <row r="619" ht="15.75" customHeight="1" s="141"/>
    <row r="620" ht="15.75" customHeight="1" s="141"/>
    <row r="621" ht="15.75" customHeight="1" s="141"/>
    <row r="622" ht="15.75" customHeight="1" s="141"/>
    <row r="623" ht="15.75" customHeight="1" s="141"/>
    <row r="624" ht="15.75" customHeight="1" s="141"/>
    <row r="625" ht="15.75" customHeight="1" s="141"/>
    <row r="626" ht="15.75" customHeight="1" s="141"/>
    <row r="627" ht="15.75" customHeight="1" s="141"/>
    <row r="628" ht="15.75" customHeight="1" s="141"/>
    <row r="629" ht="15.75" customHeight="1" s="141"/>
    <row r="630" ht="15.75" customHeight="1" s="141"/>
    <row r="631" ht="15.75" customHeight="1" s="141"/>
    <row r="632" ht="15.75" customHeight="1" s="141"/>
    <row r="633" ht="15.75" customHeight="1" s="141"/>
    <row r="634" ht="15.75" customHeight="1" s="141"/>
    <row r="635" ht="15.75" customHeight="1" s="141"/>
    <row r="636" ht="15.75" customHeight="1" s="141"/>
    <row r="637" ht="15.75" customHeight="1" s="141"/>
    <row r="638" ht="15.75" customHeight="1" s="141"/>
    <row r="639" ht="15.75" customHeight="1" s="141"/>
    <row r="640" ht="15.75" customHeight="1" s="141"/>
    <row r="641" ht="15.75" customHeight="1" s="141"/>
    <row r="642" ht="15.75" customHeight="1" s="141"/>
    <row r="643" ht="15.75" customHeight="1" s="141"/>
    <row r="644" ht="15.75" customHeight="1" s="141"/>
    <row r="645" ht="15.75" customHeight="1" s="141"/>
    <row r="646" ht="15.75" customHeight="1" s="141"/>
    <row r="647" ht="15.75" customHeight="1" s="141"/>
    <row r="648" ht="15.75" customHeight="1" s="141"/>
    <row r="649" ht="15.75" customHeight="1" s="141"/>
    <row r="650" ht="15.75" customHeight="1" s="141"/>
    <row r="651" ht="15.75" customHeight="1" s="141"/>
    <row r="652" ht="15.75" customHeight="1" s="141"/>
    <row r="653" ht="15.75" customHeight="1" s="141"/>
    <row r="654" ht="15.75" customHeight="1" s="141"/>
    <row r="655" ht="15.75" customHeight="1" s="141"/>
    <row r="656" ht="15.75" customHeight="1" s="141"/>
    <row r="657" ht="15.75" customHeight="1" s="141"/>
    <row r="658" ht="15.75" customHeight="1" s="141"/>
    <row r="659" ht="15.75" customHeight="1" s="141"/>
    <row r="660" ht="15.75" customHeight="1" s="141"/>
    <row r="661" ht="15.75" customHeight="1" s="141"/>
    <row r="662" ht="15.75" customHeight="1" s="141"/>
    <row r="663" ht="15.75" customHeight="1" s="141"/>
    <row r="664" ht="15.75" customHeight="1" s="141"/>
    <row r="665" ht="15.75" customHeight="1" s="141"/>
    <row r="666" ht="15.75" customHeight="1" s="141"/>
    <row r="667" ht="15.75" customHeight="1" s="141"/>
    <row r="668" ht="15.75" customHeight="1" s="141"/>
    <row r="669" ht="15.75" customHeight="1" s="141"/>
    <row r="670" ht="15.75" customHeight="1" s="141"/>
    <row r="671" ht="15.75" customHeight="1" s="141"/>
    <row r="672" ht="15.75" customHeight="1" s="141"/>
    <row r="673" ht="15.75" customHeight="1" s="141"/>
    <row r="674" ht="15.75" customHeight="1" s="141"/>
    <row r="675" ht="15.75" customHeight="1" s="141"/>
    <row r="676" ht="15.75" customHeight="1" s="141"/>
    <row r="677" ht="15.75" customHeight="1" s="141"/>
    <row r="678" ht="15.75" customHeight="1" s="141"/>
    <row r="679" ht="15.75" customHeight="1" s="141"/>
    <row r="680" ht="15.75" customHeight="1" s="141"/>
    <row r="681" ht="15.75" customHeight="1" s="141"/>
    <row r="682" ht="15.75" customHeight="1" s="141"/>
    <row r="683" ht="15.75" customHeight="1" s="141"/>
    <row r="684" ht="15.75" customHeight="1" s="141"/>
    <row r="685" ht="15.75" customHeight="1" s="141"/>
    <row r="686" ht="15.75" customHeight="1" s="141"/>
    <row r="687" ht="15.75" customHeight="1" s="141"/>
    <row r="688" ht="15.75" customHeight="1" s="141"/>
    <row r="689" ht="15.75" customHeight="1" s="141"/>
    <row r="690" ht="15.75" customHeight="1" s="141"/>
    <row r="691" ht="15.75" customHeight="1" s="141"/>
    <row r="692" ht="15.75" customHeight="1" s="141"/>
    <row r="693" ht="15.75" customHeight="1" s="141"/>
    <row r="694" ht="15.75" customHeight="1" s="141"/>
    <row r="695" ht="15.75" customHeight="1" s="141"/>
    <row r="696" ht="15.75" customHeight="1" s="141"/>
    <row r="697" ht="15.75" customHeight="1" s="141"/>
    <row r="698" ht="15.75" customHeight="1" s="141"/>
    <row r="699" ht="15.75" customHeight="1" s="141"/>
    <row r="700" ht="15.75" customHeight="1" s="141"/>
    <row r="701" ht="15.75" customHeight="1" s="141"/>
    <row r="702" ht="15.75" customHeight="1" s="141"/>
    <row r="703" ht="15.75" customHeight="1" s="141"/>
    <row r="704" ht="15.75" customHeight="1" s="141"/>
    <row r="705" ht="15.75" customHeight="1" s="141"/>
    <row r="706" ht="15.75" customHeight="1" s="141"/>
    <row r="707" ht="15.75" customHeight="1" s="141"/>
    <row r="708" ht="15.75" customHeight="1" s="141"/>
    <row r="709" ht="15.75" customHeight="1" s="141"/>
    <row r="710" ht="15.75" customHeight="1" s="141"/>
    <row r="711" ht="15.75" customHeight="1" s="141"/>
    <row r="712" ht="15.75" customHeight="1" s="141"/>
    <row r="713" ht="15.75" customHeight="1" s="141"/>
    <row r="714" ht="15.75" customHeight="1" s="141"/>
    <row r="715" ht="15.75" customHeight="1" s="141"/>
    <row r="716" ht="15.75" customHeight="1" s="141"/>
    <row r="717" ht="15.75" customHeight="1" s="141"/>
    <row r="718" ht="15.75" customHeight="1" s="141"/>
    <row r="719" ht="15.75" customHeight="1" s="141"/>
    <row r="720" ht="15.75" customHeight="1" s="141"/>
    <row r="721" ht="15.75" customHeight="1" s="141"/>
    <row r="722" ht="15.75" customHeight="1" s="141"/>
    <row r="723" ht="15.75" customHeight="1" s="141"/>
    <row r="724" ht="15.75" customHeight="1" s="141"/>
    <row r="725" ht="15.75" customHeight="1" s="141"/>
    <row r="726" ht="15.75" customHeight="1" s="141"/>
    <row r="727" ht="15.75" customHeight="1" s="141"/>
    <row r="728" ht="15.75" customHeight="1" s="141"/>
    <row r="729" ht="15.75" customHeight="1" s="141"/>
    <row r="730" ht="15.75" customHeight="1" s="141"/>
    <row r="731" ht="15.75" customHeight="1" s="141"/>
    <row r="732" ht="15.75" customHeight="1" s="141"/>
    <row r="733" ht="15.75" customHeight="1" s="141"/>
    <row r="734" ht="15.75" customHeight="1" s="141"/>
    <row r="735" ht="15.75" customHeight="1" s="141"/>
    <row r="736" ht="15.75" customHeight="1" s="141"/>
    <row r="737" ht="15.75" customHeight="1" s="141"/>
    <row r="738" ht="15.75" customHeight="1" s="141"/>
    <row r="739" ht="15.75" customHeight="1" s="141"/>
    <row r="740" ht="15.75" customHeight="1" s="141"/>
    <row r="741" ht="15.75" customHeight="1" s="141"/>
    <row r="742" ht="15.75" customHeight="1" s="141"/>
    <row r="743" ht="15.75" customHeight="1" s="141"/>
    <row r="744" ht="15.75" customHeight="1" s="141"/>
    <row r="745" ht="15.75" customHeight="1" s="141"/>
    <row r="746" ht="15.75" customHeight="1" s="141"/>
    <row r="747" ht="15.75" customHeight="1" s="141"/>
    <row r="748" ht="15.75" customHeight="1" s="141"/>
    <row r="749" ht="15.75" customHeight="1" s="141"/>
    <row r="750" ht="15.75" customHeight="1" s="141"/>
    <row r="751" ht="15.75" customHeight="1" s="141"/>
    <row r="752" ht="15.75" customHeight="1" s="141"/>
    <row r="753" ht="15.75" customHeight="1" s="141"/>
    <row r="754" ht="15.75" customHeight="1" s="141"/>
    <row r="755" ht="15.75" customHeight="1" s="141"/>
    <row r="756" ht="15.75" customHeight="1" s="141"/>
    <row r="757" ht="15.75" customHeight="1" s="141"/>
    <row r="758" ht="15.75" customHeight="1" s="141"/>
    <row r="759" ht="15.75" customHeight="1" s="141"/>
    <row r="760" ht="15.75" customHeight="1" s="141"/>
    <row r="761" ht="15.75" customHeight="1" s="141"/>
    <row r="762" ht="15.75" customHeight="1" s="141"/>
    <row r="763" ht="15.75" customHeight="1" s="141"/>
    <row r="764" ht="15.75" customHeight="1" s="141"/>
    <row r="765" ht="15.75" customHeight="1" s="141"/>
    <row r="766" ht="15.75" customHeight="1" s="141"/>
    <row r="767" ht="15.75" customHeight="1" s="141"/>
    <row r="768" ht="15.75" customHeight="1" s="141"/>
    <row r="769" ht="15.75" customHeight="1" s="141"/>
    <row r="770" ht="15.75" customHeight="1" s="141"/>
    <row r="771" ht="15.75" customHeight="1" s="141"/>
    <row r="772" ht="15.75" customHeight="1" s="141"/>
    <row r="773" ht="15.75" customHeight="1" s="141"/>
    <row r="774" ht="15.75" customHeight="1" s="141"/>
    <row r="775" ht="15.75" customHeight="1" s="141"/>
    <row r="776" ht="15.75" customHeight="1" s="141"/>
    <row r="777" ht="15.75" customHeight="1" s="141"/>
    <row r="778" ht="15.75" customHeight="1" s="141"/>
    <row r="779" ht="15.75" customHeight="1" s="141"/>
    <row r="780" ht="15.75" customHeight="1" s="141"/>
    <row r="781" ht="15.75" customHeight="1" s="141"/>
    <row r="782" ht="15.75" customHeight="1" s="141"/>
    <row r="783" ht="15.75" customHeight="1" s="141"/>
    <row r="784" ht="15.75" customHeight="1" s="141"/>
    <row r="785" ht="15.75" customHeight="1" s="141"/>
    <row r="786" ht="15.75" customHeight="1" s="141"/>
    <row r="787" ht="15.75" customHeight="1" s="141"/>
    <row r="788" ht="15.75" customHeight="1" s="141"/>
    <row r="789" ht="15.75" customHeight="1" s="141"/>
    <row r="790" ht="15.75" customHeight="1" s="141"/>
    <row r="791" ht="15.75" customHeight="1" s="141"/>
    <row r="792" ht="15.75" customHeight="1" s="141"/>
    <row r="793" ht="15.75" customHeight="1" s="141"/>
    <row r="794" ht="15.75" customHeight="1" s="141"/>
    <row r="795" ht="15.75" customHeight="1" s="141"/>
    <row r="796" ht="15.75" customHeight="1" s="141"/>
    <row r="797" ht="15.75" customHeight="1" s="141"/>
    <row r="798" ht="15.75" customHeight="1" s="141"/>
    <row r="799" ht="15.75" customHeight="1" s="141"/>
    <row r="800" ht="15.75" customHeight="1" s="141"/>
    <row r="801" ht="15.75" customHeight="1" s="141"/>
    <row r="802" ht="15.75" customHeight="1" s="141"/>
    <row r="803" ht="15.75" customHeight="1" s="141"/>
    <row r="804" ht="15.75" customHeight="1" s="141"/>
    <row r="805" ht="15.75" customHeight="1" s="141"/>
    <row r="806" ht="15.75" customHeight="1" s="141"/>
    <row r="807" ht="15.75" customHeight="1" s="141"/>
    <row r="808" ht="15.75" customHeight="1" s="141"/>
    <row r="809" ht="15.75" customHeight="1" s="141"/>
    <row r="810" ht="15.75" customHeight="1" s="141"/>
    <row r="811" ht="15.75" customHeight="1" s="141"/>
    <row r="812" ht="15.75" customHeight="1" s="141"/>
    <row r="813" ht="15.75" customHeight="1" s="141"/>
    <row r="814" ht="15.75" customHeight="1" s="141"/>
    <row r="815" ht="15.75" customHeight="1" s="141"/>
    <row r="816" ht="15.75" customHeight="1" s="141"/>
    <row r="817" ht="15.75" customHeight="1" s="141"/>
    <row r="818" ht="15.75" customHeight="1" s="141"/>
    <row r="819" ht="15.75" customHeight="1" s="141"/>
    <row r="820" ht="15.75" customHeight="1" s="141"/>
    <row r="821" ht="15.75" customHeight="1" s="141"/>
    <row r="822" ht="15.75" customHeight="1" s="141"/>
    <row r="823" ht="15.75" customHeight="1" s="141"/>
    <row r="824" ht="15.75" customHeight="1" s="141"/>
    <row r="825" ht="15.75" customHeight="1" s="141"/>
    <row r="826" ht="15.75" customHeight="1" s="141"/>
    <row r="827" ht="15.75" customHeight="1" s="141"/>
    <row r="828" ht="15.75" customHeight="1" s="141"/>
    <row r="829" ht="15.75" customHeight="1" s="141"/>
    <row r="830" ht="15.75" customHeight="1" s="141"/>
    <row r="831" ht="15.75" customHeight="1" s="141"/>
    <row r="832" ht="15.75" customHeight="1" s="141"/>
    <row r="833" ht="15.75" customHeight="1" s="141"/>
    <row r="834" ht="15.75" customHeight="1" s="141"/>
    <row r="835" ht="15.75" customHeight="1" s="141"/>
    <row r="836" ht="15.75" customHeight="1" s="141"/>
    <row r="837" ht="15.75" customHeight="1" s="141"/>
    <row r="838" ht="15.75" customHeight="1" s="141"/>
    <row r="839" ht="15.75" customHeight="1" s="141"/>
    <row r="840" ht="15.75" customHeight="1" s="141"/>
    <row r="841" ht="15.75" customHeight="1" s="141"/>
    <row r="842" ht="15.75" customHeight="1" s="141"/>
    <row r="843" ht="15.75" customHeight="1" s="141"/>
    <row r="844" ht="15.75" customHeight="1" s="141"/>
    <row r="845" ht="15.75" customHeight="1" s="141"/>
    <row r="846" ht="15.75" customHeight="1" s="141"/>
    <row r="847" ht="15.75" customHeight="1" s="141"/>
    <row r="848" ht="15.75" customHeight="1" s="141"/>
    <row r="849" ht="15.75" customHeight="1" s="141"/>
    <row r="850" ht="15.75" customHeight="1" s="141"/>
    <row r="851" ht="15.75" customHeight="1" s="141"/>
    <row r="852" ht="15.75" customHeight="1" s="141"/>
    <row r="853" ht="15.75" customHeight="1" s="141"/>
    <row r="854" ht="15.75" customHeight="1" s="141"/>
    <row r="855" ht="15.75" customHeight="1" s="141"/>
    <row r="856" ht="15.75" customHeight="1" s="141"/>
    <row r="857" ht="15.75" customHeight="1" s="141"/>
    <row r="858" ht="15.75" customHeight="1" s="141"/>
    <row r="859" ht="15.75" customHeight="1" s="141"/>
    <row r="860" ht="15.75" customHeight="1" s="141"/>
    <row r="861" ht="15.75" customHeight="1" s="141"/>
    <row r="862" ht="15.75" customHeight="1" s="141"/>
    <row r="863" ht="15.75" customHeight="1" s="141"/>
    <row r="864" ht="15.75" customHeight="1" s="141"/>
    <row r="865" ht="15.75" customHeight="1" s="141"/>
    <row r="866" ht="15.75" customHeight="1" s="141"/>
    <row r="867" ht="15.75" customHeight="1" s="141"/>
    <row r="868" ht="15.75" customHeight="1" s="141"/>
    <row r="869" ht="15.75" customHeight="1" s="141"/>
    <row r="870" ht="15.75" customHeight="1" s="141"/>
    <row r="871" ht="15.75" customHeight="1" s="141"/>
    <row r="872" ht="15.75" customHeight="1" s="141"/>
    <row r="873" ht="15.75" customHeight="1" s="141"/>
    <row r="874" ht="15.75" customHeight="1" s="141"/>
    <row r="875" ht="15.75" customHeight="1" s="141"/>
    <row r="876" ht="15.75" customHeight="1" s="141"/>
    <row r="877" ht="15.75" customHeight="1" s="141"/>
    <row r="878" ht="15.75" customHeight="1" s="141"/>
    <row r="879" ht="15.75" customHeight="1" s="141"/>
    <row r="880" ht="15.75" customHeight="1" s="141"/>
    <row r="881" ht="15.75" customHeight="1" s="141"/>
    <row r="882" ht="15.75" customHeight="1" s="141"/>
    <row r="883" ht="15.75" customHeight="1" s="141"/>
    <row r="884" ht="15.75" customHeight="1" s="141"/>
    <row r="885" ht="15.75" customHeight="1" s="141"/>
    <row r="886" ht="15.75" customHeight="1" s="141"/>
    <row r="887" ht="15.75" customHeight="1" s="141"/>
    <row r="888" ht="15.75" customHeight="1" s="141"/>
    <row r="889" ht="15.75" customHeight="1" s="141"/>
    <row r="890" ht="15.75" customHeight="1" s="141"/>
    <row r="891" ht="15.75" customHeight="1" s="141"/>
    <row r="892" ht="15.75" customHeight="1" s="141"/>
    <row r="893" ht="15.75" customHeight="1" s="141"/>
    <row r="894" ht="15.75" customHeight="1" s="141"/>
    <row r="895" ht="15.75" customHeight="1" s="141"/>
    <row r="896" ht="15.75" customHeight="1" s="141"/>
    <row r="897" ht="15.75" customHeight="1" s="141"/>
    <row r="898" ht="15.75" customHeight="1" s="141"/>
    <row r="899" ht="15.75" customHeight="1" s="141"/>
    <row r="900" ht="15.75" customHeight="1" s="141"/>
    <row r="901" ht="15.75" customHeight="1" s="141"/>
    <row r="902" ht="15.75" customHeight="1" s="141"/>
    <row r="903" ht="15.75" customHeight="1" s="141"/>
    <row r="904" ht="15.75" customHeight="1" s="141"/>
    <row r="905" ht="15.75" customHeight="1" s="141"/>
    <row r="906" ht="15.75" customHeight="1" s="141"/>
    <row r="907" ht="15.75" customHeight="1" s="141"/>
    <row r="908" ht="15.75" customHeight="1" s="141"/>
    <row r="909" ht="15.75" customHeight="1" s="141"/>
    <row r="910" ht="15.75" customHeight="1" s="141"/>
    <row r="911" ht="15.75" customHeight="1" s="141"/>
    <row r="912" ht="15.75" customHeight="1" s="141"/>
    <row r="913" ht="15.75" customHeight="1" s="141"/>
    <row r="914" ht="15.75" customHeight="1" s="141"/>
    <row r="915" ht="15.75" customHeight="1" s="141"/>
    <row r="916" ht="15.75" customHeight="1" s="141"/>
    <row r="917" ht="15.75" customHeight="1" s="141"/>
    <row r="918" ht="15.75" customHeight="1" s="141"/>
    <row r="919" ht="15.75" customHeight="1" s="141"/>
    <row r="920" ht="15.75" customHeight="1" s="141"/>
    <row r="921" ht="15.75" customHeight="1" s="141"/>
    <row r="922" ht="15.75" customHeight="1" s="141"/>
    <row r="923" ht="15.75" customHeight="1" s="141"/>
    <row r="924" ht="15.75" customHeight="1" s="141"/>
    <row r="925" ht="15.75" customHeight="1" s="141"/>
    <row r="926" ht="15.75" customHeight="1" s="141"/>
    <row r="927" ht="15.75" customHeight="1" s="141"/>
    <row r="928" ht="15.75" customHeight="1" s="141"/>
    <row r="929" ht="15.75" customHeight="1" s="141"/>
    <row r="930" ht="15.75" customHeight="1" s="141"/>
    <row r="931" ht="15.75" customHeight="1" s="141"/>
    <row r="932" ht="15.75" customHeight="1" s="141"/>
    <row r="933" ht="15.75" customHeight="1" s="141"/>
    <row r="934" ht="15.75" customHeight="1" s="141"/>
    <row r="935" ht="15.75" customHeight="1" s="141"/>
    <row r="936" ht="15.75" customHeight="1" s="141"/>
    <row r="937" ht="15.75" customHeight="1" s="141"/>
    <row r="938" ht="15.75" customHeight="1" s="141"/>
    <row r="939" ht="15.75" customHeight="1" s="141"/>
    <row r="940" ht="15.75" customHeight="1" s="141"/>
    <row r="941" ht="15.75" customHeight="1" s="141"/>
    <row r="942" ht="15.75" customHeight="1" s="141"/>
    <row r="943" ht="15.75" customHeight="1" s="141"/>
    <row r="944" ht="15.75" customHeight="1" s="141"/>
    <row r="945" ht="15.75" customHeight="1" s="141"/>
    <row r="946" ht="15.75" customHeight="1" s="141"/>
    <row r="947" ht="15.75" customHeight="1" s="141"/>
    <row r="948" ht="15.75" customHeight="1" s="141"/>
    <row r="949" ht="15.75" customHeight="1" s="141"/>
    <row r="950" ht="15.75" customHeight="1" s="141"/>
    <row r="951" ht="15.75" customHeight="1" s="141"/>
    <row r="952" ht="15.75" customHeight="1" s="141"/>
    <row r="953" ht="15.75" customHeight="1" s="141"/>
    <row r="954" ht="15.75" customHeight="1" s="141"/>
    <row r="955" ht="15.75" customHeight="1" s="141"/>
    <row r="956" ht="15.75" customHeight="1" s="141"/>
    <row r="957" ht="15.75" customHeight="1" s="141"/>
    <row r="958" ht="15.75" customHeight="1" s="141"/>
    <row r="959" ht="15.75" customHeight="1" s="141"/>
    <row r="960" ht="15.75" customHeight="1" s="141"/>
    <row r="961" ht="15.75" customHeight="1" s="141"/>
    <row r="962" ht="15.75" customHeight="1" s="141"/>
    <row r="963" ht="15.75" customHeight="1" s="141"/>
    <row r="964" ht="15.75" customHeight="1" s="141"/>
    <row r="965" ht="15.75" customHeight="1" s="141"/>
    <row r="966" ht="15.75" customHeight="1" s="141"/>
    <row r="967" ht="15.75" customHeight="1" s="141"/>
    <row r="968" ht="15.75" customHeight="1" s="141"/>
    <row r="969" ht="15.75" customHeight="1" s="141"/>
    <row r="970" ht="15.75" customHeight="1" s="141"/>
    <row r="971" ht="15.75" customHeight="1" s="141"/>
    <row r="972" ht="15.75" customHeight="1" s="141"/>
    <row r="973" ht="15.75" customHeight="1" s="141"/>
    <row r="974" ht="15.75" customHeight="1" s="141"/>
    <row r="975" ht="15.75" customHeight="1" s="141"/>
    <row r="976" ht="15.75" customHeight="1" s="141"/>
    <row r="977" ht="15.75" customHeight="1" s="141"/>
    <row r="978" ht="15.75" customHeight="1" s="141"/>
    <row r="979" ht="15.75" customHeight="1" s="141"/>
    <row r="980" ht="15.75" customHeight="1" s="141"/>
    <row r="981" ht="15.75" customHeight="1" s="141"/>
    <row r="982" ht="15.75" customHeight="1" s="141"/>
    <row r="983" ht="15.75" customHeight="1" s="141"/>
    <row r="984" ht="15.75" customHeight="1" s="141"/>
    <row r="985" ht="15.75" customHeight="1" s="141"/>
    <row r="986" ht="15.75" customHeight="1" s="141"/>
    <row r="987" ht="15.75" customHeight="1" s="141"/>
    <row r="988" ht="15.75" customHeight="1" s="141"/>
    <row r="989" ht="15.75" customHeight="1" s="141"/>
    <row r="990" ht="15.75" customHeight="1" s="141"/>
    <row r="991" ht="15.75" customHeight="1" s="141"/>
    <row r="992" ht="15.75" customHeight="1" s="141"/>
    <row r="993" ht="15.75" customHeight="1" s="141"/>
    <row r="994" ht="15.75" customHeight="1" s="141"/>
    <row r="995" ht="15.75" customHeight="1" s="141"/>
    <row r="996" ht="15.75" customHeight="1" s="141"/>
    <row r="997" ht="15.75" customHeight="1" s="141"/>
    <row r="998" ht="15.75" customHeight="1" s="141"/>
    <row r="999" ht="15.75" customHeight="1" s="141"/>
    <row r="1000" ht="15.75" customHeight="1" s="141"/>
  </sheetData>
  <sheetProtection selectLockedCells="0" selectUnlockedCells="0" sheet="1" objects="0" insertRows="1" insertHyperlinks="1" autoFilter="0" scenarios="0" formatColumns="0" deleteColumns="1" insertColumns="1" pivotTables="1" deleteRows="1" formatCells="0" formatRows="0" sort="0"/>
  <mergeCells count="24">
    <mergeCell ref="G2:H2"/>
    <mergeCell ref="B6:E6"/>
    <mergeCell ref="L6:O6"/>
    <mergeCell ref="A27:O27"/>
    <mergeCell ref="B5:E5"/>
    <mergeCell ref="A2:C2"/>
    <mergeCell ref="J9:K9"/>
    <mergeCell ref="A12:O12"/>
    <mergeCell ref="D2:E2"/>
    <mergeCell ref="B9:D9"/>
    <mergeCell ref="A8:O8"/>
    <mergeCell ref="F9:H9"/>
    <mergeCell ref="A4:O4"/>
    <mergeCell ref="L13:O13"/>
    <mergeCell ref="G10:J10"/>
    <mergeCell ref="L5:O5"/>
    <mergeCell ref="G6:J6"/>
    <mergeCell ref="G13:J13"/>
    <mergeCell ref="B13:E13"/>
    <mergeCell ref="M9:O9"/>
    <mergeCell ref="A1:O1"/>
    <mergeCell ref="L10:O10"/>
    <mergeCell ref="B10:E10"/>
    <mergeCell ref="G5:J5"/>
  </mergeCells>
  <conditionalFormatting sqref="K16:K25">
    <cfRule type="colorScale" priority="2">
      <colorScale>
        <cfvo type="min" val="0"/>
        <cfvo type="percentile" val="50"/>
        <cfvo type="max" val="0"/>
        <color rgb="FF63BE7B"/>
        <color rgb="FFFFEB84"/>
        <color rgb="FFF8696B"/>
      </colorScale>
    </cfRule>
  </conditionalFormatting>
  <conditionalFormatting sqref="L16:L25">
    <cfRule type="colorScale" priority="3">
      <colorScale>
        <cfvo type="min" val="0"/>
        <cfvo type="percentile" val="50"/>
        <cfvo type="max" val="0"/>
        <color rgb="FF63BE7B"/>
        <color rgb="FFFFEB84"/>
        <color rgb="FFF8696B"/>
      </colorScale>
    </cfRule>
  </conditionalFormatting>
  <conditionalFormatting sqref="N16:N25">
    <cfRule type="colorScale" priority="4">
      <colorScale>
        <cfvo type="min" val="0"/>
        <cfvo type="percentile" val="50"/>
        <cfvo type="max" val="0"/>
        <color rgb="FF63BE7B"/>
        <color rgb="FFFFEB84"/>
        <color rgb="FFF8696B"/>
      </colorScale>
    </cfRule>
  </conditionalFormatting>
  <conditionalFormatting sqref="L30:L37">
    <cfRule type="colorScale" priority="5">
      <colorScale>
        <cfvo type="min" val="0"/>
        <cfvo type="percentile" val="50"/>
        <cfvo type="max" val="0"/>
        <color rgb="FF63BE7B"/>
        <color rgb="FFFFEB84"/>
        <color rgb="FFF8696B"/>
      </colorScale>
    </cfRule>
  </conditionalFormatting>
  <printOptions horizontalCentered="1" verticalCentered="0" headings="0" gridLines="0" gridLinesSet="1"/>
  <pageMargins left="0.25" right="0.25" top="0.4" bottom="0.4" header="0" footer="0"/>
  <pageSetup orientation="landscape" paperSize="1" scale="100" fitToHeight="0" fitToWidth="1" pageOrder="downThenOver" blackAndWhite="0" draft="0" horizontalDpi="300" verticalDpi="300" copies="1"/>
  <headerFooter differentOddEven="0" differentFirst="0">
    <oddHeader>&amp;C 1f4e78Seating Depth</oddHeader>
    <oddFooter>&amp;LRifle Load Development Log&amp;RPage &amp;P of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filterMode="0">
    <outlinePr summaryBelow="1" summaryRight="1"/>
    <pageSetUpPr fitToPage="1"/>
  </sheetPr>
  <dimension ref="A1:Q5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6796875" defaultRowHeight="15" customHeight="0" zeroHeight="0" outlineLevelRow="0"/>
  <cols>
    <col width="7" customWidth="1" style="140" min="1" max="1"/>
    <col width="12" customWidth="1" style="140" min="2" max="2"/>
    <col width="42" customWidth="1" style="140" min="3" max="3"/>
    <col width="7" customWidth="1" style="140" min="4" max="4"/>
    <col width="10" customWidth="1" style="140" min="5" max="12"/>
    <col width="9" customWidth="1" style="140" min="13" max="14"/>
    <col width="11" customWidth="1" style="140" min="15" max="15"/>
    <col width="12" customWidth="1" style="140" min="16" max="16"/>
    <col width="36" customWidth="1" style="140" min="17" max="17"/>
  </cols>
  <sheetData>
    <row r="1" ht="31.5" customHeight="1" s="141">
      <c r="A1" s="316" t="inlineStr">
        <is>
          <t>Garmin Xero Import — ShotView CSV sessions</t>
        </is>
      </c>
      <c r="B1" s="309" t="n"/>
      <c r="C1" s="309" t="n"/>
      <c r="D1" s="309" t="n"/>
      <c r="E1" s="309" t="n"/>
      <c r="F1" s="309" t="n"/>
      <c r="G1" s="309" t="n"/>
      <c r="H1" s="309" t="n"/>
      <c r="I1" s="309" t="n"/>
      <c r="J1" s="309" t="n"/>
      <c r="K1" s="309" t="n"/>
      <c r="L1" s="309" t="n"/>
      <c r="M1" s="309" t="n"/>
      <c r="N1" s="309" t="n"/>
      <c r="O1" s="309" t="n"/>
      <c r="P1" s="309" t="n"/>
      <c r="Q1" s="309" t="n"/>
    </row>
    <row r="2" ht="36" customHeight="1" s="141">
      <c r="A2" s="356" t="inlineStr">
        <is>
          <t>This sheet feeds the Load Log and Seating Depth tabs. The shot cells over there are wired to pull from these specific rows. Just paste each Garmin session's shot velocities into the matching row's Shot 1–5 cells (E:I). Avg / SD / ES auto-compute.</t>
        </is>
      </c>
      <c r="B2" s="309" t="n"/>
      <c r="C2" s="309" t="n"/>
      <c r="D2" s="309" t="n"/>
      <c r="E2" s="309" t="n"/>
      <c r="F2" s="309" t="n"/>
      <c r="G2" s="309" t="n"/>
      <c r="H2" s="309" t="n"/>
      <c r="I2" s="309" t="n"/>
      <c r="J2" s="309" t="n"/>
      <c r="K2" s="309" t="n"/>
      <c r="L2" s="309" t="n"/>
      <c r="M2" s="309" t="n"/>
      <c r="N2" s="309" t="n"/>
      <c r="O2" s="309" t="n"/>
      <c r="P2" s="309" t="n"/>
      <c r="Q2" s="309" t="n"/>
    </row>
    <row r="3" ht="21.75" customHeight="1" s="141">
      <c r="A3" s="357" t="inlineStr">
        <is>
          <t>POWDER LADDER  (Load Log P1–P10  →  rows 6–15)</t>
        </is>
      </c>
      <c r="B3" s="309" t="n"/>
      <c r="C3" s="309" t="n"/>
      <c r="D3" s="309" t="n"/>
      <c r="E3" s="309" t="n"/>
      <c r="F3" s="309" t="n"/>
      <c r="G3" s="309" t="n"/>
      <c r="H3" s="309" t="n"/>
      <c r="I3" s="309" t="n"/>
      <c r="J3" s="309" t="n"/>
      <c r="K3" s="309" t="n"/>
      <c r="L3" s="309" t="n"/>
      <c r="M3" s="309" t="n"/>
      <c r="N3" s="309" t="n"/>
      <c r="O3" s="309" t="n"/>
      <c r="P3" s="309" t="n"/>
      <c r="Q3" s="309" t="n"/>
    </row>
    <row r="4" ht="6" customHeight="1" s="141">
      <c r="A4" s="309" t="n"/>
      <c r="B4" s="309" t="n"/>
      <c r="C4" s="309" t="n"/>
      <c r="D4" s="309" t="n"/>
      <c r="E4" s="309" t="n"/>
      <c r="F4" s="309" t="n"/>
      <c r="G4" s="309" t="n"/>
      <c r="H4" s="309" t="n"/>
      <c r="I4" s="309" t="n"/>
      <c r="J4" s="309" t="n"/>
      <c r="K4" s="309" t="n"/>
      <c r="L4" s="309" t="n"/>
      <c r="M4" s="309" t="n"/>
      <c r="N4" s="309" t="n"/>
      <c r="O4" s="309" t="n"/>
      <c r="P4" s="309" t="n"/>
      <c r="Q4" s="309" t="n"/>
    </row>
    <row r="5" ht="37.5" customHeight="1" s="141">
      <c r="A5" s="333" t="inlineStr">
        <is>
          <t>Tag</t>
        </is>
      </c>
      <c r="B5" s="333" t="inlineStr">
        <is>
          <t>Date</t>
        </is>
      </c>
      <c r="C5" s="333" t="inlineStr">
        <is>
          <t>Session Title</t>
        </is>
      </c>
      <c r="D5" s="333" t="inlineStr">
        <is>
          <t># Shots</t>
        </is>
      </c>
      <c r="E5" s="333" t="inlineStr">
        <is>
          <t>Shot 1 (fps)</t>
        </is>
      </c>
      <c r="F5" s="333" t="inlineStr">
        <is>
          <t>Shot 2 (fps)</t>
        </is>
      </c>
      <c r="G5" s="333" t="inlineStr">
        <is>
          <t>Shot 3 (fps)</t>
        </is>
      </c>
      <c r="H5" s="333" t="inlineStr">
        <is>
          <t>Shot 4 (fps)</t>
        </is>
      </c>
      <c r="I5" s="333" t="inlineStr">
        <is>
          <t>Shot 5 (fps)</t>
        </is>
      </c>
      <c r="J5" s="333" t="inlineStr">
        <is>
          <t>Shot 6 (fps)</t>
        </is>
      </c>
      <c r="K5" s="333" t="inlineStr">
        <is>
          <t>Shot 7 (fps)</t>
        </is>
      </c>
      <c r="L5" s="333" t="inlineStr">
        <is>
          <t>Avg Vel (fps)</t>
        </is>
      </c>
      <c r="M5" s="333" t="inlineStr">
        <is>
          <t>SD (fps)</t>
        </is>
      </c>
      <c r="N5" s="333" t="inlineStr">
        <is>
          <t>ES (fps)</t>
        </is>
      </c>
      <c r="O5" s="333" t="inlineStr">
        <is>
          <t>Bullet Wt (gr)</t>
        </is>
      </c>
      <c r="P5" s="333" t="inlineStr">
        <is>
          <t>Avg KE (ft·lb)</t>
        </is>
      </c>
      <c r="Q5" s="333" t="inlineStr">
        <is>
          <t>Notes</t>
        </is>
      </c>
    </row>
    <row r="6" ht="18.75" customHeight="1" s="141">
      <c r="A6" s="358" t="inlineStr">
        <is>
          <t>P1</t>
        </is>
      </c>
      <c r="B6" s="239">
        <f>IFERROR(LOOKUP(2,1/(GarminSessions!$A$2:$A$200=$A6),GarminSessions!$D$2:$D$200),"")</f>
        <v/>
      </c>
      <c r="C6" s="240">
        <f>IFERROR(LOOKUP(2,1/(GarminSessions!$A$2:$A$200=$A6),GarminSessions!$Q$2:$Q$200),"")</f>
        <v/>
      </c>
      <c r="D6" s="241">
        <f>COUNT(E6:K6)</f>
        <v/>
      </c>
      <c r="E6" s="242">
        <f>IFERROR(LOOKUP(2,1/(GarminSessions!$A$2:$A$200=$A6),GarminSessions!$E$2:$E$200),"")</f>
        <v/>
      </c>
      <c r="F6" s="242">
        <f>IFERROR(LOOKUP(2,1/(GarminSessions!$A$2:$A$200=$A6),GarminSessions!$F$2:$F$200),"")</f>
        <v/>
      </c>
      <c r="G6" s="242">
        <f>IFERROR(LOOKUP(2,1/(GarminSessions!$A$2:$A$200=$A6),GarminSessions!$G$2:$G$200),"")</f>
        <v/>
      </c>
      <c r="H6" s="242">
        <f>IFERROR(LOOKUP(2,1/(GarminSessions!$A$2:$A$200=$A6),GarminSessions!$H$2:$H$200),"")</f>
        <v/>
      </c>
      <c r="I6" s="242">
        <f>IFERROR(LOOKUP(2,1/(GarminSessions!$A$2:$A$200=$A6),GarminSessions!$I$2:$I$200),"")</f>
        <v/>
      </c>
      <c r="J6" s="242">
        <f>IFERROR(LOOKUP(2,1/(GarminSessions!$A$2:$A$200=$A6),GarminSessions!$J$2:$J$200),"")</f>
        <v/>
      </c>
      <c r="K6" s="242">
        <f>IFERROR(LOOKUP(2,1/(GarminSessions!$A$2:$A$200=$A6),GarminSessions!$K$2:$K$200),"")</f>
        <v/>
      </c>
      <c r="L6" s="243">
        <f>IFERROR(LOOKUP(2,1/(GarminSessions!$A$2:$A$200=$A6),GarminSessions!$L$2:$L$200),"")</f>
        <v/>
      </c>
      <c r="M6" s="244">
        <f>IFERROR(LOOKUP(2,1/(GarminSessions!$A$2:$A$200=$A6),GarminSessions!$M$2:$M$200),"")</f>
        <v/>
      </c>
      <c r="N6" s="243">
        <f>IFERROR(LOOKUP(2,1/(GarminSessions!$A$2:$A$200=$A6),GarminSessions!$N$2:$N$200),"")</f>
        <v/>
      </c>
      <c r="O6" s="245">
        <f>IFERROR(LOOKUP(2,1/(GarminSessions!$A$2:$A$200=$A6),GarminSessions!$O$2:$O$200),"")</f>
        <v/>
      </c>
      <c r="P6" s="245">
        <f>IFERROR(LOOKUP(2,1/(GarminSessions!$A$2:$A$200=$A6),GarminSessions!$P$2:$P$200),"")</f>
        <v/>
      </c>
      <c r="Q6" s="240">
        <f>IFERROR(LOOKUP(2,1/(GarminSessions!$A$2:$A$200=$A6),GarminSessions!$R$2:$R$200),"")</f>
        <v/>
      </c>
    </row>
    <row r="7" ht="18.75" customHeight="1" s="141">
      <c r="A7" s="336" t="inlineStr">
        <is>
          <t>P2</t>
        </is>
      </c>
      <c r="B7" s="184">
        <f>IFERROR(LOOKUP(2,1/(GarminSessions!$A$2:$A$200=$A7),GarminSessions!$D$2:$D$200),"")</f>
        <v/>
      </c>
      <c r="C7" s="246">
        <f>IFERROR(LOOKUP(2,1/(GarminSessions!$A$2:$A$200=$A7),GarminSessions!$Q$2:$Q$200),"")</f>
        <v/>
      </c>
      <c r="D7" s="187">
        <f>COUNT(E7:K7)</f>
        <v/>
      </c>
      <c r="E7" s="185">
        <f>IFERROR(LOOKUP(2,1/(GarminSessions!$A$2:$A$200=$A7),GarminSessions!$E$2:$E$200),"")</f>
        <v/>
      </c>
      <c r="F7" s="185">
        <f>IFERROR(LOOKUP(2,1/(GarminSessions!$A$2:$A$200=$A7),GarminSessions!$F$2:$F$200),"")</f>
        <v/>
      </c>
      <c r="G7" s="185">
        <f>IFERROR(LOOKUP(2,1/(GarminSessions!$A$2:$A$200=$A7),GarminSessions!$G$2:$G$200),"")</f>
        <v/>
      </c>
      <c r="H7" s="185">
        <f>IFERROR(LOOKUP(2,1/(GarminSessions!$A$2:$A$200=$A7),GarminSessions!$H$2:$H$200),"")</f>
        <v/>
      </c>
      <c r="I7" s="185">
        <f>IFERROR(LOOKUP(2,1/(GarminSessions!$A$2:$A$200=$A7),GarminSessions!$I$2:$I$200),"")</f>
        <v/>
      </c>
      <c r="J7" s="185">
        <f>IFERROR(LOOKUP(2,1/(GarminSessions!$A$2:$A$200=$A7),GarminSessions!$J$2:$J$200),"")</f>
        <v/>
      </c>
      <c r="K7" s="185">
        <f>IFERROR(LOOKUP(2,1/(GarminSessions!$A$2:$A$200=$A7),GarminSessions!$K$2:$K$200),"")</f>
        <v/>
      </c>
      <c r="L7" s="188">
        <f>IFERROR(LOOKUP(2,1/(GarminSessions!$A$2:$A$200=$A7),GarminSessions!$L$2:$L$200),"")</f>
        <v/>
      </c>
      <c r="M7" s="234">
        <f>IFERROR(LOOKUP(2,1/(GarminSessions!$A$2:$A$200=$A7),GarminSessions!$M$2:$M$200),"")</f>
        <v/>
      </c>
      <c r="N7" s="188">
        <f>IFERROR(LOOKUP(2,1/(GarminSessions!$A$2:$A$200=$A7),GarminSessions!$N$2:$N$200),"")</f>
        <v/>
      </c>
      <c r="O7" s="186">
        <f>IFERROR(LOOKUP(2,1/(GarminSessions!$A$2:$A$200=$A7),GarminSessions!$O$2:$O$200),"")</f>
        <v/>
      </c>
      <c r="P7" s="186">
        <f>IFERROR(LOOKUP(2,1/(GarminSessions!$A$2:$A$200=$A7),GarminSessions!$P$2:$P$200),"")</f>
        <v/>
      </c>
      <c r="Q7" s="246">
        <f>IFERROR(LOOKUP(2,1/(GarminSessions!$A$2:$A$200=$A7),GarminSessions!$R$2:$R$200),"")</f>
        <v/>
      </c>
    </row>
    <row r="8" ht="18.75" customHeight="1" s="141">
      <c r="A8" s="358" t="inlineStr">
        <is>
          <t>P3</t>
        </is>
      </c>
      <c r="B8" s="239">
        <f>IFERROR(LOOKUP(2,1/(GarminSessions!$A$2:$A$200=$A8),GarminSessions!$D$2:$D$200),"")</f>
        <v/>
      </c>
      <c r="C8" s="240">
        <f>IFERROR(LOOKUP(2,1/(GarminSessions!$A$2:$A$200=$A8),GarminSessions!$Q$2:$Q$200),"")</f>
        <v/>
      </c>
      <c r="D8" s="241">
        <f>COUNT(E8:K8)</f>
        <v/>
      </c>
      <c r="E8" s="242">
        <f>IFERROR(LOOKUP(2,1/(GarminSessions!$A$2:$A$200=$A8),GarminSessions!$E$2:$E$200),"")</f>
        <v/>
      </c>
      <c r="F8" s="242">
        <f>IFERROR(LOOKUP(2,1/(GarminSessions!$A$2:$A$200=$A8),GarminSessions!$F$2:$F$200),"")</f>
        <v/>
      </c>
      <c r="G8" s="242">
        <f>IFERROR(LOOKUP(2,1/(GarminSessions!$A$2:$A$200=$A8),GarminSessions!$G$2:$G$200),"")</f>
        <v/>
      </c>
      <c r="H8" s="242">
        <f>IFERROR(LOOKUP(2,1/(GarminSessions!$A$2:$A$200=$A8),GarminSessions!$H$2:$H$200),"")</f>
        <v/>
      </c>
      <c r="I8" s="242">
        <f>IFERROR(LOOKUP(2,1/(GarminSessions!$A$2:$A$200=$A8),GarminSessions!$I$2:$I$200),"")</f>
        <v/>
      </c>
      <c r="J8" s="242">
        <f>IFERROR(LOOKUP(2,1/(GarminSessions!$A$2:$A$200=$A8),GarminSessions!$J$2:$J$200),"")</f>
        <v/>
      </c>
      <c r="K8" s="242">
        <f>IFERROR(LOOKUP(2,1/(GarminSessions!$A$2:$A$200=$A8),GarminSessions!$K$2:$K$200),"")</f>
        <v/>
      </c>
      <c r="L8" s="243">
        <f>IFERROR(LOOKUP(2,1/(GarminSessions!$A$2:$A$200=$A8),GarminSessions!$L$2:$L$200),"")</f>
        <v/>
      </c>
      <c r="M8" s="244">
        <f>IFERROR(LOOKUP(2,1/(GarminSessions!$A$2:$A$200=$A8),GarminSessions!$M$2:$M$200),"")</f>
        <v/>
      </c>
      <c r="N8" s="243">
        <f>IFERROR(LOOKUP(2,1/(GarminSessions!$A$2:$A$200=$A8),GarminSessions!$N$2:$N$200),"")</f>
        <v/>
      </c>
      <c r="O8" s="245">
        <f>IFERROR(LOOKUP(2,1/(GarminSessions!$A$2:$A$200=$A8),GarminSessions!$O$2:$O$200),"")</f>
        <v/>
      </c>
      <c r="P8" s="245">
        <f>IFERROR(LOOKUP(2,1/(GarminSessions!$A$2:$A$200=$A8),GarminSessions!$P$2:$P$200),"")</f>
        <v/>
      </c>
      <c r="Q8" s="240">
        <f>IFERROR(LOOKUP(2,1/(GarminSessions!$A$2:$A$200=$A8),GarminSessions!$R$2:$R$200),"")</f>
        <v/>
      </c>
    </row>
    <row r="9" ht="18.75" customHeight="1" s="141">
      <c r="A9" s="336" t="inlineStr">
        <is>
          <t>P4</t>
        </is>
      </c>
      <c r="B9" s="184">
        <f>IFERROR(LOOKUP(2,1/(GarminSessions!$A$2:$A$200=$A9),GarminSessions!$D$2:$D$200),"")</f>
        <v/>
      </c>
      <c r="C9" s="246">
        <f>IFERROR(LOOKUP(2,1/(GarminSessions!$A$2:$A$200=$A9),GarminSessions!$Q$2:$Q$200),"")</f>
        <v/>
      </c>
      <c r="D9" s="187">
        <f>COUNT(E9:K9)</f>
        <v/>
      </c>
      <c r="E9" s="185">
        <f>IFERROR(LOOKUP(2,1/(GarminSessions!$A$2:$A$200=$A9),GarminSessions!$E$2:$E$200),"")</f>
        <v/>
      </c>
      <c r="F9" s="185">
        <f>IFERROR(LOOKUP(2,1/(GarminSessions!$A$2:$A$200=$A9),GarminSessions!$F$2:$F$200),"")</f>
        <v/>
      </c>
      <c r="G9" s="185">
        <f>IFERROR(LOOKUP(2,1/(GarminSessions!$A$2:$A$200=$A9),GarminSessions!$G$2:$G$200),"")</f>
        <v/>
      </c>
      <c r="H9" s="185">
        <f>IFERROR(LOOKUP(2,1/(GarminSessions!$A$2:$A$200=$A9),GarminSessions!$H$2:$H$200),"")</f>
        <v/>
      </c>
      <c r="I9" s="185">
        <f>IFERROR(LOOKUP(2,1/(GarminSessions!$A$2:$A$200=$A9),GarminSessions!$I$2:$I$200),"")</f>
        <v/>
      </c>
      <c r="J9" s="185">
        <f>IFERROR(LOOKUP(2,1/(GarminSessions!$A$2:$A$200=$A9),GarminSessions!$J$2:$J$200),"")</f>
        <v/>
      </c>
      <c r="K9" s="185">
        <f>IFERROR(LOOKUP(2,1/(GarminSessions!$A$2:$A$200=$A9),GarminSessions!$K$2:$K$200),"")</f>
        <v/>
      </c>
      <c r="L9" s="188">
        <f>IFERROR(LOOKUP(2,1/(GarminSessions!$A$2:$A$200=$A9),GarminSessions!$L$2:$L$200),"")</f>
        <v/>
      </c>
      <c r="M9" s="234">
        <f>IFERROR(LOOKUP(2,1/(GarminSessions!$A$2:$A$200=$A9),GarminSessions!$M$2:$M$200),"")</f>
        <v/>
      </c>
      <c r="N9" s="188">
        <f>IFERROR(LOOKUP(2,1/(GarminSessions!$A$2:$A$200=$A9),GarminSessions!$N$2:$N$200),"")</f>
        <v/>
      </c>
      <c r="O9" s="186">
        <f>IFERROR(LOOKUP(2,1/(GarminSessions!$A$2:$A$200=$A9),GarminSessions!$O$2:$O$200),"")</f>
        <v/>
      </c>
      <c r="P9" s="186">
        <f>IFERROR(LOOKUP(2,1/(GarminSessions!$A$2:$A$200=$A9),GarminSessions!$P$2:$P$200),"")</f>
        <v/>
      </c>
      <c r="Q9" s="246">
        <f>IFERROR(LOOKUP(2,1/(GarminSessions!$A$2:$A$200=$A9),GarminSessions!$R$2:$R$200),"")</f>
        <v/>
      </c>
    </row>
    <row r="10" ht="18.75" customHeight="1" s="141">
      <c r="A10" s="358" t="inlineStr">
        <is>
          <t>P5</t>
        </is>
      </c>
      <c r="B10" s="239">
        <f>IFERROR(LOOKUP(2,1/(GarminSessions!$A$2:$A$200=$A10),GarminSessions!$D$2:$D$200),"")</f>
        <v/>
      </c>
      <c r="C10" s="240">
        <f>IFERROR(LOOKUP(2,1/(GarminSessions!$A$2:$A$200=$A10),GarminSessions!$Q$2:$Q$200),"")</f>
        <v/>
      </c>
      <c r="D10" s="241">
        <f>COUNT(E10:K10)</f>
        <v/>
      </c>
      <c r="E10" s="242">
        <f>IFERROR(LOOKUP(2,1/(GarminSessions!$A$2:$A$200=$A10),GarminSessions!$E$2:$E$200),"")</f>
        <v/>
      </c>
      <c r="F10" s="242">
        <f>IFERROR(LOOKUP(2,1/(GarminSessions!$A$2:$A$200=$A10),GarminSessions!$F$2:$F$200),"")</f>
        <v/>
      </c>
      <c r="G10" s="242">
        <f>IFERROR(LOOKUP(2,1/(GarminSessions!$A$2:$A$200=$A10),GarminSessions!$G$2:$G$200),"")</f>
        <v/>
      </c>
      <c r="H10" s="242">
        <f>IFERROR(LOOKUP(2,1/(GarminSessions!$A$2:$A$200=$A10),GarminSessions!$H$2:$H$200),"")</f>
        <v/>
      </c>
      <c r="I10" s="242">
        <f>IFERROR(LOOKUP(2,1/(GarminSessions!$A$2:$A$200=$A10),GarminSessions!$I$2:$I$200),"")</f>
        <v/>
      </c>
      <c r="J10" s="242">
        <f>IFERROR(LOOKUP(2,1/(GarminSessions!$A$2:$A$200=$A10),GarminSessions!$J$2:$J$200),"")</f>
        <v/>
      </c>
      <c r="K10" s="242">
        <f>IFERROR(LOOKUP(2,1/(GarminSessions!$A$2:$A$200=$A10),GarminSessions!$K$2:$K$200),"")</f>
        <v/>
      </c>
      <c r="L10" s="243">
        <f>IFERROR(LOOKUP(2,1/(GarminSessions!$A$2:$A$200=$A10),GarminSessions!$L$2:$L$200),"")</f>
        <v/>
      </c>
      <c r="M10" s="244">
        <f>IFERROR(LOOKUP(2,1/(GarminSessions!$A$2:$A$200=$A10),GarminSessions!$M$2:$M$200),"")</f>
        <v/>
      </c>
      <c r="N10" s="243">
        <f>IFERROR(LOOKUP(2,1/(GarminSessions!$A$2:$A$200=$A10),GarminSessions!$N$2:$N$200),"")</f>
        <v/>
      </c>
      <c r="O10" s="245">
        <f>IFERROR(LOOKUP(2,1/(GarminSessions!$A$2:$A$200=$A10),GarminSessions!$O$2:$O$200),"")</f>
        <v/>
      </c>
      <c r="P10" s="245">
        <f>IFERROR(LOOKUP(2,1/(GarminSessions!$A$2:$A$200=$A10),GarminSessions!$P$2:$P$200),"")</f>
        <v/>
      </c>
      <c r="Q10" s="240">
        <f>IFERROR(LOOKUP(2,1/(GarminSessions!$A$2:$A$200=$A10),GarminSessions!$R$2:$R$200),"")</f>
        <v/>
      </c>
    </row>
    <row r="11" ht="18.75" customHeight="1" s="141">
      <c r="A11" s="336" t="inlineStr">
        <is>
          <t>P6</t>
        </is>
      </c>
      <c r="B11" s="184">
        <f>IFERROR(LOOKUP(2,1/(GarminSessions!$A$2:$A$200=$A11),GarminSessions!$D$2:$D$200),"")</f>
        <v/>
      </c>
      <c r="C11" s="246">
        <f>IFERROR(LOOKUP(2,1/(GarminSessions!$A$2:$A$200=$A11),GarminSessions!$Q$2:$Q$200),"")</f>
        <v/>
      </c>
      <c r="D11" s="187">
        <f>COUNT(E11:K11)</f>
        <v/>
      </c>
      <c r="E11" s="185">
        <f>IFERROR(LOOKUP(2,1/(GarminSessions!$A$2:$A$200=$A11),GarminSessions!$E$2:$E$200),"")</f>
        <v/>
      </c>
      <c r="F11" s="185">
        <f>IFERROR(LOOKUP(2,1/(GarminSessions!$A$2:$A$200=$A11),GarminSessions!$F$2:$F$200),"")</f>
        <v/>
      </c>
      <c r="G11" s="185">
        <f>IFERROR(LOOKUP(2,1/(GarminSessions!$A$2:$A$200=$A11),GarminSessions!$G$2:$G$200),"")</f>
        <v/>
      </c>
      <c r="H11" s="185">
        <f>IFERROR(LOOKUP(2,1/(GarminSessions!$A$2:$A$200=$A11),GarminSessions!$H$2:$H$200),"")</f>
        <v/>
      </c>
      <c r="I11" s="185">
        <f>IFERROR(LOOKUP(2,1/(GarminSessions!$A$2:$A$200=$A11),GarminSessions!$I$2:$I$200),"")</f>
        <v/>
      </c>
      <c r="J11" s="185">
        <f>IFERROR(LOOKUP(2,1/(GarminSessions!$A$2:$A$200=$A11),GarminSessions!$J$2:$J$200),"")</f>
        <v/>
      </c>
      <c r="K11" s="185">
        <f>IFERROR(LOOKUP(2,1/(GarminSessions!$A$2:$A$200=$A11),GarminSessions!$K$2:$K$200),"")</f>
        <v/>
      </c>
      <c r="L11" s="188">
        <f>IFERROR(LOOKUP(2,1/(GarminSessions!$A$2:$A$200=$A11),GarminSessions!$L$2:$L$200),"")</f>
        <v/>
      </c>
      <c r="M11" s="234">
        <f>IFERROR(LOOKUP(2,1/(GarminSessions!$A$2:$A$200=$A11),GarminSessions!$M$2:$M$200),"")</f>
        <v/>
      </c>
      <c r="N11" s="188">
        <f>IFERROR(LOOKUP(2,1/(GarminSessions!$A$2:$A$200=$A11),GarminSessions!$N$2:$N$200),"")</f>
        <v/>
      </c>
      <c r="O11" s="186">
        <f>IFERROR(LOOKUP(2,1/(GarminSessions!$A$2:$A$200=$A11),GarminSessions!$O$2:$O$200),"")</f>
        <v/>
      </c>
      <c r="P11" s="186">
        <f>IFERROR(LOOKUP(2,1/(GarminSessions!$A$2:$A$200=$A11),GarminSessions!$P$2:$P$200),"")</f>
        <v/>
      </c>
      <c r="Q11" s="246">
        <f>IFERROR(LOOKUP(2,1/(GarminSessions!$A$2:$A$200=$A11),GarminSessions!$R$2:$R$200),"")</f>
        <v/>
      </c>
    </row>
    <row r="12" ht="18.75" customHeight="1" s="141">
      <c r="A12" s="358" t="inlineStr">
        <is>
          <t>P7</t>
        </is>
      </c>
      <c r="B12" s="239">
        <f>IFERROR(LOOKUP(2,1/(GarminSessions!$A$2:$A$200=$A12),GarminSessions!$D$2:$D$200),"")</f>
        <v/>
      </c>
      <c r="C12" s="240">
        <f>IFERROR(LOOKUP(2,1/(GarminSessions!$A$2:$A$200=$A12),GarminSessions!$Q$2:$Q$200),"")</f>
        <v/>
      </c>
      <c r="D12" s="241">
        <f>COUNT(E12:K12)</f>
        <v/>
      </c>
      <c r="E12" s="242">
        <f>IFERROR(LOOKUP(2,1/(GarminSessions!$A$2:$A$200=$A12),GarminSessions!$E$2:$E$200),"")</f>
        <v/>
      </c>
      <c r="F12" s="242">
        <f>IFERROR(LOOKUP(2,1/(GarminSessions!$A$2:$A$200=$A12),GarminSessions!$F$2:$F$200),"")</f>
        <v/>
      </c>
      <c r="G12" s="242">
        <f>IFERROR(LOOKUP(2,1/(GarminSessions!$A$2:$A$200=$A12),GarminSessions!$G$2:$G$200),"")</f>
        <v/>
      </c>
      <c r="H12" s="242">
        <f>IFERROR(LOOKUP(2,1/(GarminSessions!$A$2:$A$200=$A12),GarminSessions!$H$2:$H$200),"")</f>
        <v/>
      </c>
      <c r="I12" s="242">
        <f>IFERROR(LOOKUP(2,1/(GarminSessions!$A$2:$A$200=$A12),GarminSessions!$I$2:$I$200),"")</f>
        <v/>
      </c>
      <c r="J12" s="242">
        <f>IFERROR(LOOKUP(2,1/(GarminSessions!$A$2:$A$200=$A12),GarminSessions!$J$2:$J$200),"")</f>
        <v/>
      </c>
      <c r="K12" s="242">
        <f>IFERROR(LOOKUP(2,1/(GarminSessions!$A$2:$A$200=$A12),GarminSessions!$K$2:$K$200),"")</f>
        <v/>
      </c>
      <c r="L12" s="243">
        <f>IFERROR(LOOKUP(2,1/(GarminSessions!$A$2:$A$200=$A12),GarminSessions!$L$2:$L$200),"")</f>
        <v/>
      </c>
      <c r="M12" s="244">
        <f>IFERROR(LOOKUP(2,1/(GarminSessions!$A$2:$A$200=$A12),GarminSessions!$M$2:$M$200),"")</f>
        <v/>
      </c>
      <c r="N12" s="243">
        <f>IFERROR(LOOKUP(2,1/(GarminSessions!$A$2:$A$200=$A12),GarminSessions!$N$2:$N$200),"")</f>
        <v/>
      </c>
      <c r="O12" s="245">
        <f>IFERROR(LOOKUP(2,1/(GarminSessions!$A$2:$A$200=$A12),GarminSessions!$O$2:$O$200),"")</f>
        <v/>
      </c>
      <c r="P12" s="245">
        <f>IFERROR(LOOKUP(2,1/(GarminSessions!$A$2:$A$200=$A12),GarminSessions!$P$2:$P$200),"")</f>
        <v/>
      </c>
      <c r="Q12" s="240">
        <f>IFERROR(LOOKUP(2,1/(GarminSessions!$A$2:$A$200=$A12),GarminSessions!$R$2:$R$200),"")</f>
        <v/>
      </c>
    </row>
    <row r="13" ht="18.75" customHeight="1" s="141">
      <c r="A13" s="336" t="inlineStr">
        <is>
          <t>P8</t>
        </is>
      </c>
      <c r="B13" s="184">
        <f>IFERROR(LOOKUP(2,1/(GarminSessions!$A$2:$A$200=$A13),GarminSessions!$D$2:$D$200),"")</f>
        <v/>
      </c>
      <c r="C13" s="246">
        <f>IFERROR(LOOKUP(2,1/(GarminSessions!$A$2:$A$200=$A13),GarminSessions!$Q$2:$Q$200),"")</f>
        <v/>
      </c>
      <c r="D13" s="187">
        <f>COUNT(E13:K13)</f>
        <v/>
      </c>
      <c r="E13" s="185">
        <f>IFERROR(LOOKUP(2,1/(GarminSessions!$A$2:$A$200=$A13),GarminSessions!$E$2:$E$200),"")</f>
        <v/>
      </c>
      <c r="F13" s="185">
        <f>IFERROR(LOOKUP(2,1/(GarminSessions!$A$2:$A$200=$A13),GarminSessions!$F$2:$F$200),"")</f>
        <v/>
      </c>
      <c r="G13" s="185">
        <f>IFERROR(LOOKUP(2,1/(GarminSessions!$A$2:$A$200=$A13),GarminSessions!$G$2:$G$200),"")</f>
        <v/>
      </c>
      <c r="H13" s="185">
        <f>IFERROR(LOOKUP(2,1/(GarminSessions!$A$2:$A$200=$A13),GarminSessions!$H$2:$H$200),"")</f>
        <v/>
      </c>
      <c r="I13" s="185">
        <f>IFERROR(LOOKUP(2,1/(GarminSessions!$A$2:$A$200=$A13),GarminSessions!$I$2:$I$200),"")</f>
        <v/>
      </c>
      <c r="J13" s="185">
        <f>IFERROR(LOOKUP(2,1/(GarminSessions!$A$2:$A$200=$A13),GarminSessions!$J$2:$J$200),"")</f>
        <v/>
      </c>
      <c r="K13" s="185">
        <f>IFERROR(LOOKUP(2,1/(GarminSessions!$A$2:$A$200=$A13),GarminSessions!$K$2:$K$200),"")</f>
        <v/>
      </c>
      <c r="L13" s="188">
        <f>IFERROR(LOOKUP(2,1/(GarminSessions!$A$2:$A$200=$A13),GarminSessions!$L$2:$L$200),"")</f>
        <v/>
      </c>
      <c r="M13" s="234">
        <f>IFERROR(LOOKUP(2,1/(GarminSessions!$A$2:$A$200=$A13),GarminSessions!$M$2:$M$200),"")</f>
        <v/>
      </c>
      <c r="N13" s="188">
        <f>IFERROR(LOOKUP(2,1/(GarminSessions!$A$2:$A$200=$A13),GarminSessions!$N$2:$N$200),"")</f>
        <v/>
      </c>
      <c r="O13" s="186">
        <f>IFERROR(LOOKUP(2,1/(GarminSessions!$A$2:$A$200=$A13),GarminSessions!$O$2:$O$200),"")</f>
        <v/>
      </c>
      <c r="P13" s="186">
        <f>IFERROR(LOOKUP(2,1/(GarminSessions!$A$2:$A$200=$A13),GarminSessions!$P$2:$P$200),"")</f>
        <v/>
      </c>
      <c r="Q13" s="246">
        <f>IFERROR(LOOKUP(2,1/(GarminSessions!$A$2:$A$200=$A13),GarminSessions!$R$2:$R$200),"")</f>
        <v/>
      </c>
    </row>
    <row r="14" ht="18.75" customHeight="1" s="141">
      <c r="A14" s="358" t="inlineStr">
        <is>
          <t>P9</t>
        </is>
      </c>
      <c r="B14" s="239">
        <f>IFERROR(LOOKUP(2,1/(GarminSessions!$A$2:$A$200=$A14),GarminSessions!$D$2:$D$200),"")</f>
        <v/>
      </c>
      <c r="C14" s="240">
        <f>IFERROR(LOOKUP(2,1/(GarminSessions!$A$2:$A$200=$A14),GarminSessions!$Q$2:$Q$200),"")</f>
        <v/>
      </c>
      <c r="D14" s="241">
        <f>COUNT(E14:K14)</f>
        <v/>
      </c>
      <c r="E14" s="242">
        <f>IFERROR(LOOKUP(2,1/(GarminSessions!$A$2:$A$200=$A14),GarminSessions!$E$2:$E$200),"")</f>
        <v/>
      </c>
      <c r="F14" s="242">
        <f>IFERROR(LOOKUP(2,1/(GarminSessions!$A$2:$A$200=$A14),GarminSessions!$F$2:$F$200),"")</f>
        <v/>
      </c>
      <c r="G14" s="242">
        <f>IFERROR(LOOKUP(2,1/(GarminSessions!$A$2:$A$200=$A14),GarminSessions!$G$2:$G$200),"")</f>
        <v/>
      </c>
      <c r="H14" s="242">
        <f>IFERROR(LOOKUP(2,1/(GarminSessions!$A$2:$A$200=$A14),GarminSessions!$H$2:$H$200),"")</f>
        <v/>
      </c>
      <c r="I14" s="242">
        <f>IFERROR(LOOKUP(2,1/(GarminSessions!$A$2:$A$200=$A14),GarminSessions!$I$2:$I$200),"")</f>
        <v/>
      </c>
      <c r="J14" s="242">
        <f>IFERROR(LOOKUP(2,1/(GarminSessions!$A$2:$A$200=$A14),GarminSessions!$J$2:$J$200),"")</f>
        <v/>
      </c>
      <c r="K14" s="242">
        <f>IFERROR(LOOKUP(2,1/(GarminSessions!$A$2:$A$200=$A14),GarminSessions!$K$2:$K$200),"")</f>
        <v/>
      </c>
      <c r="L14" s="243">
        <f>IFERROR(LOOKUP(2,1/(GarminSessions!$A$2:$A$200=$A14),GarminSessions!$L$2:$L$200),"")</f>
        <v/>
      </c>
      <c r="M14" s="244">
        <f>IFERROR(LOOKUP(2,1/(GarminSessions!$A$2:$A$200=$A14),GarminSessions!$M$2:$M$200),"")</f>
        <v/>
      </c>
      <c r="N14" s="243">
        <f>IFERROR(LOOKUP(2,1/(GarminSessions!$A$2:$A$200=$A14),GarminSessions!$N$2:$N$200),"")</f>
        <v/>
      </c>
      <c r="O14" s="245">
        <f>IFERROR(LOOKUP(2,1/(GarminSessions!$A$2:$A$200=$A14),GarminSessions!$O$2:$O$200),"")</f>
        <v/>
      </c>
      <c r="P14" s="245">
        <f>IFERROR(LOOKUP(2,1/(GarminSessions!$A$2:$A$200=$A14),GarminSessions!$P$2:$P$200),"")</f>
        <v/>
      </c>
      <c r="Q14" s="240">
        <f>IFERROR(LOOKUP(2,1/(GarminSessions!$A$2:$A$200=$A14),GarminSessions!$R$2:$R$200),"")</f>
        <v/>
      </c>
    </row>
    <row r="15" ht="18.75" customHeight="1" s="141">
      <c r="A15" s="336" t="inlineStr">
        <is>
          <t>P10</t>
        </is>
      </c>
      <c r="B15" s="184">
        <f>IFERROR(LOOKUP(2,1/(GarminSessions!$A$2:$A$200=$A15),GarminSessions!$D$2:$D$200),"")</f>
        <v/>
      </c>
      <c r="C15" s="246">
        <f>IFERROR(LOOKUP(2,1/(GarminSessions!$A$2:$A$200=$A15),GarminSessions!$Q$2:$Q$200),"")</f>
        <v/>
      </c>
      <c r="D15" s="187">
        <f>COUNT(E15:K15)</f>
        <v/>
      </c>
      <c r="E15" s="185">
        <f>IFERROR(LOOKUP(2,1/(GarminSessions!$A$2:$A$200=$A15),GarminSessions!$E$2:$E$200),"")</f>
        <v/>
      </c>
      <c r="F15" s="185">
        <f>IFERROR(LOOKUP(2,1/(GarminSessions!$A$2:$A$200=$A15),GarminSessions!$F$2:$F$200),"")</f>
        <v/>
      </c>
      <c r="G15" s="185">
        <f>IFERROR(LOOKUP(2,1/(GarminSessions!$A$2:$A$200=$A15),GarminSessions!$G$2:$G$200),"")</f>
        <v/>
      </c>
      <c r="H15" s="185">
        <f>IFERROR(LOOKUP(2,1/(GarminSessions!$A$2:$A$200=$A15),GarminSessions!$H$2:$H$200),"")</f>
        <v/>
      </c>
      <c r="I15" s="185">
        <f>IFERROR(LOOKUP(2,1/(GarminSessions!$A$2:$A$200=$A15),GarminSessions!$I$2:$I$200),"")</f>
        <v/>
      </c>
      <c r="J15" s="185">
        <f>IFERROR(LOOKUP(2,1/(GarminSessions!$A$2:$A$200=$A15),GarminSessions!$J$2:$J$200),"")</f>
        <v/>
      </c>
      <c r="K15" s="185">
        <f>IFERROR(LOOKUP(2,1/(GarminSessions!$A$2:$A$200=$A15),GarminSessions!$K$2:$K$200),"")</f>
        <v/>
      </c>
      <c r="L15" s="188">
        <f>IFERROR(LOOKUP(2,1/(GarminSessions!$A$2:$A$200=$A15),GarminSessions!$L$2:$L$200),"")</f>
        <v/>
      </c>
      <c r="M15" s="234">
        <f>IFERROR(LOOKUP(2,1/(GarminSessions!$A$2:$A$200=$A15),GarminSessions!$M$2:$M$200),"")</f>
        <v/>
      </c>
      <c r="N15" s="188">
        <f>IFERROR(LOOKUP(2,1/(GarminSessions!$A$2:$A$200=$A15),GarminSessions!$N$2:$N$200),"")</f>
        <v/>
      </c>
      <c r="O15" s="186">
        <f>IFERROR(LOOKUP(2,1/(GarminSessions!$A$2:$A$200=$A15),GarminSessions!$O$2:$O$200),"")</f>
        <v/>
      </c>
      <c r="P15" s="186">
        <f>IFERROR(LOOKUP(2,1/(GarminSessions!$A$2:$A$200=$A15),GarminSessions!$P$2:$P$200),"")</f>
        <v/>
      </c>
      <c r="Q15" s="246">
        <f>IFERROR(LOOKUP(2,1/(GarminSessions!$A$2:$A$200=$A15),GarminSessions!$R$2:$R$200),"")</f>
        <v/>
      </c>
    </row>
    <row r="16" ht="21.75" customHeight="1" s="141">
      <c r="A16" s="357" t="inlineStr">
        <is>
          <t>SEATING DEPTH  (Seating Depth Tests 1–10  →  rows 17–26)</t>
        </is>
      </c>
      <c r="B16" s="309" t="n"/>
      <c r="C16" s="309" t="n"/>
      <c r="D16" s="309" t="n"/>
      <c r="E16" s="309" t="n"/>
      <c r="F16" s="309" t="n"/>
      <c r="G16" s="309" t="n"/>
      <c r="H16" s="309" t="n"/>
      <c r="I16" s="309" t="n"/>
      <c r="J16" s="309" t="n"/>
      <c r="K16" s="309" t="n"/>
      <c r="L16" s="309" t="n"/>
      <c r="M16" s="309" t="n"/>
      <c r="N16" s="309" t="n"/>
      <c r="O16" s="309" t="n"/>
      <c r="P16" s="309" t="n"/>
      <c r="Q16" s="309" t="n"/>
    </row>
    <row r="17" ht="18.75" customHeight="1" s="141">
      <c r="A17" s="359" t="inlineStr">
        <is>
          <t>S1</t>
        </is>
      </c>
      <c r="B17" s="247">
        <f>IFERROR(LOOKUP(2,1/(GarminSessions!$A$2:$A$200=$A17),GarminSessions!$D$2:$D$200),"")</f>
        <v/>
      </c>
      <c r="C17" s="248">
        <f>IFERROR(LOOKUP(2,1/(GarminSessions!$A$2:$A$200=$A17),GarminSessions!$Q$2:$Q$200),"")</f>
        <v/>
      </c>
      <c r="D17" s="249">
        <f>COUNT(E17:K17)</f>
        <v/>
      </c>
      <c r="E17" s="250">
        <f>IFERROR(LOOKUP(2,1/(GarminSessions!$A$2:$A$200=$A17),GarminSessions!$E$2:$E$200),"")</f>
        <v/>
      </c>
      <c r="F17" s="250">
        <f>IFERROR(LOOKUP(2,1/(GarminSessions!$A$2:$A$200=$A17),GarminSessions!$F$2:$F$200),"")</f>
        <v/>
      </c>
      <c r="G17" s="250">
        <f>IFERROR(LOOKUP(2,1/(GarminSessions!$A$2:$A$200=$A17),GarminSessions!$G$2:$G$200),"")</f>
        <v/>
      </c>
      <c r="H17" s="250">
        <f>IFERROR(LOOKUP(2,1/(GarminSessions!$A$2:$A$200=$A17),GarminSessions!$H$2:$H$200),"")</f>
        <v/>
      </c>
      <c r="I17" s="250">
        <f>IFERROR(LOOKUP(2,1/(GarminSessions!$A$2:$A$200=$A17),GarminSessions!$I$2:$I$200),"")</f>
        <v/>
      </c>
      <c r="J17" s="250">
        <f>IFERROR(LOOKUP(2,1/(GarminSessions!$A$2:$A$200=$A17),GarminSessions!$J$2:$J$200),"")</f>
        <v/>
      </c>
      <c r="K17" s="250">
        <f>IFERROR(LOOKUP(2,1/(GarminSessions!$A$2:$A$200=$A17),GarminSessions!$K$2:$K$200),"")</f>
        <v/>
      </c>
      <c r="L17" s="251">
        <f>IFERROR(LOOKUP(2,1/(GarminSessions!$A$2:$A$200=$A17),GarminSessions!$L$2:$L$200),"")</f>
        <v/>
      </c>
      <c r="M17" s="252">
        <f>IFERROR(LOOKUP(2,1/(GarminSessions!$A$2:$A$200=$A17),GarminSessions!$M$2:$M$200),"")</f>
        <v/>
      </c>
      <c r="N17" s="251">
        <f>IFERROR(LOOKUP(2,1/(GarminSessions!$A$2:$A$200=$A17),GarminSessions!$N$2:$N$200),"")</f>
        <v/>
      </c>
      <c r="O17" s="253">
        <f>IFERROR(LOOKUP(2,1/(GarminSessions!$A$2:$A$200=$A17),GarminSessions!$O$2:$O$200),"")</f>
        <v/>
      </c>
      <c r="P17" s="253">
        <f>IFERROR(LOOKUP(2,1/(GarminSessions!$A$2:$A$200=$A17),GarminSessions!$P$2:$P$200),"")</f>
        <v/>
      </c>
      <c r="Q17" s="248">
        <f>IFERROR(LOOKUP(2,1/(GarminSessions!$A$2:$A$200=$A17),GarminSessions!$R$2:$R$200),"")</f>
        <v/>
      </c>
    </row>
    <row r="18" ht="18.75" customHeight="1" s="141">
      <c r="A18" s="336" t="inlineStr">
        <is>
          <t>S2</t>
        </is>
      </c>
      <c r="B18" s="184">
        <f>IFERROR(LOOKUP(2,1/(GarminSessions!$A$2:$A$200=$A18),GarminSessions!$D$2:$D$200),"")</f>
        <v/>
      </c>
      <c r="C18" s="246">
        <f>IFERROR(LOOKUP(2,1/(GarminSessions!$A$2:$A$200=$A18),GarminSessions!$Q$2:$Q$200),"")</f>
        <v/>
      </c>
      <c r="D18" s="187">
        <f>COUNT(E18:K18)</f>
        <v/>
      </c>
      <c r="E18" s="185">
        <f>IFERROR(LOOKUP(2,1/(GarminSessions!$A$2:$A$200=$A18),GarminSessions!$E$2:$E$200),"")</f>
        <v/>
      </c>
      <c r="F18" s="185">
        <f>IFERROR(LOOKUP(2,1/(GarminSessions!$A$2:$A$200=$A18),GarminSessions!$F$2:$F$200),"")</f>
        <v/>
      </c>
      <c r="G18" s="185">
        <f>IFERROR(LOOKUP(2,1/(GarminSessions!$A$2:$A$200=$A18),GarminSessions!$G$2:$G$200),"")</f>
        <v/>
      </c>
      <c r="H18" s="185">
        <f>IFERROR(LOOKUP(2,1/(GarminSessions!$A$2:$A$200=$A18),GarminSessions!$H$2:$H$200),"")</f>
        <v/>
      </c>
      <c r="I18" s="185">
        <f>IFERROR(LOOKUP(2,1/(GarminSessions!$A$2:$A$200=$A18),GarminSessions!$I$2:$I$200),"")</f>
        <v/>
      </c>
      <c r="J18" s="185">
        <f>IFERROR(LOOKUP(2,1/(GarminSessions!$A$2:$A$200=$A18),GarminSessions!$J$2:$J$200),"")</f>
        <v/>
      </c>
      <c r="K18" s="185">
        <f>IFERROR(LOOKUP(2,1/(GarminSessions!$A$2:$A$200=$A18),GarminSessions!$K$2:$K$200),"")</f>
        <v/>
      </c>
      <c r="L18" s="188">
        <f>IFERROR(LOOKUP(2,1/(GarminSessions!$A$2:$A$200=$A18),GarminSessions!$L$2:$L$200),"")</f>
        <v/>
      </c>
      <c r="M18" s="234">
        <f>IFERROR(LOOKUP(2,1/(GarminSessions!$A$2:$A$200=$A18),GarminSessions!$M$2:$M$200),"")</f>
        <v/>
      </c>
      <c r="N18" s="188">
        <f>IFERROR(LOOKUP(2,1/(GarminSessions!$A$2:$A$200=$A18),GarminSessions!$N$2:$N$200),"")</f>
        <v/>
      </c>
      <c r="O18" s="186">
        <f>IFERROR(LOOKUP(2,1/(GarminSessions!$A$2:$A$200=$A18),GarminSessions!$O$2:$O$200),"")</f>
        <v/>
      </c>
      <c r="P18" s="186">
        <f>IFERROR(LOOKUP(2,1/(GarminSessions!$A$2:$A$200=$A18),GarminSessions!$P$2:$P$200),"")</f>
        <v/>
      </c>
      <c r="Q18" s="246">
        <f>IFERROR(LOOKUP(2,1/(GarminSessions!$A$2:$A$200=$A18),GarminSessions!$R$2:$R$200),"")</f>
        <v/>
      </c>
    </row>
    <row r="19" ht="18.75" customHeight="1" s="141">
      <c r="A19" s="359" t="inlineStr">
        <is>
          <t>S3</t>
        </is>
      </c>
      <c r="B19" s="247">
        <f>IFERROR(LOOKUP(2,1/(GarminSessions!$A$2:$A$200=$A19),GarminSessions!$D$2:$D$200),"")</f>
        <v/>
      </c>
      <c r="C19" s="248">
        <f>IFERROR(LOOKUP(2,1/(GarminSessions!$A$2:$A$200=$A19),GarminSessions!$Q$2:$Q$200),"")</f>
        <v/>
      </c>
      <c r="D19" s="249">
        <f>COUNT(E19:K19)</f>
        <v/>
      </c>
      <c r="E19" s="250">
        <f>IFERROR(LOOKUP(2,1/(GarminSessions!$A$2:$A$200=$A19),GarminSessions!$E$2:$E$200),"")</f>
        <v/>
      </c>
      <c r="F19" s="250">
        <f>IFERROR(LOOKUP(2,1/(GarminSessions!$A$2:$A$200=$A19),GarminSessions!$F$2:$F$200),"")</f>
        <v/>
      </c>
      <c r="G19" s="250">
        <f>IFERROR(LOOKUP(2,1/(GarminSessions!$A$2:$A$200=$A19),GarminSessions!$G$2:$G$200),"")</f>
        <v/>
      </c>
      <c r="H19" s="250">
        <f>IFERROR(LOOKUP(2,1/(GarminSessions!$A$2:$A$200=$A19),GarminSessions!$H$2:$H$200),"")</f>
        <v/>
      </c>
      <c r="I19" s="250">
        <f>IFERROR(LOOKUP(2,1/(GarminSessions!$A$2:$A$200=$A19),GarminSessions!$I$2:$I$200),"")</f>
        <v/>
      </c>
      <c r="J19" s="250">
        <f>IFERROR(LOOKUP(2,1/(GarminSessions!$A$2:$A$200=$A19),GarminSessions!$J$2:$J$200),"")</f>
        <v/>
      </c>
      <c r="K19" s="250">
        <f>IFERROR(LOOKUP(2,1/(GarminSessions!$A$2:$A$200=$A19),GarminSessions!$K$2:$K$200),"")</f>
        <v/>
      </c>
      <c r="L19" s="251">
        <f>IFERROR(LOOKUP(2,1/(GarminSessions!$A$2:$A$200=$A19),GarminSessions!$L$2:$L$200),"")</f>
        <v/>
      </c>
      <c r="M19" s="252">
        <f>IFERROR(LOOKUP(2,1/(GarminSessions!$A$2:$A$200=$A19),GarminSessions!$M$2:$M$200),"")</f>
        <v/>
      </c>
      <c r="N19" s="251">
        <f>IFERROR(LOOKUP(2,1/(GarminSessions!$A$2:$A$200=$A19),GarminSessions!$N$2:$N$200),"")</f>
        <v/>
      </c>
      <c r="O19" s="253">
        <f>IFERROR(LOOKUP(2,1/(GarminSessions!$A$2:$A$200=$A19),GarminSessions!$O$2:$O$200),"")</f>
        <v/>
      </c>
      <c r="P19" s="253">
        <f>IFERROR(LOOKUP(2,1/(GarminSessions!$A$2:$A$200=$A19),GarminSessions!$P$2:$P$200),"")</f>
        <v/>
      </c>
      <c r="Q19" s="248">
        <f>IFERROR(LOOKUP(2,1/(GarminSessions!$A$2:$A$200=$A19),GarminSessions!$R$2:$R$200),"")</f>
        <v/>
      </c>
    </row>
    <row r="20" ht="18.75" customHeight="1" s="141">
      <c r="A20" s="336" t="inlineStr">
        <is>
          <t>S4</t>
        </is>
      </c>
      <c r="B20" s="184">
        <f>IFERROR(LOOKUP(2,1/(GarminSessions!$A$2:$A$200=$A20),GarminSessions!$D$2:$D$200),"")</f>
        <v/>
      </c>
      <c r="C20" s="246">
        <f>IFERROR(LOOKUP(2,1/(GarminSessions!$A$2:$A$200=$A20),GarminSessions!$Q$2:$Q$200),"")</f>
        <v/>
      </c>
      <c r="D20" s="187">
        <f>COUNT(E20:K20)</f>
        <v/>
      </c>
      <c r="E20" s="185">
        <f>IFERROR(LOOKUP(2,1/(GarminSessions!$A$2:$A$200=$A20),GarminSessions!$E$2:$E$200),"")</f>
        <v/>
      </c>
      <c r="F20" s="185">
        <f>IFERROR(LOOKUP(2,1/(GarminSessions!$A$2:$A$200=$A20),GarminSessions!$F$2:$F$200),"")</f>
        <v/>
      </c>
      <c r="G20" s="185">
        <f>IFERROR(LOOKUP(2,1/(GarminSessions!$A$2:$A$200=$A20),GarminSessions!$G$2:$G$200),"")</f>
        <v/>
      </c>
      <c r="H20" s="185">
        <f>IFERROR(LOOKUP(2,1/(GarminSessions!$A$2:$A$200=$A20),GarminSessions!$H$2:$H$200),"")</f>
        <v/>
      </c>
      <c r="I20" s="185">
        <f>IFERROR(LOOKUP(2,1/(GarminSessions!$A$2:$A$200=$A20),GarminSessions!$I$2:$I$200),"")</f>
        <v/>
      </c>
      <c r="J20" s="185">
        <f>IFERROR(LOOKUP(2,1/(GarminSessions!$A$2:$A$200=$A20),GarminSessions!$J$2:$J$200),"")</f>
        <v/>
      </c>
      <c r="K20" s="185">
        <f>IFERROR(LOOKUP(2,1/(GarminSessions!$A$2:$A$200=$A20),GarminSessions!$K$2:$K$200),"")</f>
        <v/>
      </c>
      <c r="L20" s="188">
        <f>IFERROR(LOOKUP(2,1/(GarminSessions!$A$2:$A$200=$A20),GarminSessions!$L$2:$L$200),"")</f>
        <v/>
      </c>
      <c r="M20" s="234">
        <f>IFERROR(LOOKUP(2,1/(GarminSessions!$A$2:$A$200=$A20),GarminSessions!$M$2:$M$200),"")</f>
        <v/>
      </c>
      <c r="N20" s="188">
        <f>IFERROR(LOOKUP(2,1/(GarminSessions!$A$2:$A$200=$A20),GarminSessions!$N$2:$N$200),"")</f>
        <v/>
      </c>
      <c r="O20" s="186">
        <f>IFERROR(LOOKUP(2,1/(GarminSessions!$A$2:$A$200=$A20),GarminSessions!$O$2:$O$200),"")</f>
        <v/>
      </c>
      <c r="P20" s="186">
        <f>IFERROR(LOOKUP(2,1/(GarminSessions!$A$2:$A$200=$A20),GarminSessions!$P$2:$P$200),"")</f>
        <v/>
      </c>
      <c r="Q20" s="246">
        <f>IFERROR(LOOKUP(2,1/(GarminSessions!$A$2:$A$200=$A20),GarminSessions!$R$2:$R$200),"")</f>
        <v/>
      </c>
    </row>
    <row r="21" ht="18.75" customHeight="1" s="141">
      <c r="A21" s="359" t="inlineStr">
        <is>
          <t>S5</t>
        </is>
      </c>
      <c r="B21" s="247">
        <f>IFERROR(LOOKUP(2,1/(GarminSessions!$A$2:$A$200=$A21),GarminSessions!$D$2:$D$200),"")</f>
        <v/>
      </c>
      <c r="C21" s="248">
        <f>IFERROR(LOOKUP(2,1/(GarminSessions!$A$2:$A$200=$A21),GarminSessions!$Q$2:$Q$200),"")</f>
        <v/>
      </c>
      <c r="D21" s="249">
        <f>COUNT(E21:K21)</f>
        <v/>
      </c>
      <c r="E21" s="250">
        <f>IFERROR(LOOKUP(2,1/(GarminSessions!$A$2:$A$200=$A21),GarminSessions!$E$2:$E$200),"")</f>
        <v/>
      </c>
      <c r="F21" s="250">
        <f>IFERROR(LOOKUP(2,1/(GarminSessions!$A$2:$A$200=$A21),GarminSessions!$F$2:$F$200),"")</f>
        <v/>
      </c>
      <c r="G21" s="250">
        <f>IFERROR(LOOKUP(2,1/(GarminSessions!$A$2:$A$200=$A21),GarminSessions!$G$2:$G$200),"")</f>
        <v/>
      </c>
      <c r="H21" s="250">
        <f>IFERROR(LOOKUP(2,1/(GarminSessions!$A$2:$A$200=$A21),GarminSessions!$H$2:$H$200),"")</f>
        <v/>
      </c>
      <c r="I21" s="250">
        <f>IFERROR(LOOKUP(2,1/(GarminSessions!$A$2:$A$200=$A21),GarminSessions!$I$2:$I$200),"")</f>
        <v/>
      </c>
      <c r="J21" s="250">
        <f>IFERROR(LOOKUP(2,1/(GarminSessions!$A$2:$A$200=$A21),GarminSessions!$J$2:$J$200),"")</f>
        <v/>
      </c>
      <c r="K21" s="250">
        <f>IFERROR(LOOKUP(2,1/(GarminSessions!$A$2:$A$200=$A21),GarminSessions!$K$2:$K$200),"")</f>
        <v/>
      </c>
      <c r="L21" s="251">
        <f>IFERROR(LOOKUP(2,1/(GarminSessions!$A$2:$A$200=$A21),GarminSessions!$L$2:$L$200),"")</f>
        <v/>
      </c>
      <c r="M21" s="252">
        <f>IFERROR(LOOKUP(2,1/(GarminSessions!$A$2:$A$200=$A21),GarminSessions!$M$2:$M$200),"")</f>
        <v/>
      </c>
      <c r="N21" s="251">
        <f>IFERROR(LOOKUP(2,1/(GarminSessions!$A$2:$A$200=$A21),GarminSessions!$N$2:$N$200),"")</f>
        <v/>
      </c>
      <c r="O21" s="253">
        <f>IFERROR(LOOKUP(2,1/(GarminSessions!$A$2:$A$200=$A21),GarminSessions!$O$2:$O$200),"")</f>
        <v/>
      </c>
      <c r="P21" s="253">
        <f>IFERROR(LOOKUP(2,1/(GarminSessions!$A$2:$A$200=$A21),GarminSessions!$P$2:$P$200),"")</f>
        <v/>
      </c>
      <c r="Q21" s="248">
        <f>IFERROR(LOOKUP(2,1/(GarminSessions!$A$2:$A$200=$A21),GarminSessions!$R$2:$R$200),"")</f>
        <v/>
      </c>
    </row>
    <row r="22" ht="18.75" customHeight="1" s="141">
      <c r="A22" s="336" t="inlineStr">
        <is>
          <t>S6</t>
        </is>
      </c>
      <c r="B22" s="184">
        <f>IFERROR(LOOKUP(2,1/(GarminSessions!$A$2:$A$200=$A22),GarminSessions!$D$2:$D$200),"")</f>
        <v/>
      </c>
      <c r="C22" s="246">
        <f>IFERROR(LOOKUP(2,1/(GarminSessions!$A$2:$A$200=$A22),GarminSessions!$Q$2:$Q$200),"")</f>
        <v/>
      </c>
      <c r="D22" s="187">
        <f>COUNT(E22:K22)</f>
        <v/>
      </c>
      <c r="E22" s="185">
        <f>IFERROR(LOOKUP(2,1/(GarminSessions!$A$2:$A$200=$A22),GarminSessions!$E$2:$E$200),"")</f>
        <v/>
      </c>
      <c r="F22" s="185">
        <f>IFERROR(LOOKUP(2,1/(GarminSessions!$A$2:$A$200=$A22),GarminSessions!$F$2:$F$200),"")</f>
        <v/>
      </c>
      <c r="G22" s="185">
        <f>IFERROR(LOOKUP(2,1/(GarminSessions!$A$2:$A$200=$A22),GarminSessions!$G$2:$G$200),"")</f>
        <v/>
      </c>
      <c r="H22" s="185">
        <f>IFERROR(LOOKUP(2,1/(GarminSessions!$A$2:$A$200=$A22),GarminSessions!$H$2:$H$200),"")</f>
        <v/>
      </c>
      <c r="I22" s="185">
        <f>IFERROR(LOOKUP(2,1/(GarminSessions!$A$2:$A$200=$A22),GarminSessions!$I$2:$I$200),"")</f>
        <v/>
      </c>
      <c r="J22" s="185">
        <f>IFERROR(LOOKUP(2,1/(GarminSessions!$A$2:$A$200=$A22),GarminSessions!$J$2:$J$200),"")</f>
        <v/>
      </c>
      <c r="K22" s="185">
        <f>IFERROR(LOOKUP(2,1/(GarminSessions!$A$2:$A$200=$A22),GarminSessions!$K$2:$K$200),"")</f>
        <v/>
      </c>
      <c r="L22" s="188">
        <f>IFERROR(LOOKUP(2,1/(GarminSessions!$A$2:$A$200=$A22),GarminSessions!$L$2:$L$200),"")</f>
        <v/>
      </c>
      <c r="M22" s="234">
        <f>IFERROR(LOOKUP(2,1/(GarminSessions!$A$2:$A$200=$A22),GarminSessions!$M$2:$M$200),"")</f>
        <v/>
      </c>
      <c r="N22" s="188">
        <f>IFERROR(LOOKUP(2,1/(GarminSessions!$A$2:$A$200=$A22),GarminSessions!$N$2:$N$200),"")</f>
        <v/>
      </c>
      <c r="O22" s="186">
        <f>IFERROR(LOOKUP(2,1/(GarminSessions!$A$2:$A$200=$A22),GarminSessions!$O$2:$O$200),"")</f>
        <v/>
      </c>
      <c r="P22" s="186">
        <f>IFERROR(LOOKUP(2,1/(GarminSessions!$A$2:$A$200=$A22),GarminSessions!$P$2:$P$200),"")</f>
        <v/>
      </c>
      <c r="Q22" s="246">
        <f>IFERROR(LOOKUP(2,1/(GarminSessions!$A$2:$A$200=$A22),GarminSessions!$R$2:$R$200),"")</f>
        <v/>
      </c>
    </row>
    <row r="23" ht="18.75" customHeight="1" s="141">
      <c r="A23" s="359" t="inlineStr">
        <is>
          <t>S7</t>
        </is>
      </c>
      <c r="B23" s="247">
        <f>IFERROR(LOOKUP(2,1/(GarminSessions!$A$2:$A$200=$A23),GarminSessions!$D$2:$D$200),"")</f>
        <v/>
      </c>
      <c r="C23" s="248">
        <f>IFERROR(LOOKUP(2,1/(GarminSessions!$A$2:$A$200=$A23),GarminSessions!$Q$2:$Q$200),"")</f>
        <v/>
      </c>
      <c r="D23" s="249">
        <f>COUNT(E23:K23)</f>
        <v/>
      </c>
      <c r="E23" s="250">
        <f>IFERROR(LOOKUP(2,1/(GarminSessions!$A$2:$A$200=$A23),GarminSessions!$E$2:$E$200),"")</f>
        <v/>
      </c>
      <c r="F23" s="250">
        <f>IFERROR(LOOKUP(2,1/(GarminSessions!$A$2:$A$200=$A23),GarminSessions!$F$2:$F$200),"")</f>
        <v/>
      </c>
      <c r="G23" s="250">
        <f>IFERROR(LOOKUP(2,1/(GarminSessions!$A$2:$A$200=$A23),GarminSessions!$G$2:$G$200),"")</f>
        <v/>
      </c>
      <c r="H23" s="250">
        <f>IFERROR(LOOKUP(2,1/(GarminSessions!$A$2:$A$200=$A23),GarminSessions!$H$2:$H$200),"")</f>
        <v/>
      </c>
      <c r="I23" s="250">
        <f>IFERROR(LOOKUP(2,1/(GarminSessions!$A$2:$A$200=$A23),GarminSessions!$I$2:$I$200),"")</f>
        <v/>
      </c>
      <c r="J23" s="250">
        <f>IFERROR(LOOKUP(2,1/(GarminSessions!$A$2:$A$200=$A23),GarminSessions!$J$2:$J$200),"")</f>
        <v/>
      </c>
      <c r="K23" s="250">
        <f>IFERROR(LOOKUP(2,1/(GarminSessions!$A$2:$A$200=$A23),GarminSessions!$K$2:$K$200),"")</f>
        <v/>
      </c>
      <c r="L23" s="251">
        <f>IFERROR(LOOKUP(2,1/(GarminSessions!$A$2:$A$200=$A23),GarminSessions!$L$2:$L$200),"")</f>
        <v/>
      </c>
      <c r="M23" s="252">
        <f>IFERROR(LOOKUP(2,1/(GarminSessions!$A$2:$A$200=$A23),GarminSessions!$M$2:$M$200),"")</f>
        <v/>
      </c>
      <c r="N23" s="251">
        <f>IFERROR(LOOKUP(2,1/(GarminSessions!$A$2:$A$200=$A23),GarminSessions!$N$2:$N$200),"")</f>
        <v/>
      </c>
      <c r="O23" s="253">
        <f>IFERROR(LOOKUP(2,1/(GarminSessions!$A$2:$A$200=$A23),GarminSessions!$O$2:$O$200),"")</f>
        <v/>
      </c>
      <c r="P23" s="253">
        <f>IFERROR(LOOKUP(2,1/(GarminSessions!$A$2:$A$200=$A23),GarminSessions!$P$2:$P$200),"")</f>
        <v/>
      </c>
      <c r="Q23" s="248">
        <f>IFERROR(LOOKUP(2,1/(GarminSessions!$A$2:$A$200=$A23),GarminSessions!$R$2:$R$200),"")</f>
        <v/>
      </c>
    </row>
    <row r="24" ht="18.75" customHeight="1" s="141">
      <c r="A24" s="336" t="inlineStr">
        <is>
          <t>S8</t>
        </is>
      </c>
      <c r="B24" s="184">
        <f>IFERROR(LOOKUP(2,1/(GarminSessions!$A$2:$A$200=$A24),GarminSessions!$D$2:$D$200),"")</f>
        <v/>
      </c>
      <c r="C24" s="246">
        <f>IFERROR(LOOKUP(2,1/(GarminSessions!$A$2:$A$200=$A24),GarminSessions!$Q$2:$Q$200),"")</f>
        <v/>
      </c>
      <c r="D24" s="187">
        <f>COUNT(E24:K24)</f>
        <v/>
      </c>
      <c r="E24" s="185">
        <f>IFERROR(LOOKUP(2,1/(GarminSessions!$A$2:$A$200=$A24),GarminSessions!$E$2:$E$200),"")</f>
        <v/>
      </c>
      <c r="F24" s="185">
        <f>IFERROR(LOOKUP(2,1/(GarminSessions!$A$2:$A$200=$A24),GarminSessions!$F$2:$F$200),"")</f>
        <v/>
      </c>
      <c r="G24" s="185">
        <f>IFERROR(LOOKUP(2,1/(GarminSessions!$A$2:$A$200=$A24),GarminSessions!$G$2:$G$200),"")</f>
        <v/>
      </c>
      <c r="H24" s="185">
        <f>IFERROR(LOOKUP(2,1/(GarminSessions!$A$2:$A$200=$A24),GarminSessions!$H$2:$H$200),"")</f>
        <v/>
      </c>
      <c r="I24" s="185">
        <f>IFERROR(LOOKUP(2,1/(GarminSessions!$A$2:$A$200=$A24),GarminSessions!$I$2:$I$200),"")</f>
        <v/>
      </c>
      <c r="J24" s="185">
        <f>IFERROR(LOOKUP(2,1/(GarminSessions!$A$2:$A$200=$A24),GarminSessions!$J$2:$J$200),"")</f>
        <v/>
      </c>
      <c r="K24" s="185">
        <f>IFERROR(LOOKUP(2,1/(GarminSessions!$A$2:$A$200=$A24),GarminSessions!$K$2:$K$200),"")</f>
        <v/>
      </c>
      <c r="L24" s="188">
        <f>IFERROR(LOOKUP(2,1/(GarminSessions!$A$2:$A$200=$A24),GarminSessions!$L$2:$L$200),"")</f>
        <v/>
      </c>
      <c r="M24" s="234">
        <f>IFERROR(LOOKUP(2,1/(GarminSessions!$A$2:$A$200=$A24),GarminSessions!$M$2:$M$200),"")</f>
        <v/>
      </c>
      <c r="N24" s="188">
        <f>IFERROR(LOOKUP(2,1/(GarminSessions!$A$2:$A$200=$A24),GarminSessions!$N$2:$N$200),"")</f>
        <v/>
      </c>
      <c r="O24" s="186">
        <f>IFERROR(LOOKUP(2,1/(GarminSessions!$A$2:$A$200=$A24),GarminSessions!$O$2:$O$200),"")</f>
        <v/>
      </c>
      <c r="P24" s="186">
        <f>IFERROR(LOOKUP(2,1/(GarminSessions!$A$2:$A$200=$A24),GarminSessions!$P$2:$P$200),"")</f>
        <v/>
      </c>
      <c r="Q24" s="246">
        <f>IFERROR(LOOKUP(2,1/(GarminSessions!$A$2:$A$200=$A24),GarminSessions!$R$2:$R$200),"")</f>
        <v/>
      </c>
    </row>
    <row r="25" ht="18.75" customHeight="1" s="141">
      <c r="A25" s="359" t="inlineStr">
        <is>
          <t>S9</t>
        </is>
      </c>
      <c r="B25" s="247">
        <f>IFERROR(LOOKUP(2,1/(GarminSessions!$A$2:$A$200=$A25),GarminSessions!$D$2:$D$200),"")</f>
        <v/>
      </c>
      <c r="C25" s="248">
        <f>IFERROR(LOOKUP(2,1/(GarminSessions!$A$2:$A$200=$A25),GarminSessions!$Q$2:$Q$200),"")</f>
        <v/>
      </c>
      <c r="D25" s="249">
        <f>COUNT(E25:K25)</f>
        <v/>
      </c>
      <c r="E25" s="250">
        <f>IFERROR(LOOKUP(2,1/(GarminSessions!$A$2:$A$200=$A25),GarminSessions!$E$2:$E$200),"")</f>
        <v/>
      </c>
      <c r="F25" s="250">
        <f>IFERROR(LOOKUP(2,1/(GarminSessions!$A$2:$A$200=$A25),GarminSessions!$F$2:$F$200),"")</f>
        <v/>
      </c>
      <c r="G25" s="250">
        <f>IFERROR(LOOKUP(2,1/(GarminSessions!$A$2:$A$200=$A25),GarminSessions!$G$2:$G$200),"")</f>
        <v/>
      </c>
      <c r="H25" s="250">
        <f>IFERROR(LOOKUP(2,1/(GarminSessions!$A$2:$A$200=$A25),GarminSessions!$H$2:$H$200),"")</f>
        <v/>
      </c>
      <c r="I25" s="250">
        <f>IFERROR(LOOKUP(2,1/(GarminSessions!$A$2:$A$200=$A25),GarminSessions!$I$2:$I$200),"")</f>
        <v/>
      </c>
      <c r="J25" s="250">
        <f>IFERROR(LOOKUP(2,1/(GarminSessions!$A$2:$A$200=$A25),GarminSessions!$J$2:$J$200),"")</f>
        <v/>
      </c>
      <c r="K25" s="250">
        <f>IFERROR(LOOKUP(2,1/(GarminSessions!$A$2:$A$200=$A25),GarminSessions!$K$2:$K$200),"")</f>
        <v/>
      </c>
      <c r="L25" s="251">
        <f>IFERROR(LOOKUP(2,1/(GarminSessions!$A$2:$A$200=$A25),GarminSessions!$L$2:$L$200),"")</f>
        <v/>
      </c>
      <c r="M25" s="252">
        <f>IFERROR(LOOKUP(2,1/(GarminSessions!$A$2:$A$200=$A25),GarminSessions!$M$2:$M$200),"")</f>
        <v/>
      </c>
      <c r="N25" s="251">
        <f>IFERROR(LOOKUP(2,1/(GarminSessions!$A$2:$A$200=$A25),GarminSessions!$N$2:$N$200),"")</f>
        <v/>
      </c>
      <c r="O25" s="253">
        <f>IFERROR(LOOKUP(2,1/(GarminSessions!$A$2:$A$200=$A25),GarminSessions!$O$2:$O$200),"")</f>
        <v/>
      </c>
      <c r="P25" s="253">
        <f>IFERROR(LOOKUP(2,1/(GarminSessions!$A$2:$A$200=$A25),GarminSessions!$P$2:$P$200),"")</f>
        <v/>
      </c>
      <c r="Q25" s="248">
        <f>IFERROR(LOOKUP(2,1/(GarminSessions!$A$2:$A$200=$A25),GarminSessions!$R$2:$R$200),"")</f>
        <v/>
      </c>
    </row>
    <row r="26" ht="18.75" customHeight="1" s="141">
      <c r="A26" s="336" t="inlineStr">
        <is>
          <t>S10</t>
        </is>
      </c>
      <c r="B26" s="184">
        <f>IFERROR(LOOKUP(2,1/(GarminSessions!$A$2:$A$200=$A26),GarminSessions!$D$2:$D$200),"")</f>
        <v/>
      </c>
      <c r="C26" s="246">
        <f>IFERROR(LOOKUP(2,1/(GarminSessions!$A$2:$A$200=$A26),GarminSessions!$Q$2:$Q$200),"")</f>
        <v/>
      </c>
      <c r="D26" s="187">
        <f>COUNT(E26:K26)</f>
        <v/>
      </c>
      <c r="E26" s="185">
        <f>IFERROR(LOOKUP(2,1/(GarminSessions!$A$2:$A$200=$A26),GarminSessions!$E$2:$E$200),"")</f>
        <v/>
      </c>
      <c r="F26" s="185">
        <f>IFERROR(LOOKUP(2,1/(GarminSessions!$A$2:$A$200=$A26),GarminSessions!$F$2:$F$200),"")</f>
        <v/>
      </c>
      <c r="G26" s="185">
        <f>IFERROR(LOOKUP(2,1/(GarminSessions!$A$2:$A$200=$A26),GarminSessions!$G$2:$G$200),"")</f>
        <v/>
      </c>
      <c r="H26" s="185">
        <f>IFERROR(LOOKUP(2,1/(GarminSessions!$A$2:$A$200=$A26),GarminSessions!$H$2:$H$200),"")</f>
        <v/>
      </c>
      <c r="I26" s="185">
        <f>IFERROR(LOOKUP(2,1/(GarminSessions!$A$2:$A$200=$A26),GarminSessions!$I$2:$I$200),"")</f>
        <v/>
      </c>
      <c r="J26" s="185">
        <f>IFERROR(LOOKUP(2,1/(GarminSessions!$A$2:$A$200=$A26),GarminSessions!$J$2:$J$200),"")</f>
        <v/>
      </c>
      <c r="K26" s="185">
        <f>IFERROR(LOOKUP(2,1/(GarminSessions!$A$2:$A$200=$A26),GarminSessions!$K$2:$K$200),"")</f>
        <v/>
      </c>
      <c r="L26" s="188">
        <f>IFERROR(LOOKUP(2,1/(GarminSessions!$A$2:$A$200=$A26),GarminSessions!$L$2:$L$200),"")</f>
        <v/>
      </c>
      <c r="M26" s="234">
        <f>IFERROR(LOOKUP(2,1/(GarminSessions!$A$2:$A$200=$A26),GarminSessions!$M$2:$M$200),"")</f>
        <v/>
      </c>
      <c r="N26" s="188">
        <f>IFERROR(LOOKUP(2,1/(GarminSessions!$A$2:$A$200=$A26),GarminSessions!$N$2:$N$200),"")</f>
        <v/>
      </c>
      <c r="O26" s="186">
        <f>IFERROR(LOOKUP(2,1/(GarminSessions!$A$2:$A$200=$A26),GarminSessions!$O$2:$O$200),"")</f>
        <v/>
      </c>
      <c r="P26" s="186">
        <f>IFERROR(LOOKUP(2,1/(GarminSessions!$A$2:$A$200=$A26),GarminSessions!$P$2:$P$200),"")</f>
        <v/>
      </c>
      <c r="Q26" s="246">
        <f>IFERROR(LOOKUP(2,1/(GarminSessions!$A$2:$A$200=$A26),GarminSessions!$R$2:$R$200),"")</f>
        <v/>
      </c>
    </row>
    <row r="27" ht="7.5" customHeight="1" s="141">
      <c r="A27" s="309" t="n"/>
      <c r="B27" s="309" t="n"/>
      <c r="C27" s="309" t="n"/>
      <c r="D27" s="309" t="n"/>
      <c r="E27" s="309" t="n"/>
      <c r="F27" s="309" t="n"/>
      <c r="G27" s="309" t="n"/>
      <c r="H27" s="309" t="n"/>
      <c r="I27" s="309" t="n"/>
      <c r="J27" s="309" t="n"/>
      <c r="K27" s="309" t="n"/>
      <c r="L27" s="309" t="n"/>
      <c r="M27" s="309" t="n"/>
      <c r="N27" s="309" t="n"/>
      <c r="O27" s="309" t="n"/>
      <c r="P27" s="309" t="n"/>
      <c r="Q27" s="309" t="n"/>
    </row>
    <row r="28" ht="21.75" customHeight="1" s="141">
      <c r="A28" s="360" t="inlineStr">
        <is>
          <t>FREE-FORM SESSION LOG  (extra Garmin sessions — confirmation groups, calibration shoots, etc.)</t>
        </is>
      </c>
      <c r="B28" s="309" t="n"/>
      <c r="C28" s="309" t="n"/>
      <c r="D28" s="309" t="n"/>
      <c r="E28" s="309" t="n"/>
      <c r="F28" s="309" t="n"/>
      <c r="G28" s="309" t="n"/>
      <c r="H28" s="309" t="n"/>
      <c r="I28" s="309" t="n"/>
      <c r="J28" s="309" t="n"/>
      <c r="K28" s="309" t="n"/>
      <c r="L28" s="309" t="n"/>
      <c r="M28" s="309" t="n"/>
      <c r="N28" s="309" t="n"/>
      <c r="O28" s="309" t="n"/>
      <c r="P28" s="309" t="n"/>
      <c r="Q28" s="309" t="n"/>
    </row>
    <row r="29" ht="18.75" customHeight="1" s="141">
      <c r="A29" s="358" t="n"/>
      <c r="B29" s="239">
        <f>IFERROR(LOOKUP(2,1/(GarminSessions!$A$2:$A$200=$A29),GarminSessions!$D$2:$D$200),"")</f>
        <v/>
      </c>
      <c r="C29" s="240">
        <f>IFERROR(LOOKUP(2,1/(GarminSessions!$A$2:$A$200=$A29),GarminSessions!$Q$2:$Q$200),"")</f>
        <v/>
      </c>
      <c r="D29" s="241">
        <f>COUNT(E29:K29)</f>
        <v/>
      </c>
      <c r="E29" s="242">
        <f>IFERROR(LOOKUP(2,1/(GarminSessions!$A$2:$A$200=$A29),GarminSessions!$E$2:$E$200),"")</f>
        <v/>
      </c>
      <c r="F29" s="242">
        <f>IFERROR(LOOKUP(2,1/(GarminSessions!$A$2:$A$200=$A29),GarminSessions!$F$2:$F$200),"")</f>
        <v/>
      </c>
      <c r="G29" s="242">
        <f>IFERROR(LOOKUP(2,1/(GarminSessions!$A$2:$A$200=$A29),GarminSessions!$G$2:$G$200),"")</f>
        <v/>
      </c>
      <c r="H29" s="242">
        <f>IFERROR(LOOKUP(2,1/(GarminSessions!$A$2:$A$200=$A29),GarminSessions!$H$2:$H$200),"")</f>
        <v/>
      </c>
      <c r="I29" s="242">
        <f>IFERROR(LOOKUP(2,1/(GarminSessions!$A$2:$A$200=$A29),GarminSessions!$I$2:$I$200),"")</f>
        <v/>
      </c>
      <c r="J29" s="242">
        <f>IFERROR(LOOKUP(2,1/(GarminSessions!$A$2:$A$200=$A29),GarminSessions!$J$2:$J$200),"")</f>
        <v/>
      </c>
      <c r="K29" s="242">
        <f>IFERROR(LOOKUP(2,1/(GarminSessions!$A$2:$A$200=$A29),GarminSessions!$K$2:$K$200),"")</f>
        <v/>
      </c>
      <c r="L29" s="243">
        <f>IFERROR(LOOKUP(2,1/(GarminSessions!$A$2:$A$200=$A29),GarminSessions!$L$2:$L$200),"")</f>
        <v/>
      </c>
      <c r="M29" s="244">
        <f>IFERROR(LOOKUP(2,1/(GarminSessions!$A$2:$A$200=$A29),GarminSessions!$M$2:$M$200),"")</f>
        <v/>
      </c>
      <c r="N29" s="243">
        <f>IFERROR(LOOKUP(2,1/(GarminSessions!$A$2:$A$200=$A29),GarminSessions!$N$2:$N$200),"")</f>
        <v/>
      </c>
      <c r="O29" s="245">
        <f>IFERROR(LOOKUP(2,1/(GarminSessions!$A$2:$A$200=$A29),GarminSessions!$O$2:$O$200),"")</f>
        <v/>
      </c>
      <c r="P29" s="245">
        <f>IFERROR(LOOKUP(2,1/(GarminSessions!$A$2:$A$200=$A29),GarminSessions!$P$2:$P$200),"")</f>
        <v/>
      </c>
      <c r="Q29" s="240">
        <f>IFERROR(LOOKUP(2,1/(GarminSessions!$A$2:$A$200=$A29),GarminSessions!$R$2:$R$200),"")</f>
        <v/>
      </c>
    </row>
    <row r="30" ht="18.75" customHeight="1" s="141">
      <c r="A30" s="358" t="n"/>
      <c r="B30" s="239">
        <f>IFERROR(LOOKUP(2,1/(GarminSessions!$A$2:$A$200=$A30),GarminSessions!$D$2:$D$200),"")</f>
        <v/>
      </c>
      <c r="C30" s="240">
        <f>IFERROR(LOOKUP(2,1/(GarminSessions!$A$2:$A$200=$A30),GarminSessions!$Q$2:$Q$200),"")</f>
        <v/>
      </c>
      <c r="D30" s="241">
        <f>COUNT(E30:K30)</f>
        <v/>
      </c>
      <c r="E30" s="242">
        <f>IFERROR(LOOKUP(2,1/(GarminSessions!$A$2:$A$200=$A30),GarminSessions!$E$2:$E$200),"")</f>
        <v/>
      </c>
      <c r="F30" s="242">
        <f>IFERROR(LOOKUP(2,1/(GarminSessions!$A$2:$A$200=$A30),GarminSessions!$F$2:$F$200),"")</f>
        <v/>
      </c>
      <c r="G30" s="242">
        <f>IFERROR(LOOKUP(2,1/(GarminSessions!$A$2:$A$200=$A30),GarminSessions!$G$2:$G$200),"")</f>
        <v/>
      </c>
      <c r="H30" s="242">
        <f>IFERROR(LOOKUP(2,1/(GarminSessions!$A$2:$A$200=$A30),GarminSessions!$H$2:$H$200),"")</f>
        <v/>
      </c>
      <c r="I30" s="242">
        <f>IFERROR(LOOKUP(2,1/(GarminSessions!$A$2:$A$200=$A30),GarminSessions!$I$2:$I$200),"")</f>
        <v/>
      </c>
      <c r="J30" s="242">
        <f>IFERROR(LOOKUP(2,1/(GarminSessions!$A$2:$A$200=$A30),GarminSessions!$J$2:$J$200),"")</f>
        <v/>
      </c>
      <c r="K30" s="242">
        <f>IFERROR(LOOKUP(2,1/(GarminSessions!$A$2:$A$200=$A30),GarminSessions!$K$2:$K$200),"")</f>
        <v/>
      </c>
      <c r="L30" s="243">
        <f>IFERROR(LOOKUP(2,1/(GarminSessions!$A$2:$A$200=$A30),GarminSessions!$L$2:$L$200),"")</f>
        <v/>
      </c>
      <c r="M30" s="244">
        <f>IFERROR(LOOKUP(2,1/(GarminSessions!$A$2:$A$200=$A30),GarminSessions!$M$2:$M$200),"")</f>
        <v/>
      </c>
      <c r="N30" s="243">
        <f>IFERROR(LOOKUP(2,1/(GarminSessions!$A$2:$A$200=$A30),GarminSessions!$N$2:$N$200),"")</f>
        <v/>
      </c>
      <c r="O30" s="245">
        <f>IFERROR(LOOKUP(2,1/(GarminSessions!$A$2:$A$200=$A30),GarminSessions!$O$2:$O$200),"")</f>
        <v/>
      </c>
      <c r="P30" s="245">
        <f>IFERROR(LOOKUP(2,1/(GarminSessions!$A$2:$A$200=$A30),GarminSessions!$P$2:$P$200),"")</f>
        <v/>
      </c>
      <c r="Q30" s="240">
        <f>IFERROR(LOOKUP(2,1/(GarminSessions!$A$2:$A$200=$A30),GarminSessions!$R$2:$R$200),"")</f>
        <v/>
      </c>
    </row>
    <row r="31" ht="18.75" customHeight="1" s="141">
      <c r="A31" s="336" t="n"/>
      <c r="B31" s="184">
        <f>IFERROR(LOOKUP(2,1/(GarminSessions!$A$2:$A$200=$A31),GarminSessions!$D$2:$D$200),"")</f>
        <v/>
      </c>
      <c r="C31" s="246">
        <f>IFERROR(LOOKUP(2,1/(GarminSessions!$A$2:$A$200=$A31),GarminSessions!$Q$2:$Q$200),"")</f>
        <v/>
      </c>
      <c r="D31" s="187">
        <f>COUNT(E31:K31)</f>
        <v/>
      </c>
      <c r="E31" s="185">
        <f>IFERROR(LOOKUP(2,1/(GarminSessions!$A$2:$A$200=$A31),GarminSessions!$E$2:$E$200),"")</f>
        <v/>
      </c>
      <c r="F31" s="185">
        <f>IFERROR(LOOKUP(2,1/(GarminSessions!$A$2:$A$200=$A31),GarminSessions!$F$2:$F$200),"")</f>
        <v/>
      </c>
      <c r="G31" s="185">
        <f>IFERROR(LOOKUP(2,1/(GarminSessions!$A$2:$A$200=$A31),GarminSessions!$G$2:$G$200),"")</f>
        <v/>
      </c>
      <c r="H31" s="185">
        <f>IFERROR(LOOKUP(2,1/(GarminSessions!$A$2:$A$200=$A31),GarminSessions!$H$2:$H$200),"")</f>
        <v/>
      </c>
      <c r="I31" s="185">
        <f>IFERROR(LOOKUP(2,1/(GarminSessions!$A$2:$A$200=$A31),GarminSessions!$I$2:$I$200),"")</f>
        <v/>
      </c>
      <c r="J31" s="185">
        <f>IFERROR(LOOKUP(2,1/(GarminSessions!$A$2:$A$200=$A31),GarminSessions!$J$2:$J$200),"")</f>
        <v/>
      </c>
      <c r="K31" s="185">
        <f>IFERROR(LOOKUP(2,1/(GarminSessions!$A$2:$A$200=$A31),GarminSessions!$K$2:$K$200),"")</f>
        <v/>
      </c>
      <c r="L31" s="188">
        <f>IFERROR(LOOKUP(2,1/(GarminSessions!$A$2:$A$200=$A31),GarminSessions!$L$2:$L$200),"")</f>
        <v/>
      </c>
      <c r="M31" s="234">
        <f>IFERROR(LOOKUP(2,1/(GarminSessions!$A$2:$A$200=$A31),GarminSessions!$M$2:$M$200),"")</f>
        <v/>
      </c>
      <c r="N31" s="188">
        <f>IFERROR(LOOKUP(2,1/(GarminSessions!$A$2:$A$200=$A31),GarminSessions!$N$2:$N$200),"")</f>
        <v/>
      </c>
      <c r="O31" s="186">
        <f>IFERROR(LOOKUP(2,1/(GarminSessions!$A$2:$A$200=$A31),GarminSessions!$O$2:$O$200),"")</f>
        <v/>
      </c>
      <c r="P31" s="186">
        <f>IFERROR(LOOKUP(2,1/(GarminSessions!$A$2:$A$200=$A31),GarminSessions!$P$2:$P$200),"")</f>
        <v/>
      </c>
      <c r="Q31" s="246">
        <f>IFERROR(LOOKUP(2,1/(GarminSessions!$A$2:$A$200=$A31),GarminSessions!$R$2:$R$200),"")</f>
        <v/>
      </c>
    </row>
    <row r="32" ht="18.75" customHeight="1" s="141">
      <c r="A32" s="358" t="n"/>
      <c r="B32" s="239">
        <f>IFERROR(LOOKUP(2,1/(GarminSessions!$A$2:$A$200=$A32),GarminSessions!$D$2:$D$200),"")</f>
        <v/>
      </c>
      <c r="C32" s="240">
        <f>IFERROR(LOOKUP(2,1/(GarminSessions!$A$2:$A$200=$A32),GarminSessions!$Q$2:$Q$200),"")</f>
        <v/>
      </c>
      <c r="D32" s="241">
        <f>COUNT(E32:K32)</f>
        <v/>
      </c>
      <c r="E32" s="242">
        <f>IFERROR(LOOKUP(2,1/(GarminSessions!$A$2:$A$200=$A32),GarminSessions!$E$2:$E$200),"")</f>
        <v/>
      </c>
      <c r="F32" s="242">
        <f>IFERROR(LOOKUP(2,1/(GarminSessions!$A$2:$A$200=$A32),GarminSessions!$F$2:$F$200),"")</f>
        <v/>
      </c>
      <c r="G32" s="242">
        <f>IFERROR(LOOKUP(2,1/(GarminSessions!$A$2:$A$200=$A32),GarminSessions!$G$2:$G$200),"")</f>
        <v/>
      </c>
      <c r="H32" s="242">
        <f>IFERROR(LOOKUP(2,1/(GarminSessions!$A$2:$A$200=$A32),GarminSessions!$H$2:$H$200),"")</f>
        <v/>
      </c>
      <c r="I32" s="242">
        <f>IFERROR(LOOKUP(2,1/(GarminSessions!$A$2:$A$200=$A32),GarminSessions!$I$2:$I$200),"")</f>
        <v/>
      </c>
      <c r="J32" s="242">
        <f>IFERROR(LOOKUP(2,1/(GarminSessions!$A$2:$A$200=$A32),GarminSessions!$J$2:$J$200),"")</f>
        <v/>
      </c>
      <c r="K32" s="242">
        <f>IFERROR(LOOKUP(2,1/(GarminSessions!$A$2:$A$200=$A32),GarminSessions!$K$2:$K$200),"")</f>
        <v/>
      </c>
      <c r="L32" s="243">
        <f>IFERROR(LOOKUP(2,1/(GarminSessions!$A$2:$A$200=$A32),GarminSessions!$L$2:$L$200),"")</f>
        <v/>
      </c>
      <c r="M32" s="244">
        <f>IFERROR(LOOKUP(2,1/(GarminSessions!$A$2:$A$200=$A32),GarminSessions!$M$2:$M$200),"")</f>
        <v/>
      </c>
      <c r="N32" s="243">
        <f>IFERROR(LOOKUP(2,1/(GarminSessions!$A$2:$A$200=$A32),GarminSessions!$N$2:$N$200),"")</f>
        <v/>
      </c>
      <c r="O32" s="245">
        <f>IFERROR(LOOKUP(2,1/(GarminSessions!$A$2:$A$200=$A32),GarminSessions!$O$2:$O$200),"")</f>
        <v/>
      </c>
      <c r="P32" s="245">
        <f>IFERROR(LOOKUP(2,1/(GarminSessions!$A$2:$A$200=$A32),GarminSessions!$P$2:$P$200),"")</f>
        <v/>
      </c>
      <c r="Q32" s="240">
        <f>IFERROR(LOOKUP(2,1/(GarminSessions!$A$2:$A$200=$A32),GarminSessions!$R$2:$R$200),"")</f>
        <v/>
      </c>
    </row>
    <row r="33" ht="18.75" customHeight="1" s="141">
      <c r="A33" s="336" t="n"/>
      <c r="B33" s="184">
        <f>IFERROR(LOOKUP(2,1/(GarminSessions!$A$2:$A$200=$A33),GarminSessions!$D$2:$D$200),"")</f>
        <v/>
      </c>
      <c r="C33" s="246">
        <f>IFERROR(LOOKUP(2,1/(GarminSessions!$A$2:$A$200=$A33),GarminSessions!$Q$2:$Q$200),"")</f>
        <v/>
      </c>
      <c r="D33" s="187">
        <f>COUNT(E33:K33)</f>
        <v/>
      </c>
      <c r="E33" s="185">
        <f>IFERROR(LOOKUP(2,1/(GarminSessions!$A$2:$A$200=$A33),GarminSessions!$E$2:$E$200),"")</f>
        <v/>
      </c>
      <c r="F33" s="185">
        <f>IFERROR(LOOKUP(2,1/(GarminSessions!$A$2:$A$200=$A33),GarminSessions!$F$2:$F$200),"")</f>
        <v/>
      </c>
      <c r="G33" s="185">
        <f>IFERROR(LOOKUP(2,1/(GarminSessions!$A$2:$A$200=$A33),GarminSessions!$G$2:$G$200),"")</f>
        <v/>
      </c>
      <c r="H33" s="185">
        <f>IFERROR(LOOKUP(2,1/(GarminSessions!$A$2:$A$200=$A33),GarminSessions!$H$2:$H$200),"")</f>
        <v/>
      </c>
      <c r="I33" s="185">
        <f>IFERROR(LOOKUP(2,1/(GarminSessions!$A$2:$A$200=$A33),GarminSessions!$I$2:$I$200),"")</f>
        <v/>
      </c>
      <c r="J33" s="185">
        <f>IFERROR(LOOKUP(2,1/(GarminSessions!$A$2:$A$200=$A33),GarminSessions!$J$2:$J$200),"")</f>
        <v/>
      </c>
      <c r="K33" s="185">
        <f>IFERROR(LOOKUP(2,1/(GarminSessions!$A$2:$A$200=$A33),GarminSessions!$K$2:$K$200),"")</f>
        <v/>
      </c>
      <c r="L33" s="188">
        <f>IFERROR(LOOKUP(2,1/(GarminSessions!$A$2:$A$200=$A33),GarminSessions!$L$2:$L$200),"")</f>
        <v/>
      </c>
      <c r="M33" s="234">
        <f>IFERROR(LOOKUP(2,1/(GarminSessions!$A$2:$A$200=$A33),GarminSessions!$M$2:$M$200),"")</f>
        <v/>
      </c>
      <c r="N33" s="188">
        <f>IFERROR(LOOKUP(2,1/(GarminSessions!$A$2:$A$200=$A33),GarminSessions!$N$2:$N$200),"")</f>
        <v/>
      </c>
      <c r="O33" s="186">
        <f>IFERROR(LOOKUP(2,1/(GarminSessions!$A$2:$A$200=$A33),GarminSessions!$O$2:$O$200),"")</f>
        <v/>
      </c>
      <c r="P33" s="186">
        <f>IFERROR(LOOKUP(2,1/(GarminSessions!$A$2:$A$200=$A33),GarminSessions!$P$2:$P$200),"")</f>
        <v/>
      </c>
      <c r="Q33" s="246">
        <f>IFERROR(LOOKUP(2,1/(GarminSessions!$A$2:$A$200=$A33),GarminSessions!$R$2:$R$200),"")</f>
        <v/>
      </c>
    </row>
    <row r="34" ht="18.75" customHeight="1" s="141">
      <c r="A34" s="358" t="n"/>
      <c r="B34" s="239">
        <f>IFERROR(LOOKUP(2,1/(GarminSessions!$A$2:$A$200=$A34),GarminSessions!$D$2:$D$200),"")</f>
        <v/>
      </c>
      <c r="C34" s="240">
        <f>IFERROR(LOOKUP(2,1/(GarminSessions!$A$2:$A$200=$A34),GarminSessions!$Q$2:$Q$200),"")</f>
        <v/>
      </c>
      <c r="D34" s="241">
        <f>COUNT(E34:K34)</f>
        <v/>
      </c>
      <c r="E34" s="242">
        <f>IFERROR(LOOKUP(2,1/(GarminSessions!$A$2:$A$200=$A34),GarminSessions!$E$2:$E$200),"")</f>
        <v/>
      </c>
      <c r="F34" s="242">
        <f>IFERROR(LOOKUP(2,1/(GarminSessions!$A$2:$A$200=$A34),GarminSessions!$F$2:$F$200),"")</f>
        <v/>
      </c>
      <c r="G34" s="242">
        <f>IFERROR(LOOKUP(2,1/(GarminSessions!$A$2:$A$200=$A34),GarminSessions!$G$2:$G$200),"")</f>
        <v/>
      </c>
      <c r="H34" s="242">
        <f>IFERROR(LOOKUP(2,1/(GarminSessions!$A$2:$A$200=$A34),GarminSessions!$H$2:$H$200),"")</f>
        <v/>
      </c>
      <c r="I34" s="242">
        <f>IFERROR(LOOKUP(2,1/(GarminSessions!$A$2:$A$200=$A34),GarminSessions!$I$2:$I$200),"")</f>
        <v/>
      </c>
      <c r="J34" s="242">
        <f>IFERROR(LOOKUP(2,1/(GarminSessions!$A$2:$A$200=$A34),GarminSessions!$J$2:$J$200),"")</f>
        <v/>
      </c>
      <c r="K34" s="242">
        <f>IFERROR(LOOKUP(2,1/(GarminSessions!$A$2:$A$200=$A34),GarminSessions!$K$2:$K$200),"")</f>
        <v/>
      </c>
      <c r="L34" s="243">
        <f>IFERROR(LOOKUP(2,1/(GarminSessions!$A$2:$A$200=$A34),GarminSessions!$L$2:$L$200),"")</f>
        <v/>
      </c>
      <c r="M34" s="244">
        <f>IFERROR(LOOKUP(2,1/(GarminSessions!$A$2:$A$200=$A34),GarminSessions!$M$2:$M$200),"")</f>
        <v/>
      </c>
      <c r="N34" s="243">
        <f>IFERROR(LOOKUP(2,1/(GarminSessions!$A$2:$A$200=$A34),GarminSessions!$N$2:$N$200),"")</f>
        <v/>
      </c>
      <c r="O34" s="245">
        <f>IFERROR(LOOKUP(2,1/(GarminSessions!$A$2:$A$200=$A34),GarminSessions!$O$2:$O$200),"")</f>
        <v/>
      </c>
      <c r="P34" s="245">
        <f>IFERROR(LOOKUP(2,1/(GarminSessions!$A$2:$A$200=$A34),GarminSessions!$P$2:$P$200),"")</f>
        <v/>
      </c>
      <c r="Q34" s="240">
        <f>IFERROR(LOOKUP(2,1/(GarminSessions!$A$2:$A$200=$A34),GarminSessions!$R$2:$R$200),"")</f>
        <v/>
      </c>
    </row>
    <row r="35" ht="18.75" customHeight="1" s="141">
      <c r="A35" s="336" t="n"/>
      <c r="B35" s="184">
        <f>IFERROR(LOOKUP(2,1/(GarminSessions!$A$2:$A$200=$A35),GarminSessions!$D$2:$D$200),"")</f>
        <v/>
      </c>
      <c r="C35" s="246">
        <f>IFERROR(LOOKUP(2,1/(GarminSessions!$A$2:$A$200=$A35),GarminSessions!$Q$2:$Q$200),"")</f>
        <v/>
      </c>
      <c r="D35" s="187">
        <f>COUNT(E35:K35)</f>
        <v/>
      </c>
      <c r="E35" s="185">
        <f>IFERROR(LOOKUP(2,1/(GarminSessions!$A$2:$A$200=$A35),GarminSessions!$E$2:$E$200),"")</f>
        <v/>
      </c>
      <c r="F35" s="185">
        <f>IFERROR(LOOKUP(2,1/(GarminSessions!$A$2:$A$200=$A35),GarminSessions!$F$2:$F$200),"")</f>
        <v/>
      </c>
      <c r="G35" s="185">
        <f>IFERROR(LOOKUP(2,1/(GarminSessions!$A$2:$A$200=$A35),GarminSessions!$G$2:$G$200),"")</f>
        <v/>
      </c>
      <c r="H35" s="185">
        <f>IFERROR(LOOKUP(2,1/(GarminSessions!$A$2:$A$200=$A35),GarminSessions!$H$2:$H$200),"")</f>
        <v/>
      </c>
      <c r="I35" s="185">
        <f>IFERROR(LOOKUP(2,1/(GarminSessions!$A$2:$A$200=$A35),GarminSessions!$I$2:$I$200),"")</f>
        <v/>
      </c>
      <c r="J35" s="185">
        <f>IFERROR(LOOKUP(2,1/(GarminSessions!$A$2:$A$200=$A35),GarminSessions!$J$2:$J$200),"")</f>
        <v/>
      </c>
      <c r="K35" s="185">
        <f>IFERROR(LOOKUP(2,1/(GarminSessions!$A$2:$A$200=$A35),GarminSessions!$K$2:$K$200),"")</f>
        <v/>
      </c>
      <c r="L35" s="188">
        <f>IFERROR(LOOKUP(2,1/(GarminSessions!$A$2:$A$200=$A35),GarminSessions!$L$2:$L$200),"")</f>
        <v/>
      </c>
      <c r="M35" s="234">
        <f>IFERROR(LOOKUP(2,1/(GarminSessions!$A$2:$A$200=$A35),GarminSessions!$M$2:$M$200),"")</f>
        <v/>
      </c>
      <c r="N35" s="188">
        <f>IFERROR(LOOKUP(2,1/(GarminSessions!$A$2:$A$200=$A35),GarminSessions!$N$2:$N$200),"")</f>
        <v/>
      </c>
      <c r="O35" s="186">
        <f>IFERROR(LOOKUP(2,1/(GarminSessions!$A$2:$A$200=$A35),GarminSessions!$O$2:$O$200),"")</f>
        <v/>
      </c>
      <c r="P35" s="186">
        <f>IFERROR(LOOKUP(2,1/(GarminSessions!$A$2:$A$200=$A35),GarminSessions!$P$2:$P$200),"")</f>
        <v/>
      </c>
      <c r="Q35" s="246">
        <f>IFERROR(LOOKUP(2,1/(GarminSessions!$A$2:$A$200=$A35),GarminSessions!$R$2:$R$200),"")</f>
        <v/>
      </c>
    </row>
    <row r="36" ht="18.75" customHeight="1" s="141">
      <c r="A36" s="358" t="n"/>
      <c r="B36" s="239">
        <f>IFERROR(LOOKUP(2,1/(GarminSessions!$A$2:$A$200=$A36),GarminSessions!$D$2:$D$200),"")</f>
        <v/>
      </c>
      <c r="C36" s="240">
        <f>IFERROR(LOOKUP(2,1/(GarminSessions!$A$2:$A$200=$A36),GarminSessions!$Q$2:$Q$200),"")</f>
        <v/>
      </c>
      <c r="D36" s="241">
        <f>COUNT(E36:K36)</f>
        <v/>
      </c>
      <c r="E36" s="242">
        <f>IFERROR(LOOKUP(2,1/(GarminSessions!$A$2:$A$200=$A36),GarminSessions!$E$2:$E$200),"")</f>
        <v/>
      </c>
      <c r="F36" s="242">
        <f>IFERROR(LOOKUP(2,1/(GarminSessions!$A$2:$A$200=$A36),GarminSessions!$F$2:$F$200),"")</f>
        <v/>
      </c>
      <c r="G36" s="242">
        <f>IFERROR(LOOKUP(2,1/(GarminSessions!$A$2:$A$200=$A36),GarminSessions!$G$2:$G$200),"")</f>
        <v/>
      </c>
      <c r="H36" s="242">
        <f>IFERROR(LOOKUP(2,1/(GarminSessions!$A$2:$A$200=$A36),GarminSessions!$H$2:$H$200),"")</f>
        <v/>
      </c>
      <c r="I36" s="242">
        <f>IFERROR(LOOKUP(2,1/(GarminSessions!$A$2:$A$200=$A36),GarminSessions!$I$2:$I$200),"")</f>
        <v/>
      </c>
      <c r="J36" s="242">
        <f>IFERROR(LOOKUP(2,1/(GarminSessions!$A$2:$A$200=$A36),GarminSessions!$J$2:$J$200),"")</f>
        <v/>
      </c>
      <c r="K36" s="242">
        <f>IFERROR(LOOKUP(2,1/(GarminSessions!$A$2:$A$200=$A36),GarminSessions!$K$2:$K$200),"")</f>
        <v/>
      </c>
      <c r="L36" s="243">
        <f>IFERROR(LOOKUP(2,1/(GarminSessions!$A$2:$A$200=$A36),GarminSessions!$L$2:$L$200),"")</f>
        <v/>
      </c>
      <c r="M36" s="244">
        <f>IFERROR(LOOKUP(2,1/(GarminSessions!$A$2:$A$200=$A36),GarminSessions!$M$2:$M$200),"")</f>
        <v/>
      </c>
      <c r="N36" s="243">
        <f>IFERROR(LOOKUP(2,1/(GarminSessions!$A$2:$A$200=$A36),GarminSessions!$N$2:$N$200),"")</f>
        <v/>
      </c>
      <c r="O36" s="245">
        <f>IFERROR(LOOKUP(2,1/(GarminSessions!$A$2:$A$200=$A36),GarminSessions!$O$2:$O$200),"")</f>
        <v/>
      </c>
      <c r="P36" s="245">
        <f>IFERROR(LOOKUP(2,1/(GarminSessions!$A$2:$A$200=$A36),GarminSessions!$P$2:$P$200),"")</f>
        <v/>
      </c>
      <c r="Q36" s="240">
        <f>IFERROR(LOOKUP(2,1/(GarminSessions!$A$2:$A$200=$A36),GarminSessions!$R$2:$R$200),"")</f>
        <v/>
      </c>
    </row>
    <row r="37" ht="18.75" customHeight="1" s="141">
      <c r="A37" s="336" t="n"/>
      <c r="B37" s="184">
        <f>IFERROR(LOOKUP(2,1/(GarminSessions!$A$2:$A$200=$A37),GarminSessions!$D$2:$D$200),"")</f>
        <v/>
      </c>
      <c r="C37" s="246">
        <f>IFERROR(LOOKUP(2,1/(GarminSessions!$A$2:$A$200=$A37),GarminSessions!$Q$2:$Q$200),"")</f>
        <v/>
      </c>
      <c r="D37" s="187">
        <f>COUNT(E37:K37)</f>
        <v/>
      </c>
      <c r="E37" s="185">
        <f>IFERROR(LOOKUP(2,1/(GarminSessions!$A$2:$A$200=$A37),GarminSessions!$E$2:$E$200),"")</f>
        <v/>
      </c>
      <c r="F37" s="185">
        <f>IFERROR(LOOKUP(2,1/(GarminSessions!$A$2:$A$200=$A37),GarminSessions!$F$2:$F$200),"")</f>
        <v/>
      </c>
      <c r="G37" s="185">
        <f>IFERROR(LOOKUP(2,1/(GarminSessions!$A$2:$A$200=$A37),GarminSessions!$G$2:$G$200),"")</f>
        <v/>
      </c>
      <c r="H37" s="185">
        <f>IFERROR(LOOKUP(2,1/(GarminSessions!$A$2:$A$200=$A37),GarminSessions!$H$2:$H$200),"")</f>
        <v/>
      </c>
      <c r="I37" s="185">
        <f>IFERROR(LOOKUP(2,1/(GarminSessions!$A$2:$A$200=$A37),GarminSessions!$I$2:$I$200),"")</f>
        <v/>
      </c>
      <c r="J37" s="185">
        <f>IFERROR(LOOKUP(2,1/(GarminSessions!$A$2:$A$200=$A37),GarminSessions!$J$2:$J$200),"")</f>
        <v/>
      </c>
      <c r="K37" s="185">
        <f>IFERROR(LOOKUP(2,1/(GarminSessions!$A$2:$A$200=$A37),GarminSessions!$K$2:$K$200),"")</f>
        <v/>
      </c>
      <c r="L37" s="188">
        <f>IFERROR(LOOKUP(2,1/(GarminSessions!$A$2:$A$200=$A37),GarminSessions!$L$2:$L$200),"")</f>
        <v/>
      </c>
      <c r="M37" s="234">
        <f>IFERROR(LOOKUP(2,1/(GarminSessions!$A$2:$A$200=$A37),GarminSessions!$M$2:$M$200),"")</f>
        <v/>
      </c>
      <c r="N37" s="188">
        <f>IFERROR(LOOKUP(2,1/(GarminSessions!$A$2:$A$200=$A37),GarminSessions!$N$2:$N$200),"")</f>
        <v/>
      </c>
      <c r="O37" s="186">
        <f>IFERROR(LOOKUP(2,1/(GarminSessions!$A$2:$A$200=$A37),GarminSessions!$O$2:$O$200),"")</f>
        <v/>
      </c>
      <c r="P37" s="186">
        <f>IFERROR(LOOKUP(2,1/(GarminSessions!$A$2:$A$200=$A37),GarminSessions!$P$2:$P$200),"")</f>
        <v/>
      </c>
      <c r="Q37" s="246">
        <f>IFERROR(LOOKUP(2,1/(GarminSessions!$A$2:$A$200=$A37),GarminSessions!$R$2:$R$200),"")</f>
        <v/>
      </c>
    </row>
    <row r="38" ht="18.75" customHeight="1" s="141">
      <c r="A38" s="358" t="n"/>
      <c r="B38" s="239">
        <f>IFERROR(LOOKUP(2,1/(GarminSessions!$A$2:$A$200=$A38),GarminSessions!$D$2:$D$200),"")</f>
        <v/>
      </c>
      <c r="C38" s="240">
        <f>IFERROR(LOOKUP(2,1/(GarminSessions!$A$2:$A$200=$A38),GarminSessions!$Q$2:$Q$200),"")</f>
        <v/>
      </c>
      <c r="D38" s="241">
        <f>COUNT(E38:K38)</f>
        <v/>
      </c>
      <c r="E38" s="242">
        <f>IFERROR(LOOKUP(2,1/(GarminSessions!$A$2:$A$200=$A38),GarminSessions!$E$2:$E$200),"")</f>
        <v/>
      </c>
      <c r="F38" s="242">
        <f>IFERROR(LOOKUP(2,1/(GarminSessions!$A$2:$A$200=$A38),GarminSessions!$F$2:$F$200),"")</f>
        <v/>
      </c>
      <c r="G38" s="242">
        <f>IFERROR(LOOKUP(2,1/(GarminSessions!$A$2:$A$200=$A38),GarminSessions!$G$2:$G$200),"")</f>
        <v/>
      </c>
      <c r="H38" s="242">
        <f>IFERROR(LOOKUP(2,1/(GarminSessions!$A$2:$A$200=$A38),GarminSessions!$H$2:$H$200),"")</f>
        <v/>
      </c>
      <c r="I38" s="242">
        <f>IFERROR(LOOKUP(2,1/(GarminSessions!$A$2:$A$200=$A38),GarminSessions!$I$2:$I$200),"")</f>
        <v/>
      </c>
      <c r="J38" s="242">
        <f>IFERROR(LOOKUP(2,1/(GarminSessions!$A$2:$A$200=$A38),GarminSessions!$J$2:$J$200),"")</f>
        <v/>
      </c>
      <c r="K38" s="242">
        <f>IFERROR(LOOKUP(2,1/(GarminSessions!$A$2:$A$200=$A38),GarminSessions!$K$2:$K$200),"")</f>
        <v/>
      </c>
      <c r="L38" s="243">
        <f>IFERROR(LOOKUP(2,1/(GarminSessions!$A$2:$A$200=$A38),GarminSessions!$L$2:$L$200),"")</f>
        <v/>
      </c>
      <c r="M38" s="244">
        <f>IFERROR(LOOKUP(2,1/(GarminSessions!$A$2:$A$200=$A38),GarminSessions!$M$2:$M$200),"")</f>
        <v/>
      </c>
      <c r="N38" s="243">
        <f>IFERROR(LOOKUP(2,1/(GarminSessions!$A$2:$A$200=$A38),GarminSessions!$N$2:$N$200),"")</f>
        <v/>
      </c>
      <c r="O38" s="245">
        <f>IFERROR(LOOKUP(2,1/(GarminSessions!$A$2:$A$200=$A38),GarminSessions!$O$2:$O$200),"")</f>
        <v/>
      </c>
      <c r="P38" s="245">
        <f>IFERROR(LOOKUP(2,1/(GarminSessions!$A$2:$A$200=$A38),GarminSessions!$P$2:$P$200),"")</f>
        <v/>
      </c>
      <c r="Q38" s="240">
        <f>IFERROR(LOOKUP(2,1/(GarminSessions!$A$2:$A$200=$A38),GarminSessions!$R$2:$R$200),"")</f>
        <v/>
      </c>
    </row>
    <row r="39" ht="18.75" customHeight="1" s="141">
      <c r="A39" s="336" t="n"/>
      <c r="B39" s="184">
        <f>IFERROR(LOOKUP(2,1/(GarminSessions!$A$2:$A$200=$A39),GarminSessions!$D$2:$D$200),"")</f>
        <v/>
      </c>
      <c r="C39" s="246">
        <f>IFERROR(LOOKUP(2,1/(GarminSessions!$A$2:$A$200=$A39),GarminSessions!$Q$2:$Q$200),"")</f>
        <v/>
      </c>
      <c r="D39" s="187">
        <f>COUNT(E39:K39)</f>
        <v/>
      </c>
      <c r="E39" s="185">
        <f>IFERROR(LOOKUP(2,1/(GarminSessions!$A$2:$A$200=$A39),GarminSessions!$E$2:$E$200),"")</f>
        <v/>
      </c>
      <c r="F39" s="185">
        <f>IFERROR(LOOKUP(2,1/(GarminSessions!$A$2:$A$200=$A39),GarminSessions!$F$2:$F$200),"")</f>
        <v/>
      </c>
      <c r="G39" s="185">
        <f>IFERROR(LOOKUP(2,1/(GarminSessions!$A$2:$A$200=$A39),GarminSessions!$G$2:$G$200),"")</f>
        <v/>
      </c>
      <c r="H39" s="185">
        <f>IFERROR(LOOKUP(2,1/(GarminSessions!$A$2:$A$200=$A39),GarminSessions!$H$2:$H$200),"")</f>
        <v/>
      </c>
      <c r="I39" s="185">
        <f>IFERROR(LOOKUP(2,1/(GarminSessions!$A$2:$A$200=$A39),GarminSessions!$I$2:$I$200),"")</f>
        <v/>
      </c>
      <c r="J39" s="185">
        <f>IFERROR(LOOKUP(2,1/(GarminSessions!$A$2:$A$200=$A39),GarminSessions!$J$2:$J$200),"")</f>
        <v/>
      </c>
      <c r="K39" s="185">
        <f>IFERROR(LOOKUP(2,1/(GarminSessions!$A$2:$A$200=$A39),GarminSessions!$K$2:$K$200),"")</f>
        <v/>
      </c>
      <c r="L39" s="188">
        <f>IFERROR(LOOKUP(2,1/(GarminSessions!$A$2:$A$200=$A39),GarminSessions!$L$2:$L$200),"")</f>
        <v/>
      </c>
      <c r="M39" s="234">
        <f>IFERROR(LOOKUP(2,1/(GarminSessions!$A$2:$A$200=$A39),GarminSessions!$M$2:$M$200),"")</f>
        <v/>
      </c>
      <c r="N39" s="188">
        <f>IFERROR(LOOKUP(2,1/(GarminSessions!$A$2:$A$200=$A39),GarminSessions!$N$2:$N$200),"")</f>
        <v/>
      </c>
      <c r="O39" s="186">
        <f>IFERROR(LOOKUP(2,1/(GarminSessions!$A$2:$A$200=$A39),GarminSessions!$O$2:$O$200),"")</f>
        <v/>
      </c>
      <c r="P39" s="186">
        <f>IFERROR(LOOKUP(2,1/(GarminSessions!$A$2:$A$200=$A39),GarminSessions!$P$2:$P$200),"")</f>
        <v/>
      </c>
      <c r="Q39" s="246">
        <f>IFERROR(LOOKUP(2,1/(GarminSessions!$A$2:$A$200=$A39),GarminSessions!$R$2:$R$200),"")</f>
        <v/>
      </c>
    </row>
    <row r="40" ht="18.75" customHeight="1" s="141">
      <c r="A40" s="358" t="n"/>
      <c r="B40" s="239">
        <f>IFERROR(LOOKUP(2,1/(GarminSessions!$A$2:$A$200=$A40),GarminSessions!$D$2:$D$200),"")</f>
        <v/>
      </c>
      <c r="C40" s="240">
        <f>IFERROR(LOOKUP(2,1/(GarminSessions!$A$2:$A$200=$A40),GarminSessions!$Q$2:$Q$200),"")</f>
        <v/>
      </c>
      <c r="D40" s="241">
        <f>COUNT(E40:K40)</f>
        <v/>
      </c>
      <c r="E40" s="242">
        <f>IFERROR(LOOKUP(2,1/(GarminSessions!$A$2:$A$200=$A40),GarminSessions!$E$2:$E$200),"")</f>
        <v/>
      </c>
      <c r="F40" s="242">
        <f>IFERROR(LOOKUP(2,1/(GarminSessions!$A$2:$A$200=$A40),GarminSessions!$F$2:$F$200),"")</f>
        <v/>
      </c>
      <c r="G40" s="242">
        <f>IFERROR(LOOKUP(2,1/(GarminSessions!$A$2:$A$200=$A40),GarminSessions!$G$2:$G$200),"")</f>
        <v/>
      </c>
      <c r="H40" s="242">
        <f>IFERROR(LOOKUP(2,1/(GarminSessions!$A$2:$A$200=$A40),GarminSessions!$H$2:$H$200),"")</f>
        <v/>
      </c>
      <c r="I40" s="242">
        <f>IFERROR(LOOKUP(2,1/(GarminSessions!$A$2:$A$200=$A40),GarminSessions!$I$2:$I$200),"")</f>
        <v/>
      </c>
      <c r="J40" s="242">
        <f>IFERROR(LOOKUP(2,1/(GarminSessions!$A$2:$A$200=$A40),GarminSessions!$J$2:$J$200),"")</f>
        <v/>
      </c>
      <c r="K40" s="242">
        <f>IFERROR(LOOKUP(2,1/(GarminSessions!$A$2:$A$200=$A40),GarminSessions!$K$2:$K$200),"")</f>
        <v/>
      </c>
      <c r="L40" s="243">
        <f>IFERROR(LOOKUP(2,1/(GarminSessions!$A$2:$A$200=$A40),GarminSessions!$L$2:$L$200),"")</f>
        <v/>
      </c>
      <c r="M40" s="244">
        <f>IFERROR(LOOKUP(2,1/(GarminSessions!$A$2:$A$200=$A40),GarminSessions!$M$2:$M$200),"")</f>
        <v/>
      </c>
      <c r="N40" s="243">
        <f>IFERROR(LOOKUP(2,1/(GarminSessions!$A$2:$A$200=$A40),GarminSessions!$N$2:$N$200),"")</f>
        <v/>
      </c>
      <c r="O40" s="245">
        <f>IFERROR(LOOKUP(2,1/(GarminSessions!$A$2:$A$200=$A40),GarminSessions!$O$2:$O$200),"")</f>
        <v/>
      </c>
      <c r="P40" s="245">
        <f>IFERROR(LOOKUP(2,1/(GarminSessions!$A$2:$A$200=$A40),GarminSessions!$P$2:$P$200),"")</f>
        <v/>
      </c>
      <c r="Q40" s="240">
        <f>IFERROR(LOOKUP(2,1/(GarminSessions!$A$2:$A$200=$A40),GarminSessions!$R$2:$R$200),"")</f>
        <v/>
      </c>
    </row>
    <row r="41" ht="18.75" customHeight="1" s="141">
      <c r="A41" s="336" t="n"/>
      <c r="B41" s="184">
        <f>IFERROR(LOOKUP(2,1/(GarminSessions!$A$2:$A$200=$A41),GarminSessions!$D$2:$D$200),"")</f>
        <v/>
      </c>
      <c r="C41" s="246">
        <f>IFERROR(LOOKUP(2,1/(GarminSessions!$A$2:$A$200=$A41),GarminSessions!$Q$2:$Q$200),"")</f>
        <v/>
      </c>
      <c r="D41" s="187">
        <f>COUNT(E41:K41)</f>
        <v/>
      </c>
      <c r="E41" s="185">
        <f>IFERROR(LOOKUP(2,1/(GarminSessions!$A$2:$A$200=$A41),GarminSessions!$E$2:$E$200),"")</f>
        <v/>
      </c>
      <c r="F41" s="185">
        <f>IFERROR(LOOKUP(2,1/(GarminSessions!$A$2:$A$200=$A41),GarminSessions!$F$2:$F$200),"")</f>
        <v/>
      </c>
      <c r="G41" s="185">
        <f>IFERROR(LOOKUP(2,1/(GarminSessions!$A$2:$A$200=$A41),GarminSessions!$G$2:$G$200),"")</f>
        <v/>
      </c>
      <c r="H41" s="185">
        <f>IFERROR(LOOKUP(2,1/(GarminSessions!$A$2:$A$200=$A41),GarminSessions!$H$2:$H$200),"")</f>
        <v/>
      </c>
      <c r="I41" s="185">
        <f>IFERROR(LOOKUP(2,1/(GarminSessions!$A$2:$A$200=$A41),GarminSessions!$I$2:$I$200),"")</f>
        <v/>
      </c>
      <c r="J41" s="185">
        <f>IFERROR(LOOKUP(2,1/(GarminSessions!$A$2:$A$200=$A41),GarminSessions!$J$2:$J$200),"")</f>
        <v/>
      </c>
      <c r="K41" s="185">
        <f>IFERROR(LOOKUP(2,1/(GarminSessions!$A$2:$A$200=$A41),GarminSessions!$K$2:$K$200),"")</f>
        <v/>
      </c>
      <c r="L41" s="188">
        <f>IFERROR(LOOKUP(2,1/(GarminSessions!$A$2:$A$200=$A41),GarminSessions!$L$2:$L$200),"")</f>
        <v/>
      </c>
      <c r="M41" s="234">
        <f>IFERROR(LOOKUP(2,1/(GarminSessions!$A$2:$A$200=$A41),GarminSessions!$M$2:$M$200),"")</f>
        <v/>
      </c>
      <c r="N41" s="188">
        <f>IFERROR(LOOKUP(2,1/(GarminSessions!$A$2:$A$200=$A41),GarminSessions!$N$2:$N$200),"")</f>
        <v/>
      </c>
      <c r="O41" s="186">
        <f>IFERROR(LOOKUP(2,1/(GarminSessions!$A$2:$A$200=$A41),GarminSessions!$O$2:$O$200),"")</f>
        <v/>
      </c>
      <c r="P41" s="186">
        <f>IFERROR(LOOKUP(2,1/(GarminSessions!$A$2:$A$200=$A41),GarminSessions!$P$2:$P$200),"")</f>
        <v/>
      </c>
      <c r="Q41" s="246">
        <f>IFERROR(LOOKUP(2,1/(GarminSessions!$A$2:$A$200=$A41),GarminSessions!$R$2:$R$200),"")</f>
        <v/>
      </c>
    </row>
    <row r="42" ht="18.75" customHeight="1" s="141">
      <c r="A42" s="358" t="n"/>
      <c r="B42" s="239">
        <f>IFERROR(LOOKUP(2,1/(GarminSessions!$A$2:$A$200=$A42),GarminSessions!$D$2:$D$200),"")</f>
        <v/>
      </c>
      <c r="C42" s="240">
        <f>IFERROR(LOOKUP(2,1/(GarminSessions!$A$2:$A$200=$A42),GarminSessions!$Q$2:$Q$200),"")</f>
        <v/>
      </c>
      <c r="D42" s="241">
        <f>COUNT(E42:K42)</f>
        <v/>
      </c>
      <c r="E42" s="242">
        <f>IFERROR(LOOKUP(2,1/(GarminSessions!$A$2:$A$200=$A42),GarminSessions!$E$2:$E$200),"")</f>
        <v/>
      </c>
      <c r="F42" s="242">
        <f>IFERROR(LOOKUP(2,1/(GarminSessions!$A$2:$A$200=$A42),GarminSessions!$F$2:$F$200),"")</f>
        <v/>
      </c>
      <c r="G42" s="242">
        <f>IFERROR(LOOKUP(2,1/(GarminSessions!$A$2:$A$200=$A42),GarminSessions!$G$2:$G$200),"")</f>
        <v/>
      </c>
      <c r="H42" s="242">
        <f>IFERROR(LOOKUP(2,1/(GarminSessions!$A$2:$A$200=$A42),GarminSessions!$H$2:$H$200),"")</f>
        <v/>
      </c>
      <c r="I42" s="242">
        <f>IFERROR(LOOKUP(2,1/(GarminSessions!$A$2:$A$200=$A42),GarminSessions!$I$2:$I$200),"")</f>
        <v/>
      </c>
      <c r="J42" s="242">
        <f>IFERROR(LOOKUP(2,1/(GarminSessions!$A$2:$A$200=$A42),GarminSessions!$J$2:$J$200),"")</f>
        <v/>
      </c>
      <c r="K42" s="242">
        <f>IFERROR(LOOKUP(2,1/(GarminSessions!$A$2:$A$200=$A42),GarminSessions!$K$2:$K$200),"")</f>
        <v/>
      </c>
      <c r="L42" s="243">
        <f>IFERROR(LOOKUP(2,1/(GarminSessions!$A$2:$A$200=$A42),GarminSessions!$L$2:$L$200),"")</f>
        <v/>
      </c>
      <c r="M42" s="244">
        <f>IFERROR(LOOKUP(2,1/(GarminSessions!$A$2:$A$200=$A42),GarminSessions!$M$2:$M$200),"")</f>
        <v/>
      </c>
      <c r="N42" s="243">
        <f>IFERROR(LOOKUP(2,1/(GarminSessions!$A$2:$A$200=$A42),GarminSessions!$N$2:$N$200),"")</f>
        <v/>
      </c>
      <c r="O42" s="245">
        <f>IFERROR(LOOKUP(2,1/(GarminSessions!$A$2:$A$200=$A42),GarminSessions!$O$2:$O$200),"")</f>
        <v/>
      </c>
      <c r="P42" s="245">
        <f>IFERROR(LOOKUP(2,1/(GarminSessions!$A$2:$A$200=$A42),GarminSessions!$P$2:$P$200),"")</f>
        <v/>
      </c>
      <c r="Q42" s="240">
        <f>IFERROR(LOOKUP(2,1/(GarminSessions!$A$2:$A$200=$A42),GarminSessions!$R$2:$R$200),"")</f>
        <v/>
      </c>
    </row>
    <row r="43" ht="18.75" customHeight="1" s="141">
      <c r="A43" s="336" t="n"/>
      <c r="B43" s="184">
        <f>IFERROR(LOOKUP(2,1/(GarminSessions!$A$2:$A$200=$A43),GarminSessions!$D$2:$D$200),"")</f>
        <v/>
      </c>
      <c r="C43" s="246">
        <f>IFERROR(LOOKUP(2,1/(GarminSessions!$A$2:$A$200=$A43),GarminSessions!$Q$2:$Q$200),"")</f>
        <v/>
      </c>
      <c r="D43" s="187">
        <f>COUNT(E43:K43)</f>
        <v/>
      </c>
      <c r="E43" s="185">
        <f>IFERROR(LOOKUP(2,1/(GarminSessions!$A$2:$A$200=$A43),GarminSessions!$E$2:$E$200),"")</f>
        <v/>
      </c>
      <c r="F43" s="185">
        <f>IFERROR(LOOKUP(2,1/(GarminSessions!$A$2:$A$200=$A43),GarminSessions!$F$2:$F$200),"")</f>
        <v/>
      </c>
      <c r="G43" s="185">
        <f>IFERROR(LOOKUP(2,1/(GarminSessions!$A$2:$A$200=$A43),GarminSessions!$G$2:$G$200),"")</f>
        <v/>
      </c>
      <c r="H43" s="185">
        <f>IFERROR(LOOKUP(2,1/(GarminSessions!$A$2:$A$200=$A43),GarminSessions!$H$2:$H$200),"")</f>
        <v/>
      </c>
      <c r="I43" s="185">
        <f>IFERROR(LOOKUP(2,1/(GarminSessions!$A$2:$A$200=$A43),GarminSessions!$I$2:$I$200),"")</f>
        <v/>
      </c>
      <c r="J43" s="185">
        <f>IFERROR(LOOKUP(2,1/(GarminSessions!$A$2:$A$200=$A43),GarminSessions!$J$2:$J$200),"")</f>
        <v/>
      </c>
      <c r="K43" s="185">
        <f>IFERROR(LOOKUP(2,1/(GarminSessions!$A$2:$A$200=$A43),GarminSessions!$K$2:$K$200),"")</f>
        <v/>
      </c>
      <c r="L43" s="188">
        <f>IFERROR(LOOKUP(2,1/(GarminSessions!$A$2:$A$200=$A43),GarminSessions!$L$2:$L$200),"")</f>
        <v/>
      </c>
      <c r="M43" s="234">
        <f>IFERROR(LOOKUP(2,1/(GarminSessions!$A$2:$A$200=$A43),GarminSessions!$M$2:$M$200),"")</f>
        <v/>
      </c>
      <c r="N43" s="188">
        <f>IFERROR(LOOKUP(2,1/(GarminSessions!$A$2:$A$200=$A43),GarminSessions!$N$2:$N$200),"")</f>
        <v/>
      </c>
      <c r="O43" s="186">
        <f>IFERROR(LOOKUP(2,1/(GarminSessions!$A$2:$A$200=$A43),GarminSessions!$O$2:$O$200),"")</f>
        <v/>
      </c>
      <c r="P43" s="186">
        <f>IFERROR(LOOKUP(2,1/(GarminSessions!$A$2:$A$200=$A43),GarminSessions!$P$2:$P$200),"")</f>
        <v/>
      </c>
      <c r="Q43" s="246">
        <f>IFERROR(LOOKUP(2,1/(GarminSessions!$A$2:$A$200=$A43),GarminSessions!$R$2:$R$200),"")</f>
        <v/>
      </c>
    </row>
    <row r="44">
      <c r="A44" s="309" t="n"/>
      <c r="B44" s="309" t="n"/>
      <c r="C44" s="309" t="n"/>
      <c r="D44" s="309" t="n"/>
      <c r="E44" s="309" t="n"/>
      <c r="F44" s="309" t="n"/>
      <c r="G44" s="309" t="n"/>
      <c r="H44" s="309" t="n"/>
      <c r="I44" s="309" t="n"/>
      <c r="J44" s="309" t="n"/>
      <c r="K44" s="309" t="n"/>
      <c r="L44" s="309" t="n"/>
      <c r="M44" s="309" t="n"/>
      <c r="N44" s="309" t="n"/>
      <c r="O44" s="309" t="n"/>
      <c r="P44" s="309" t="n"/>
      <c r="Q44" s="309" t="n"/>
    </row>
    <row r="45" ht="21.75" customHeight="1" s="141">
      <c r="A45" s="361" t="inlineStr">
        <is>
          <t>HOW THE WIRING WORKS</t>
        </is>
      </c>
      <c r="B45" s="309" t="n"/>
      <c r="C45" s="309" t="n"/>
      <c r="D45" s="309" t="n"/>
      <c r="E45" s="309" t="n"/>
      <c r="F45" s="309" t="n"/>
      <c r="G45" s="309" t="n"/>
      <c r="H45" s="309" t="n"/>
      <c r="I45" s="309" t="n"/>
      <c r="J45" s="309" t="n"/>
      <c r="K45" s="309" t="n"/>
      <c r="L45" s="309" t="n"/>
      <c r="M45" s="309" t="n"/>
      <c r="N45" s="309" t="n"/>
      <c r="O45" s="309" t="n"/>
      <c r="P45" s="309" t="n"/>
      <c r="Q45" s="309" t="n"/>
    </row>
    <row r="46" ht="21.75" customHeight="1" s="141">
      <c r="A46" s="362" t="inlineStr">
        <is>
          <t>Load Log shot cells already pull from this sheet. The formula in Load Log!C16 (Load 1, Shot 1) is:
    =IF('Garmin Xero Import'!E6="","",'Garmin Xero Import'!E6)
Row positions are fixed:
  • Load Log Loads 1–10  →  this sheet's rows 6–15
  • Seating Depth Tests 1–10  →  this sheet's rows 17–26
Shots always pulled from columns E–I (Shot 1–5).
Per-session workflow:
  1. After a range session, share the Garmin CSV from ShotView.
  2. Open it in any spreadsheet/text app.
  3. Copy the per-shot SPEED (FPS) values.
  4. Paste into the matching row's Shot 1–5 cells (E–I) here.
  5. Avg / SD / ES recompute; Load Log + Seating Depth update automatically.
Short strings (3- or 4-shot): Avg/SD/ES on this row still compute, and the Load Log row's Avg/SD/ES will too — Excel's AVERAGE/STDEV ignore empty cells. Just be aware that 3-shot SDs are very noisy.</t>
        </is>
      </c>
      <c r="B46" s="309" t="n"/>
      <c r="C46" s="309" t="n"/>
      <c r="D46" s="309" t="n"/>
      <c r="E46" s="309" t="n"/>
      <c r="F46" s="309" t="n"/>
      <c r="G46" s="309" t="n"/>
      <c r="H46" s="309" t="n"/>
      <c r="I46" s="309" t="n"/>
      <c r="J46" s="309" t="n"/>
      <c r="K46" s="309" t="n"/>
      <c r="L46" s="309" t="n"/>
      <c r="M46" s="309" t="n"/>
      <c r="N46" s="309" t="n"/>
      <c r="O46" s="309" t="n"/>
      <c r="P46" s="309" t="n"/>
      <c r="Q46" s="309" t="n"/>
    </row>
    <row r="47" ht="21.75" customHeight="1" s="141">
      <c r="A47" s="309" t="n"/>
      <c r="B47" s="309" t="n"/>
      <c r="C47" s="309" t="n"/>
      <c r="D47" s="309" t="n"/>
      <c r="E47" s="309" t="n"/>
      <c r="F47" s="309" t="n"/>
      <c r="G47" s="309" t="n"/>
      <c r="H47" s="309" t="n"/>
      <c r="I47" s="309" t="n"/>
      <c r="J47" s="309" t="n"/>
      <c r="K47" s="309" t="n"/>
      <c r="L47" s="309" t="n"/>
      <c r="M47" s="309" t="n"/>
      <c r="N47" s="309" t="n"/>
      <c r="O47" s="309" t="n"/>
      <c r="P47" s="309" t="n"/>
      <c r="Q47" s="309" t="n"/>
    </row>
    <row r="48" ht="21.75" customHeight="1" s="141">
      <c r="A48" s="309" t="n"/>
      <c r="B48" s="309" t="n"/>
      <c r="C48" s="309" t="n"/>
      <c r="D48" s="309" t="n"/>
      <c r="E48" s="309" t="n"/>
      <c r="F48" s="309" t="n"/>
      <c r="G48" s="309" t="n"/>
      <c r="H48" s="309" t="n"/>
      <c r="I48" s="309" t="n"/>
      <c r="J48" s="309" t="n"/>
      <c r="K48" s="309" t="n"/>
      <c r="L48" s="309" t="n"/>
      <c r="M48" s="309" t="n"/>
      <c r="N48" s="309" t="n"/>
      <c r="O48" s="309" t="n"/>
      <c r="P48" s="309" t="n"/>
      <c r="Q48" s="309" t="n"/>
    </row>
    <row r="49" ht="21.75" customHeight="1" s="141">
      <c r="A49" s="309" t="n"/>
      <c r="B49" s="309" t="n"/>
      <c r="C49" s="309" t="n"/>
      <c r="D49" s="309" t="n"/>
      <c r="E49" s="309" t="n"/>
      <c r="F49" s="309" t="n"/>
      <c r="G49" s="309" t="n"/>
      <c r="H49" s="309" t="n"/>
      <c r="I49" s="309" t="n"/>
      <c r="J49" s="309" t="n"/>
      <c r="K49" s="309" t="n"/>
      <c r="L49" s="309" t="n"/>
      <c r="M49" s="309" t="n"/>
      <c r="N49" s="309" t="n"/>
      <c r="O49" s="309" t="n"/>
      <c r="P49" s="309" t="n"/>
      <c r="Q49" s="309" t="n"/>
    </row>
    <row r="50" ht="21.75" customHeight="1" s="141">
      <c r="A50" s="309" t="n"/>
      <c r="B50" s="309" t="n"/>
      <c r="C50" s="309" t="n"/>
      <c r="D50" s="309" t="n"/>
      <c r="E50" s="309" t="n"/>
      <c r="F50" s="309" t="n"/>
      <c r="G50" s="309" t="n"/>
      <c r="H50" s="309" t="n"/>
      <c r="I50" s="309" t="n"/>
      <c r="J50" s="309" t="n"/>
      <c r="K50" s="309" t="n"/>
      <c r="L50" s="309" t="n"/>
      <c r="M50" s="309" t="n"/>
      <c r="N50" s="309" t="n"/>
      <c r="O50" s="309" t="n"/>
      <c r="P50" s="309" t="n"/>
      <c r="Q50" s="309" t="n"/>
    </row>
    <row r="51" ht="21.75" customHeight="1" s="141">
      <c r="A51" s="309" t="n"/>
      <c r="B51" s="309" t="n"/>
      <c r="C51" s="309" t="n"/>
      <c r="D51" s="309" t="n"/>
      <c r="E51" s="309" t="n"/>
      <c r="F51" s="309" t="n"/>
      <c r="G51" s="309" t="n"/>
      <c r="H51" s="309" t="n"/>
      <c r="I51" s="309" t="n"/>
      <c r="J51" s="309" t="n"/>
      <c r="K51" s="309" t="n"/>
      <c r="L51" s="309" t="n"/>
      <c r="M51" s="309" t="n"/>
      <c r="N51" s="309" t="n"/>
      <c r="O51" s="309" t="n"/>
      <c r="P51" s="309" t="n"/>
      <c r="Q51" s="309" t="n"/>
    </row>
    <row r="52" ht="21.75" customHeight="1" s="141">
      <c r="A52" s="309" t="n"/>
      <c r="B52" s="309" t="n"/>
      <c r="C52" s="309" t="n"/>
      <c r="D52" s="309" t="n"/>
      <c r="E52" s="309" t="n"/>
      <c r="F52" s="309" t="n"/>
      <c r="G52" s="309" t="n"/>
      <c r="H52" s="309" t="n"/>
      <c r="I52" s="309" t="n"/>
      <c r="J52" s="309" t="n"/>
      <c r="K52" s="309" t="n"/>
      <c r="L52" s="309" t="n"/>
      <c r="M52" s="309" t="n"/>
      <c r="N52" s="309" t="n"/>
      <c r="O52" s="309" t="n"/>
      <c r="P52" s="309" t="n"/>
      <c r="Q52" s="309" t="n"/>
    </row>
    <row r="53" ht="21.75" customHeight="1" s="141">
      <c r="A53" s="309" t="n"/>
      <c r="B53" s="309" t="n"/>
      <c r="C53" s="309" t="n"/>
      <c r="D53" s="309" t="n"/>
      <c r="E53" s="309" t="n"/>
      <c r="F53" s="309" t="n"/>
      <c r="G53" s="309" t="n"/>
      <c r="H53" s="309" t="n"/>
      <c r="I53" s="309" t="n"/>
      <c r="J53" s="309" t="n"/>
      <c r="K53" s="309" t="n"/>
      <c r="L53" s="309" t="n"/>
      <c r="M53" s="309" t="n"/>
      <c r="N53" s="309" t="n"/>
      <c r="O53" s="309" t="n"/>
      <c r="P53" s="309" t="n"/>
      <c r="Q53" s="309" t="n"/>
    </row>
    <row r="54" ht="21.75" customHeight="1" s="141">
      <c r="A54" s="309" t="n"/>
      <c r="B54" s="309" t="n"/>
      <c r="C54" s="309" t="n"/>
      <c r="D54" s="309" t="n"/>
      <c r="E54" s="309" t="n"/>
      <c r="F54" s="309" t="n"/>
      <c r="G54" s="309" t="n"/>
      <c r="H54" s="309" t="n"/>
      <c r="I54" s="309" t="n"/>
      <c r="J54" s="309" t="n"/>
      <c r="K54" s="309" t="n"/>
      <c r="L54" s="309" t="n"/>
      <c r="M54" s="309" t="n"/>
      <c r="N54" s="309" t="n"/>
      <c r="O54" s="309" t="n"/>
      <c r="P54" s="309" t="n"/>
      <c r="Q54" s="309" t="n"/>
    </row>
    <row r="55" ht="21.75" customHeight="1" s="141">
      <c r="A55" s="309" t="n"/>
      <c r="B55" s="309" t="n"/>
      <c r="C55" s="309" t="n"/>
      <c r="D55" s="309" t="n"/>
      <c r="E55" s="309" t="n"/>
      <c r="F55" s="309" t="n"/>
      <c r="G55" s="309" t="n"/>
      <c r="H55" s="309" t="n"/>
      <c r="I55" s="309" t="n"/>
      <c r="J55" s="309" t="n"/>
      <c r="K55" s="309" t="n"/>
      <c r="L55" s="309" t="n"/>
      <c r="M55" s="309" t="n"/>
      <c r="N55" s="309" t="n"/>
      <c r="O55" s="309" t="n"/>
      <c r="P55" s="309" t="n"/>
      <c r="Q55" s="309" t="n"/>
    </row>
    <row r="56" ht="21.75" customHeight="1" s="141">
      <c r="A56" s="309" t="n"/>
      <c r="B56" s="309" t="n"/>
      <c r="C56" s="309" t="n"/>
      <c r="D56" s="309" t="n"/>
      <c r="E56" s="309" t="n"/>
      <c r="F56" s="309" t="n"/>
      <c r="G56" s="309" t="n"/>
      <c r="H56" s="309" t="n"/>
      <c r="I56" s="309" t="n"/>
      <c r="J56" s="309" t="n"/>
      <c r="K56" s="309" t="n"/>
      <c r="L56" s="309" t="n"/>
      <c r="M56" s="309" t="n"/>
      <c r="N56" s="309" t="n"/>
      <c r="O56" s="309" t="n"/>
      <c r="P56" s="309" t="n"/>
      <c r="Q56" s="309" t="n"/>
    </row>
    <row r="57" ht="21.75" customHeight="1" s="141">
      <c r="A57" s="309" t="n"/>
      <c r="B57" s="309" t="n"/>
      <c r="C57" s="309" t="n"/>
      <c r="D57" s="309" t="n"/>
      <c r="E57" s="309" t="n"/>
      <c r="F57" s="309" t="n"/>
      <c r="G57" s="309" t="n"/>
      <c r="H57" s="309" t="n"/>
      <c r="I57" s="309" t="n"/>
      <c r="J57" s="309" t="n"/>
      <c r="K57" s="309" t="n"/>
      <c r="L57" s="309" t="n"/>
      <c r="M57" s="309" t="n"/>
      <c r="N57" s="309" t="n"/>
      <c r="O57" s="309" t="n"/>
      <c r="P57" s="309" t="n"/>
      <c r="Q57" s="309" t="n"/>
    </row>
    <row r="58" ht="21.75" customHeight="1" s="141">
      <c r="A58" s="309" t="n"/>
      <c r="B58" s="309" t="n"/>
      <c r="C58" s="309" t="n"/>
      <c r="D58" s="309" t="n"/>
      <c r="E58" s="309" t="n"/>
      <c r="F58" s="309" t="n"/>
      <c r="G58" s="309" t="n"/>
      <c r="H58" s="309" t="n"/>
      <c r="I58" s="309" t="n"/>
      <c r="J58" s="309" t="n"/>
      <c r="K58" s="309" t="n"/>
      <c r="L58" s="309" t="n"/>
      <c r="M58" s="309" t="n"/>
      <c r="N58" s="309" t="n"/>
      <c r="O58" s="309" t="n"/>
      <c r="P58" s="309" t="n"/>
      <c r="Q58" s="309" t="n"/>
    </row>
  </sheetData>
  <sheetProtection selectLockedCells="0" selectUnlockedCells="0" sheet="1" objects="0" insertRows="1" insertHyperlinks="1" autoFilter="0" scenarios="0" formatColumns="0" deleteColumns="1" insertColumns="1" pivotTables="1" deleteRows="1" formatCells="0" formatRows="0" sort="0"/>
  <mergeCells count="7">
    <mergeCell ref="A3:Q3"/>
    <mergeCell ref="A2:Q2"/>
    <mergeCell ref="A46:Q58"/>
    <mergeCell ref="A16:Q16"/>
    <mergeCell ref="A28:Q28"/>
    <mergeCell ref="A1:Q1"/>
    <mergeCell ref="A45:Q45"/>
  </mergeCells>
  <conditionalFormatting sqref="M6:M15">
    <cfRule type="colorScale" priority="2">
      <colorScale>
        <cfvo type="min" val="0"/>
        <cfvo type="percentile" val="50"/>
        <cfvo type="max" val="0"/>
        <color rgb="FF63BE7B"/>
        <color rgb="FFFFEB84"/>
        <color rgb="FFF8696B"/>
      </colorScale>
    </cfRule>
  </conditionalFormatting>
  <conditionalFormatting sqref="N6:N15">
    <cfRule type="colorScale" priority="3">
      <colorScale>
        <cfvo type="min" val="0"/>
        <cfvo type="percentile" val="50"/>
        <cfvo type="max" val="0"/>
        <color rgb="FF63BE7B"/>
        <color rgb="FFFFEB84"/>
        <color rgb="FFF8696B"/>
      </colorScale>
    </cfRule>
  </conditionalFormatting>
  <conditionalFormatting sqref="M17:M26">
    <cfRule type="colorScale" priority="4">
      <colorScale>
        <cfvo type="min" val="0"/>
        <cfvo type="percentile" val="50"/>
        <cfvo type="max" val="0"/>
        <color rgb="FF63BE7B"/>
        <color rgb="FFFFEB84"/>
        <color rgb="FFF8696B"/>
      </colorScale>
    </cfRule>
  </conditionalFormatting>
  <conditionalFormatting sqref="N17:N26">
    <cfRule type="colorScale" priority="5">
      <colorScale>
        <cfvo type="min" val="0"/>
        <cfvo type="percentile" val="50"/>
        <cfvo type="max" val="0"/>
        <color rgb="FF63BE7B"/>
        <color rgb="FFFFEB84"/>
        <color rgb="FFF8696B"/>
      </colorScale>
    </cfRule>
  </conditionalFormatting>
  <printOptions horizontalCentered="1" verticalCentered="0" headings="0" gridLines="0" gridLinesSet="1"/>
  <pageMargins left="0.75" right="0.75" top="1" bottom="1"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6.xml><?xml version="1.0" encoding="utf-8"?>
<worksheet xmlns="http://schemas.openxmlformats.org/spreadsheetml/2006/main">
  <sheetPr filterMode="0">
    <outlinePr summaryBelow="1" summaryRight="1"/>
    <pageSetUpPr fitToPage="1"/>
  </sheetPr>
  <dimension ref="A1:M56"/>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6796875" defaultRowHeight="15" customHeight="0" zeroHeight="0" outlineLevelRow="0"/>
  <cols>
    <col width="7" customWidth="1" style="140" min="1" max="1"/>
    <col width="13" customWidth="1" style="140" min="2" max="2"/>
    <col width="11" customWidth="1" style="140" min="3" max="3"/>
    <col width="10" customWidth="1" style="140" min="4" max="6"/>
    <col width="9" customWidth="1" style="140" min="7" max="8"/>
    <col width="11" customWidth="1" style="140" min="9" max="11"/>
    <col width="18" customWidth="1" style="140" min="12" max="12"/>
    <col width="36" customWidth="1" style="140" min="13" max="13"/>
  </cols>
  <sheetData>
    <row r="1" ht="31.5" customHeight="1" s="141">
      <c r="A1" s="316" t="inlineStr">
        <is>
          <t>BallisticX Import — group-quality data from BallisticX iOS app</t>
        </is>
      </c>
      <c r="B1" s="309" t="n"/>
      <c r="C1" s="309" t="n"/>
      <c r="D1" s="309" t="n"/>
      <c r="E1" s="309" t="n"/>
      <c r="F1" s="309" t="n"/>
      <c r="G1" s="309" t="n"/>
      <c r="H1" s="309" t="n"/>
      <c r="I1" s="309" t="n"/>
      <c r="J1" s="309" t="n"/>
      <c r="K1" s="309" t="n"/>
      <c r="L1" s="309" t="n"/>
      <c r="M1" s="309" t="n"/>
    </row>
    <row r="2" ht="42" customHeight="1" s="141">
      <c r="A2" s="356" t="inlineStr">
        <is>
          <t>This sheet pulls group-quality data from BallisticX CSV exports. After Power Query setup, paste the values into Group (in), Mean Radius (in), and Vertical (in) columns of the Load Log / Seating Depth tabs — or tell Claude "do phase 2" to wire them via lookup formulas.</t>
        </is>
      </c>
      <c r="B2" s="309" t="n"/>
      <c r="C2" s="309" t="n"/>
      <c r="D2" s="309" t="n"/>
      <c r="E2" s="309" t="n"/>
      <c r="F2" s="309" t="n"/>
      <c r="G2" s="309" t="n"/>
      <c r="H2" s="309" t="n"/>
      <c r="I2" s="309" t="n"/>
      <c r="J2" s="309" t="n"/>
      <c r="K2" s="309" t="n"/>
      <c r="L2" s="309" t="n"/>
      <c r="M2" s="309" t="n"/>
    </row>
    <row r="3" ht="21.75" customHeight="1" s="141">
      <c r="A3" s="357" t="inlineStr">
        <is>
          <t>POWDER LADDER  (Load Log P1–P10  →  rows 6–15)</t>
        </is>
      </c>
      <c r="B3" s="309" t="n"/>
      <c r="C3" s="309" t="n"/>
      <c r="D3" s="309" t="n"/>
      <c r="E3" s="309" t="n"/>
      <c r="F3" s="309" t="n"/>
      <c r="G3" s="309" t="n"/>
      <c r="H3" s="309" t="n"/>
      <c r="I3" s="309" t="n"/>
      <c r="J3" s="309" t="n"/>
      <c r="K3" s="309" t="n"/>
      <c r="L3" s="309" t="n"/>
      <c r="M3" s="309" t="n"/>
    </row>
    <row r="4" ht="6" customHeight="1" s="141">
      <c r="A4" s="309" t="n"/>
      <c r="B4" s="309" t="n"/>
      <c r="C4" s="309" t="n"/>
      <c r="D4" s="309" t="n"/>
      <c r="E4" s="309" t="n"/>
      <c r="F4" s="309" t="n"/>
      <c r="G4" s="309" t="n"/>
      <c r="H4" s="309" t="n"/>
      <c r="I4" s="309" t="n"/>
      <c r="J4" s="309" t="n"/>
      <c r="K4" s="309" t="n"/>
      <c r="L4" s="309" t="n"/>
      <c r="M4" s="309" t="n"/>
    </row>
    <row r="5" ht="37.5" customHeight="1" s="141">
      <c r="A5" s="333" t="inlineStr">
        <is>
          <t>Tag</t>
        </is>
      </c>
      <c r="B5" s="333" t="inlineStr">
        <is>
          <t>Date</t>
        </is>
      </c>
      <c r="C5" s="333" t="inlineStr">
        <is>
          <t>Distance (yd)</t>
        </is>
      </c>
      <c r="D5" s="333" t="inlineStr">
        <is>
          <t>Group (in)</t>
        </is>
      </c>
      <c r="E5" s="333" t="inlineStr">
        <is>
          <t>Width (in)</t>
        </is>
      </c>
      <c r="F5" s="333" t="inlineStr">
        <is>
          <t>Height (in)</t>
        </is>
      </c>
      <c r="G5" s="333" t="inlineStr">
        <is>
          <t>MR (in)</t>
        </is>
      </c>
      <c r="H5" s="333" t="inlineStr">
        <is>
          <t>CEP (in)</t>
        </is>
      </c>
      <c r="I5" s="333" t="inlineStr">
        <is>
          <t>SD Radial (in)</t>
        </is>
      </c>
      <c r="J5" s="333" t="inlineStr">
        <is>
          <t>SD Vert (in)</t>
        </is>
      </c>
      <c r="K5" s="333" t="inlineStr">
        <is>
          <t>SD Horiz (in)</t>
        </is>
      </c>
      <c r="L5" s="333" t="inlineStr">
        <is>
          <t>Caliber</t>
        </is>
      </c>
      <c r="M5" s="333" t="inlineStr">
        <is>
          <t>Notes</t>
        </is>
      </c>
    </row>
    <row r="6" ht="18.75" customHeight="1" s="141">
      <c r="A6" s="358" t="inlineStr">
        <is>
          <t>P1</t>
        </is>
      </c>
      <c r="B6" s="239">
        <f>IFERROR(LOOKUP(2,1/(BallisticXGroups!$A$2:$A$200=$A6),BallisticXGroups!$D$2:$D$200),"")</f>
        <v/>
      </c>
      <c r="C6" s="245">
        <f>IFERROR(LOOKUP(2,1/(BallisticXGroups!$A$2:$A$200=$A6),BallisticXGroups!$E$2:$E$200),"")</f>
        <v/>
      </c>
      <c r="D6" s="257">
        <f>IFERROR(LOOKUP(2,1/(BallisticXGroups!$A$2:$A$200=$A6),BallisticXGroups!$G$2:$G$200),"")</f>
        <v/>
      </c>
      <c r="E6" s="257">
        <f>IFERROR(LOOKUP(2,1/(BallisticXGroups!$A$2:$A$200=$A6),BallisticXGroups!$H$2:$H$200),"")</f>
        <v/>
      </c>
      <c r="F6" s="257">
        <f>IFERROR(LOOKUP(2,1/(BallisticXGroups!$A$2:$A$200=$A6),BallisticXGroups!$I$2:$I$200),"")</f>
        <v/>
      </c>
      <c r="G6" s="257">
        <f>IFERROR(LOOKUP(2,1/(BallisticXGroups!$A$2:$A$200=$A6),BallisticXGroups!$J$2:$J$200),"")</f>
        <v/>
      </c>
      <c r="H6" s="257">
        <f>IFERROR(LOOKUP(2,1/(BallisticXGroups!$A$2:$A$200=$A6),BallisticXGroups!$K$2:$K$200),"")</f>
        <v/>
      </c>
      <c r="I6" s="257">
        <f>IFERROR(LOOKUP(2,1/(BallisticXGroups!$A$2:$A$200=$A6),BallisticXGroups!$L$2:$L$200),"")</f>
        <v/>
      </c>
      <c r="J6" s="257">
        <f>IFERROR(LOOKUP(2,1/(BallisticXGroups!$A$2:$A$200=$A6),BallisticXGroups!$M$2:$M$200),"")</f>
        <v/>
      </c>
      <c r="K6" s="257">
        <f>IFERROR(LOOKUP(2,1/(BallisticXGroups!$A$2:$A$200=$A6),BallisticXGroups!$N$2:$N$200),"")</f>
        <v/>
      </c>
      <c r="L6" s="240">
        <f>IFERROR(LOOKUP(2,1/(BallisticXGroups!$A$2:$A$200=$A6),BallisticXGroups!$F$2:$F$200),"")</f>
        <v/>
      </c>
      <c r="M6" s="363" t="n"/>
    </row>
    <row r="7" ht="18.75" customHeight="1" s="141">
      <c r="A7" s="336" t="inlineStr">
        <is>
          <t>P2</t>
        </is>
      </c>
      <c r="B7" s="184">
        <f>IFERROR(LOOKUP(2,1/(BallisticXGroups!$A$2:$A$200=$A7),BallisticXGroups!$D$2:$D$200),"")</f>
        <v/>
      </c>
      <c r="C7" s="186">
        <f>IFERROR(LOOKUP(2,1/(BallisticXGroups!$A$2:$A$200=$A7),BallisticXGroups!$E$2:$E$200),"")</f>
        <v/>
      </c>
      <c r="D7" s="227">
        <f>IFERROR(LOOKUP(2,1/(BallisticXGroups!$A$2:$A$200=$A7),BallisticXGroups!$G$2:$G$200),"")</f>
        <v/>
      </c>
      <c r="E7" s="227">
        <f>IFERROR(LOOKUP(2,1/(BallisticXGroups!$A$2:$A$200=$A7),BallisticXGroups!$H$2:$H$200),"")</f>
        <v/>
      </c>
      <c r="F7" s="227">
        <f>IFERROR(LOOKUP(2,1/(BallisticXGroups!$A$2:$A$200=$A7),BallisticXGroups!$I$2:$I$200),"")</f>
        <v/>
      </c>
      <c r="G7" s="227">
        <f>IFERROR(LOOKUP(2,1/(BallisticXGroups!$A$2:$A$200=$A7),BallisticXGroups!$J$2:$J$200),"")</f>
        <v/>
      </c>
      <c r="H7" s="227">
        <f>IFERROR(LOOKUP(2,1/(BallisticXGroups!$A$2:$A$200=$A7),BallisticXGroups!$K$2:$K$200),"")</f>
        <v/>
      </c>
      <c r="I7" s="227">
        <f>IFERROR(LOOKUP(2,1/(BallisticXGroups!$A$2:$A$200=$A7),BallisticXGroups!$L$2:$L$200),"")</f>
        <v/>
      </c>
      <c r="J7" s="227">
        <f>IFERROR(LOOKUP(2,1/(BallisticXGroups!$A$2:$A$200=$A7),BallisticXGroups!$M$2:$M$200),"")</f>
        <v/>
      </c>
      <c r="K7" s="227">
        <f>IFERROR(LOOKUP(2,1/(BallisticXGroups!$A$2:$A$200=$A7),BallisticXGroups!$N$2:$N$200),"")</f>
        <v/>
      </c>
      <c r="L7" s="246">
        <f>IFERROR(LOOKUP(2,1/(BallisticXGroups!$A$2:$A$200=$A7),BallisticXGroups!$F$2:$F$200),"")</f>
        <v/>
      </c>
      <c r="M7" s="364" t="n"/>
    </row>
    <row r="8" ht="18.75" customHeight="1" s="141">
      <c r="A8" s="358" t="inlineStr">
        <is>
          <t>P3</t>
        </is>
      </c>
      <c r="B8" s="239">
        <f>IFERROR(LOOKUP(2,1/(BallisticXGroups!$A$2:$A$200=$A8),BallisticXGroups!$D$2:$D$200),"")</f>
        <v/>
      </c>
      <c r="C8" s="245">
        <f>IFERROR(LOOKUP(2,1/(BallisticXGroups!$A$2:$A$200=$A8),BallisticXGroups!$E$2:$E$200),"")</f>
        <v/>
      </c>
      <c r="D8" s="257">
        <f>IFERROR(LOOKUP(2,1/(BallisticXGroups!$A$2:$A$200=$A8),BallisticXGroups!$G$2:$G$200),"")</f>
        <v/>
      </c>
      <c r="E8" s="257">
        <f>IFERROR(LOOKUP(2,1/(BallisticXGroups!$A$2:$A$200=$A8),BallisticXGroups!$H$2:$H$200),"")</f>
        <v/>
      </c>
      <c r="F8" s="257">
        <f>IFERROR(LOOKUP(2,1/(BallisticXGroups!$A$2:$A$200=$A8),BallisticXGroups!$I$2:$I$200),"")</f>
        <v/>
      </c>
      <c r="G8" s="257">
        <f>IFERROR(LOOKUP(2,1/(BallisticXGroups!$A$2:$A$200=$A8),BallisticXGroups!$J$2:$J$200),"")</f>
        <v/>
      </c>
      <c r="H8" s="257">
        <f>IFERROR(LOOKUP(2,1/(BallisticXGroups!$A$2:$A$200=$A8),BallisticXGroups!$K$2:$K$200),"")</f>
        <v/>
      </c>
      <c r="I8" s="257">
        <f>IFERROR(LOOKUP(2,1/(BallisticXGroups!$A$2:$A$200=$A8),BallisticXGroups!$L$2:$L$200),"")</f>
        <v/>
      </c>
      <c r="J8" s="257">
        <f>IFERROR(LOOKUP(2,1/(BallisticXGroups!$A$2:$A$200=$A8),BallisticXGroups!$M$2:$M$200),"")</f>
        <v/>
      </c>
      <c r="K8" s="257">
        <f>IFERROR(LOOKUP(2,1/(BallisticXGroups!$A$2:$A$200=$A8),BallisticXGroups!$N$2:$N$200),"")</f>
        <v/>
      </c>
      <c r="L8" s="240">
        <f>IFERROR(LOOKUP(2,1/(BallisticXGroups!$A$2:$A$200=$A8),BallisticXGroups!$F$2:$F$200),"")</f>
        <v/>
      </c>
      <c r="M8" s="363" t="n"/>
    </row>
    <row r="9" ht="18.75" customHeight="1" s="141">
      <c r="A9" s="336" t="inlineStr">
        <is>
          <t>P4</t>
        </is>
      </c>
      <c r="B9" s="184">
        <f>IFERROR(LOOKUP(2,1/(BallisticXGroups!$A$2:$A$200=$A9),BallisticXGroups!$D$2:$D$200),"")</f>
        <v/>
      </c>
      <c r="C9" s="186">
        <f>IFERROR(LOOKUP(2,1/(BallisticXGroups!$A$2:$A$200=$A9),BallisticXGroups!$E$2:$E$200),"")</f>
        <v/>
      </c>
      <c r="D9" s="227">
        <f>IFERROR(LOOKUP(2,1/(BallisticXGroups!$A$2:$A$200=$A9),BallisticXGroups!$G$2:$G$200),"")</f>
        <v/>
      </c>
      <c r="E9" s="227">
        <f>IFERROR(LOOKUP(2,1/(BallisticXGroups!$A$2:$A$200=$A9),BallisticXGroups!$H$2:$H$200),"")</f>
        <v/>
      </c>
      <c r="F9" s="227">
        <f>IFERROR(LOOKUP(2,1/(BallisticXGroups!$A$2:$A$200=$A9),BallisticXGroups!$I$2:$I$200),"")</f>
        <v/>
      </c>
      <c r="G9" s="227">
        <f>IFERROR(LOOKUP(2,1/(BallisticXGroups!$A$2:$A$200=$A9),BallisticXGroups!$J$2:$J$200),"")</f>
        <v/>
      </c>
      <c r="H9" s="227">
        <f>IFERROR(LOOKUP(2,1/(BallisticXGroups!$A$2:$A$200=$A9),BallisticXGroups!$K$2:$K$200),"")</f>
        <v/>
      </c>
      <c r="I9" s="227">
        <f>IFERROR(LOOKUP(2,1/(BallisticXGroups!$A$2:$A$200=$A9),BallisticXGroups!$L$2:$L$200),"")</f>
        <v/>
      </c>
      <c r="J9" s="227">
        <f>IFERROR(LOOKUP(2,1/(BallisticXGroups!$A$2:$A$200=$A9),BallisticXGroups!$M$2:$M$200),"")</f>
        <v/>
      </c>
      <c r="K9" s="227">
        <f>IFERROR(LOOKUP(2,1/(BallisticXGroups!$A$2:$A$200=$A9),BallisticXGroups!$N$2:$N$200),"")</f>
        <v/>
      </c>
      <c r="L9" s="246">
        <f>IFERROR(LOOKUP(2,1/(BallisticXGroups!$A$2:$A$200=$A9),BallisticXGroups!$F$2:$F$200),"")</f>
        <v/>
      </c>
      <c r="M9" s="364" t="n"/>
    </row>
    <row r="10" ht="18.75" customHeight="1" s="141">
      <c r="A10" s="358" t="inlineStr">
        <is>
          <t>P5</t>
        </is>
      </c>
      <c r="B10" s="239">
        <f>IFERROR(LOOKUP(2,1/(BallisticXGroups!$A$2:$A$200=$A10),BallisticXGroups!$D$2:$D$200),"")</f>
        <v/>
      </c>
      <c r="C10" s="245">
        <f>IFERROR(LOOKUP(2,1/(BallisticXGroups!$A$2:$A$200=$A10),BallisticXGroups!$E$2:$E$200),"")</f>
        <v/>
      </c>
      <c r="D10" s="257">
        <f>IFERROR(LOOKUP(2,1/(BallisticXGroups!$A$2:$A$200=$A10),BallisticXGroups!$G$2:$G$200),"")</f>
        <v/>
      </c>
      <c r="E10" s="257">
        <f>IFERROR(LOOKUP(2,1/(BallisticXGroups!$A$2:$A$200=$A10),BallisticXGroups!$H$2:$H$200),"")</f>
        <v/>
      </c>
      <c r="F10" s="257">
        <f>IFERROR(LOOKUP(2,1/(BallisticXGroups!$A$2:$A$200=$A10),BallisticXGroups!$I$2:$I$200),"")</f>
        <v/>
      </c>
      <c r="G10" s="257">
        <f>IFERROR(LOOKUP(2,1/(BallisticXGroups!$A$2:$A$200=$A10),BallisticXGroups!$J$2:$J$200),"")</f>
        <v/>
      </c>
      <c r="H10" s="257">
        <f>IFERROR(LOOKUP(2,1/(BallisticXGroups!$A$2:$A$200=$A10),BallisticXGroups!$K$2:$K$200),"")</f>
        <v/>
      </c>
      <c r="I10" s="257">
        <f>IFERROR(LOOKUP(2,1/(BallisticXGroups!$A$2:$A$200=$A10),BallisticXGroups!$L$2:$L$200),"")</f>
        <v/>
      </c>
      <c r="J10" s="257">
        <f>IFERROR(LOOKUP(2,1/(BallisticXGroups!$A$2:$A$200=$A10),BallisticXGroups!$M$2:$M$200),"")</f>
        <v/>
      </c>
      <c r="K10" s="257">
        <f>IFERROR(LOOKUP(2,1/(BallisticXGroups!$A$2:$A$200=$A10),BallisticXGroups!$N$2:$N$200),"")</f>
        <v/>
      </c>
      <c r="L10" s="240">
        <f>IFERROR(LOOKUP(2,1/(BallisticXGroups!$A$2:$A$200=$A10),BallisticXGroups!$F$2:$F$200),"")</f>
        <v/>
      </c>
      <c r="M10" s="363" t="n"/>
    </row>
    <row r="11" ht="18.75" customHeight="1" s="141">
      <c r="A11" s="336" t="inlineStr">
        <is>
          <t>P6</t>
        </is>
      </c>
      <c r="B11" s="184">
        <f>IFERROR(LOOKUP(2,1/(BallisticXGroups!$A$2:$A$200=$A11),BallisticXGroups!$D$2:$D$200),"")</f>
        <v/>
      </c>
      <c r="C11" s="186">
        <f>IFERROR(LOOKUP(2,1/(BallisticXGroups!$A$2:$A$200=$A11),BallisticXGroups!$E$2:$E$200),"")</f>
        <v/>
      </c>
      <c r="D11" s="227">
        <f>IFERROR(LOOKUP(2,1/(BallisticXGroups!$A$2:$A$200=$A11),BallisticXGroups!$G$2:$G$200),"")</f>
        <v/>
      </c>
      <c r="E11" s="227">
        <f>IFERROR(LOOKUP(2,1/(BallisticXGroups!$A$2:$A$200=$A11),BallisticXGroups!$H$2:$H$200),"")</f>
        <v/>
      </c>
      <c r="F11" s="227">
        <f>IFERROR(LOOKUP(2,1/(BallisticXGroups!$A$2:$A$200=$A11),BallisticXGroups!$I$2:$I$200),"")</f>
        <v/>
      </c>
      <c r="G11" s="227">
        <f>IFERROR(LOOKUP(2,1/(BallisticXGroups!$A$2:$A$200=$A11),BallisticXGroups!$J$2:$J$200),"")</f>
        <v/>
      </c>
      <c r="H11" s="227">
        <f>IFERROR(LOOKUP(2,1/(BallisticXGroups!$A$2:$A$200=$A11),BallisticXGroups!$K$2:$K$200),"")</f>
        <v/>
      </c>
      <c r="I11" s="227">
        <f>IFERROR(LOOKUP(2,1/(BallisticXGroups!$A$2:$A$200=$A11),BallisticXGroups!$L$2:$L$200),"")</f>
        <v/>
      </c>
      <c r="J11" s="227">
        <f>IFERROR(LOOKUP(2,1/(BallisticXGroups!$A$2:$A$200=$A11),BallisticXGroups!$M$2:$M$200),"")</f>
        <v/>
      </c>
      <c r="K11" s="227">
        <f>IFERROR(LOOKUP(2,1/(BallisticXGroups!$A$2:$A$200=$A11),BallisticXGroups!$N$2:$N$200),"")</f>
        <v/>
      </c>
      <c r="L11" s="246">
        <f>IFERROR(LOOKUP(2,1/(BallisticXGroups!$A$2:$A$200=$A11),BallisticXGroups!$F$2:$F$200),"")</f>
        <v/>
      </c>
      <c r="M11" s="364" t="n"/>
    </row>
    <row r="12" ht="18.75" customHeight="1" s="141">
      <c r="A12" s="358" t="inlineStr">
        <is>
          <t>P7</t>
        </is>
      </c>
      <c r="B12" s="239">
        <f>IFERROR(LOOKUP(2,1/(BallisticXGroups!$A$2:$A$200=$A12),BallisticXGroups!$D$2:$D$200),"")</f>
        <v/>
      </c>
      <c r="C12" s="245">
        <f>IFERROR(LOOKUP(2,1/(BallisticXGroups!$A$2:$A$200=$A12),BallisticXGroups!$E$2:$E$200),"")</f>
        <v/>
      </c>
      <c r="D12" s="257">
        <f>IFERROR(LOOKUP(2,1/(BallisticXGroups!$A$2:$A$200=$A12),BallisticXGroups!$G$2:$G$200),"")</f>
        <v/>
      </c>
      <c r="E12" s="257">
        <f>IFERROR(LOOKUP(2,1/(BallisticXGroups!$A$2:$A$200=$A12),BallisticXGroups!$H$2:$H$200),"")</f>
        <v/>
      </c>
      <c r="F12" s="257">
        <f>IFERROR(LOOKUP(2,1/(BallisticXGroups!$A$2:$A$200=$A12),BallisticXGroups!$I$2:$I$200),"")</f>
        <v/>
      </c>
      <c r="G12" s="257">
        <f>IFERROR(LOOKUP(2,1/(BallisticXGroups!$A$2:$A$200=$A12),BallisticXGroups!$J$2:$J$200),"")</f>
        <v/>
      </c>
      <c r="H12" s="257">
        <f>IFERROR(LOOKUP(2,1/(BallisticXGroups!$A$2:$A$200=$A12),BallisticXGroups!$K$2:$K$200),"")</f>
        <v/>
      </c>
      <c r="I12" s="257">
        <f>IFERROR(LOOKUP(2,1/(BallisticXGroups!$A$2:$A$200=$A12),BallisticXGroups!$L$2:$L$200),"")</f>
        <v/>
      </c>
      <c r="J12" s="257">
        <f>IFERROR(LOOKUP(2,1/(BallisticXGroups!$A$2:$A$200=$A12),BallisticXGroups!$M$2:$M$200),"")</f>
        <v/>
      </c>
      <c r="K12" s="257">
        <f>IFERROR(LOOKUP(2,1/(BallisticXGroups!$A$2:$A$200=$A12),BallisticXGroups!$N$2:$N$200),"")</f>
        <v/>
      </c>
      <c r="L12" s="240">
        <f>IFERROR(LOOKUP(2,1/(BallisticXGroups!$A$2:$A$200=$A12),BallisticXGroups!$F$2:$F$200),"")</f>
        <v/>
      </c>
      <c r="M12" s="363" t="n"/>
    </row>
    <row r="13" ht="18.75" customHeight="1" s="141">
      <c r="A13" s="336" t="inlineStr">
        <is>
          <t>P8</t>
        </is>
      </c>
      <c r="B13" s="184">
        <f>IFERROR(LOOKUP(2,1/(BallisticXGroups!$A$2:$A$200=$A13),BallisticXGroups!$D$2:$D$200),"")</f>
        <v/>
      </c>
      <c r="C13" s="186">
        <f>IFERROR(LOOKUP(2,1/(BallisticXGroups!$A$2:$A$200=$A13),BallisticXGroups!$E$2:$E$200),"")</f>
        <v/>
      </c>
      <c r="D13" s="227">
        <f>IFERROR(LOOKUP(2,1/(BallisticXGroups!$A$2:$A$200=$A13),BallisticXGroups!$G$2:$G$200),"")</f>
        <v/>
      </c>
      <c r="E13" s="227">
        <f>IFERROR(LOOKUP(2,1/(BallisticXGroups!$A$2:$A$200=$A13),BallisticXGroups!$H$2:$H$200),"")</f>
        <v/>
      </c>
      <c r="F13" s="227">
        <f>IFERROR(LOOKUP(2,1/(BallisticXGroups!$A$2:$A$200=$A13),BallisticXGroups!$I$2:$I$200),"")</f>
        <v/>
      </c>
      <c r="G13" s="227">
        <f>IFERROR(LOOKUP(2,1/(BallisticXGroups!$A$2:$A$200=$A13),BallisticXGroups!$J$2:$J$200),"")</f>
        <v/>
      </c>
      <c r="H13" s="227">
        <f>IFERROR(LOOKUP(2,1/(BallisticXGroups!$A$2:$A$200=$A13),BallisticXGroups!$K$2:$K$200),"")</f>
        <v/>
      </c>
      <c r="I13" s="227">
        <f>IFERROR(LOOKUP(2,1/(BallisticXGroups!$A$2:$A$200=$A13),BallisticXGroups!$L$2:$L$200),"")</f>
        <v/>
      </c>
      <c r="J13" s="227">
        <f>IFERROR(LOOKUP(2,1/(BallisticXGroups!$A$2:$A$200=$A13),BallisticXGroups!$M$2:$M$200),"")</f>
        <v/>
      </c>
      <c r="K13" s="227">
        <f>IFERROR(LOOKUP(2,1/(BallisticXGroups!$A$2:$A$200=$A13),BallisticXGroups!$N$2:$N$200),"")</f>
        <v/>
      </c>
      <c r="L13" s="246">
        <f>IFERROR(LOOKUP(2,1/(BallisticXGroups!$A$2:$A$200=$A13),BallisticXGroups!$F$2:$F$200),"")</f>
        <v/>
      </c>
      <c r="M13" s="364" t="n"/>
    </row>
    <row r="14" ht="18.75" customHeight="1" s="141">
      <c r="A14" s="358" t="inlineStr">
        <is>
          <t>P9</t>
        </is>
      </c>
      <c r="B14" s="239">
        <f>IFERROR(LOOKUP(2,1/(BallisticXGroups!$A$2:$A$200=$A14),BallisticXGroups!$D$2:$D$200),"")</f>
        <v/>
      </c>
      <c r="C14" s="245">
        <f>IFERROR(LOOKUP(2,1/(BallisticXGroups!$A$2:$A$200=$A14),BallisticXGroups!$E$2:$E$200),"")</f>
        <v/>
      </c>
      <c r="D14" s="257">
        <f>IFERROR(LOOKUP(2,1/(BallisticXGroups!$A$2:$A$200=$A14),BallisticXGroups!$G$2:$G$200),"")</f>
        <v/>
      </c>
      <c r="E14" s="257">
        <f>IFERROR(LOOKUP(2,1/(BallisticXGroups!$A$2:$A$200=$A14),BallisticXGroups!$H$2:$H$200),"")</f>
        <v/>
      </c>
      <c r="F14" s="257">
        <f>IFERROR(LOOKUP(2,1/(BallisticXGroups!$A$2:$A$200=$A14),BallisticXGroups!$I$2:$I$200),"")</f>
        <v/>
      </c>
      <c r="G14" s="257">
        <f>IFERROR(LOOKUP(2,1/(BallisticXGroups!$A$2:$A$200=$A14),BallisticXGroups!$J$2:$J$200),"")</f>
        <v/>
      </c>
      <c r="H14" s="257">
        <f>IFERROR(LOOKUP(2,1/(BallisticXGroups!$A$2:$A$200=$A14),BallisticXGroups!$K$2:$K$200),"")</f>
        <v/>
      </c>
      <c r="I14" s="257">
        <f>IFERROR(LOOKUP(2,1/(BallisticXGroups!$A$2:$A$200=$A14),BallisticXGroups!$L$2:$L$200),"")</f>
        <v/>
      </c>
      <c r="J14" s="257">
        <f>IFERROR(LOOKUP(2,1/(BallisticXGroups!$A$2:$A$200=$A14),BallisticXGroups!$M$2:$M$200),"")</f>
        <v/>
      </c>
      <c r="K14" s="257">
        <f>IFERROR(LOOKUP(2,1/(BallisticXGroups!$A$2:$A$200=$A14),BallisticXGroups!$N$2:$N$200),"")</f>
        <v/>
      </c>
      <c r="L14" s="240">
        <f>IFERROR(LOOKUP(2,1/(BallisticXGroups!$A$2:$A$200=$A14),BallisticXGroups!$F$2:$F$200),"")</f>
        <v/>
      </c>
      <c r="M14" s="363" t="n"/>
    </row>
    <row r="15" ht="18.75" customHeight="1" s="141">
      <c r="A15" s="336" t="inlineStr">
        <is>
          <t>P10</t>
        </is>
      </c>
      <c r="B15" s="184">
        <f>IFERROR(LOOKUP(2,1/(BallisticXGroups!$A$2:$A$200=$A15),BallisticXGroups!$D$2:$D$200),"")</f>
        <v/>
      </c>
      <c r="C15" s="186">
        <f>IFERROR(LOOKUP(2,1/(BallisticXGroups!$A$2:$A$200=$A15),BallisticXGroups!$E$2:$E$200),"")</f>
        <v/>
      </c>
      <c r="D15" s="227">
        <f>IFERROR(LOOKUP(2,1/(BallisticXGroups!$A$2:$A$200=$A15),BallisticXGroups!$G$2:$G$200),"")</f>
        <v/>
      </c>
      <c r="E15" s="227">
        <f>IFERROR(LOOKUP(2,1/(BallisticXGroups!$A$2:$A$200=$A15),BallisticXGroups!$H$2:$H$200),"")</f>
        <v/>
      </c>
      <c r="F15" s="227">
        <f>IFERROR(LOOKUP(2,1/(BallisticXGroups!$A$2:$A$200=$A15),BallisticXGroups!$I$2:$I$200),"")</f>
        <v/>
      </c>
      <c r="G15" s="227">
        <f>IFERROR(LOOKUP(2,1/(BallisticXGroups!$A$2:$A$200=$A15),BallisticXGroups!$J$2:$J$200),"")</f>
        <v/>
      </c>
      <c r="H15" s="227">
        <f>IFERROR(LOOKUP(2,1/(BallisticXGroups!$A$2:$A$200=$A15),BallisticXGroups!$K$2:$K$200),"")</f>
        <v/>
      </c>
      <c r="I15" s="227">
        <f>IFERROR(LOOKUP(2,1/(BallisticXGroups!$A$2:$A$200=$A15),BallisticXGroups!$L$2:$L$200),"")</f>
        <v/>
      </c>
      <c r="J15" s="227">
        <f>IFERROR(LOOKUP(2,1/(BallisticXGroups!$A$2:$A$200=$A15),BallisticXGroups!$M$2:$M$200),"")</f>
        <v/>
      </c>
      <c r="K15" s="227">
        <f>IFERROR(LOOKUP(2,1/(BallisticXGroups!$A$2:$A$200=$A15),BallisticXGroups!$N$2:$N$200),"")</f>
        <v/>
      </c>
      <c r="L15" s="246">
        <f>IFERROR(LOOKUP(2,1/(BallisticXGroups!$A$2:$A$200=$A15),BallisticXGroups!$F$2:$F$200),"")</f>
        <v/>
      </c>
      <c r="M15" s="364" t="n"/>
    </row>
    <row r="16" ht="21.75" customHeight="1" s="141">
      <c r="A16" s="357" t="inlineStr">
        <is>
          <t>SEATING DEPTH  (Seating Depth Tests 1–10  →  rows 17–26)</t>
        </is>
      </c>
      <c r="B16" s="309" t="n"/>
      <c r="C16" s="309" t="n"/>
      <c r="D16" s="309" t="n"/>
      <c r="E16" s="309" t="n"/>
      <c r="F16" s="309" t="n"/>
      <c r="G16" s="309" t="n"/>
      <c r="H16" s="309" t="n"/>
      <c r="I16" s="309" t="n"/>
      <c r="J16" s="309" t="n"/>
      <c r="K16" s="309" t="n"/>
      <c r="L16" s="309" t="n"/>
      <c r="M16" s="309" t="n"/>
    </row>
    <row r="17" ht="18.75" customHeight="1" s="141">
      <c r="A17" s="359" t="inlineStr">
        <is>
          <t>S1</t>
        </is>
      </c>
      <c r="B17" s="247">
        <f>IFERROR(LOOKUP(2,1/(BallisticXGroups!$A$2:$A$200=$A17),BallisticXGroups!$D$2:$D$200),"")</f>
        <v/>
      </c>
      <c r="C17" s="253">
        <f>IFERROR(LOOKUP(2,1/(BallisticXGroups!$A$2:$A$200=$A17),BallisticXGroups!$E$2:$E$200),"")</f>
        <v/>
      </c>
      <c r="D17" s="258">
        <f>IFERROR(LOOKUP(2,1/(BallisticXGroups!$A$2:$A$200=$A17),BallisticXGroups!$G$2:$G$200),"")</f>
        <v/>
      </c>
      <c r="E17" s="258">
        <f>IFERROR(LOOKUP(2,1/(BallisticXGroups!$A$2:$A$200=$A17),BallisticXGroups!$H$2:$H$200),"")</f>
        <v/>
      </c>
      <c r="F17" s="258">
        <f>IFERROR(LOOKUP(2,1/(BallisticXGroups!$A$2:$A$200=$A17),BallisticXGroups!$I$2:$I$200),"")</f>
        <v/>
      </c>
      <c r="G17" s="258">
        <f>IFERROR(LOOKUP(2,1/(BallisticXGroups!$A$2:$A$200=$A17),BallisticXGroups!$J$2:$J$200),"")</f>
        <v/>
      </c>
      <c r="H17" s="258">
        <f>IFERROR(LOOKUP(2,1/(BallisticXGroups!$A$2:$A$200=$A17),BallisticXGroups!$K$2:$K$200),"")</f>
        <v/>
      </c>
      <c r="I17" s="258">
        <f>IFERROR(LOOKUP(2,1/(BallisticXGroups!$A$2:$A$200=$A17),BallisticXGroups!$L$2:$L$200),"")</f>
        <v/>
      </c>
      <c r="J17" s="258">
        <f>IFERROR(LOOKUP(2,1/(BallisticXGroups!$A$2:$A$200=$A17),BallisticXGroups!$M$2:$M$200),"")</f>
        <v/>
      </c>
      <c r="K17" s="258">
        <f>IFERROR(LOOKUP(2,1/(BallisticXGroups!$A$2:$A$200=$A17),BallisticXGroups!$N$2:$N$200),"")</f>
        <v/>
      </c>
      <c r="L17" s="248">
        <f>IFERROR(LOOKUP(2,1/(BallisticXGroups!$A$2:$A$200=$A17),BallisticXGroups!$F$2:$F$200),"")</f>
        <v/>
      </c>
      <c r="M17" s="365" t="n"/>
    </row>
    <row r="18" ht="18.75" customHeight="1" s="141">
      <c r="A18" s="336" t="inlineStr">
        <is>
          <t>S2</t>
        </is>
      </c>
      <c r="B18" s="184">
        <f>IFERROR(LOOKUP(2,1/(BallisticXGroups!$A$2:$A$200=$A18),BallisticXGroups!$D$2:$D$200),"")</f>
        <v/>
      </c>
      <c r="C18" s="186">
        <f>IFERROR(LOOKUP(2,1/(BallisticXGroups!$A$2:$A$200=$A18),BallisticXGroups!$E$2:$E$200),"")</f>
        <v/>
      </c>
      <c r="D18" s="227">
        <f>IFERROR(LOOKUP(2,1/(BallisticXGroups!$A$2:$A$200=$A18),BallisticXGroups!$G$2:$G$200),"")</f>
        <v/>
      </c>
      <c r="E18" s="227">
        <f>IFERROR(LOOKUP(2,1/(BallisticXGroups!$A$2:$A$200=$A18),BallisticXGroups!$H$2:$H$200),"")</f>
        <v/>
      </c>
      <c r="F18" s="227">
        <f>IFERROR(LOOKUP(2,1/(BallisticXGroups!$A$2:$A$200=$A18),BallisticXGroups!$I$2:$I$200),"")</f>
        <v/>
      </c>
      <c r="G18" s="227">
        <f>IFERROR(LOOKUP(2,1/(BallisticXGroups!$A$2:$A$200=$A18),BallisticXGroups!$J$2:$J$200),"")</f>
        <v/>
      </c>
      <c r="H18" s="227">
        <f>IFERROR(LOOKUP(2,1/(BallisticXGroups!$A$2:$A$200=$A18),BallisticXGroups!$K$2:$K$200),"")</f>
        <v/>
      </c>
      <c r="I18" s="227">
        <f>IFERROR(LOOKUP(2,1/(BallisticXGroups!$A$2:$A$200=$A18),BallisticXGroups!$L$2:$L$200),"")</f>
        <v/>
      </c>
      <c r="J18" s="227">
        <f>IFERROR(LOOKUP(2,1/(BallisticXGroups!$A$2:$A$200=$A18),BallisticXGroups!$M$2:$M$200),"")</f>
        <v/>
      </c>
      <c r="K18" s="227">
        <f>IFERROR(LOOKUP(2,1/(BallisticXGroups!$A$2:$A$200=$A18),BallisticXGroups!$N$2:$N$200),"")</f>
        <v/>
      </c>
      <c r="L18" s="246">
        <f>IFERROR(LOOKUP(2,1/(BallisticXGroups!$A$2:$A$200=$A18),BallisticXGroups!$F$2:$F$200),"")</f>
        <v/>
      </c>
      <c r="M18" s="364" t="n"/>
    </row>
    <row r="19" ht="18.75" customHeight="1" s="141">
      <c r="A19" s="359" t="inlineStr">
        <is>
          <t>S3</t>
        </is>
      </c>
      <c r="B19" s="247">
        <f>IFERROR(LOOKUP(2,1/(BallisticXGroups!$A$2:$A$200=$A19),BallisticXGroups!$D$2:$D$200),"")</f>
        <v/>
      </c>
      <c r="C19" s="253">
        <f>IFERROR(LOOKUP(2,1/(BallisticXGroups!$A$2:$A$200=$A19),BallisticXGroups!$E$2:$E$200),"")</f>
        <v/>
      </c>
      <c r="D19" s="258">
        <f>IFERROR(LOOKUP(2,1/(BallisticXGroups!$A$2:$A$200=$A19),BallisticXGroups!$G$2:$G$200),"")</f>
        <v/>
      </c>
      <c r="E19" s="258">
        <f>IFERROR(LOOKUP(2,1/(BallisticXGroups!$A$2:$A$200=$A19),BallisticXGroups!$H$2:$H$200),"")</f>
        <v/>
      </c>
      <c r="F19" s="258">
        <f>IFERROR(LOOKUP(2,1/(BallisticXGroups!$A$2:$A$200=$A19),BallisticXGroups!$I$2:$I$200),"")</f>
        <v/>
      </c>
      <c r="G19" s="258">
        <f>IFERROR(LOOKUP(2,1/(BallisticXGroups!$A$2:$A$200=$A19),BallisticXGroups!$J$2:$J$200),"")</f>
        <v/>
      </c>
      <c r="H19" s="258">
        <f>IFERROR(LOOKUP(2,1/(BallisticXGroups!$A$2:$A$200=$A19),BallisticXGroups!$K$2:$K$200),"")</f>
        <v/>
      </c>
      <c r="I19" s="258">
        <f>IFERROR(LOOKUP(2,1/(BallisticXGroups!$A$2:$A$200=$A19),BallisticXGroups!$L$2:$L$200),"")</f>
        <v/>
      </c>
      <c r="J19" s="258">
        <f>IFERROR(LOOKUP(2,1/(BallisticXGroups!$A$2:$A$200=$A19),BallisticXGroups!$M$2:$M$200),"")</f>
        <v/>
      </c>
      <c r="K19" s="258">
        <f>IFERROR(LOOKUP(2,1/(BallisticXGroups!$A$2:$A$200=$A19),BallisticXGroups!$N$2:$N$200),"")</f>
        <v/>
      </c>
      <c r="L19" s="248">
        <f>IFERROR(LOOKUP(2,1/(BallisticXGroups!$A$2:$A$200=$A19),BallisticXGroups!$F$2:$F$200),"")</f>
        <v/>
      </c>
      <c r="M19" s="365" t="n"/>
    </row>
    <row r="20" ht="18.75" customHeight="1" s="141">
      <c r="A20" s="336" t="inlineStr">
        <is>
          <t>S4</t>
        </is>
      </c>
      <c r="B20" s="184">
        <f>IFERROR(LOOKUP(2,1/(BallisticXGroups!$A$2:$A$200=$A20),BallisticXGroups!$D$2:$D$200),"")</f>
        <v/>
      </c>
      <c r="C20" s="186">
        <f>IFERROR(LOOKUP(2,1/(BallisticXGroups!$A$2:$A$200=$A20),BallisticXGroups!$E$2:$E$200),"")</f>
        <v/>
      </c>
      <c r="D20" s="227">
        <f>IFERROR(LOOKUP(2,1/(BallisticXGroups!$A$2:$A$200=$A20),BallisticXGroups!$G$2:$G$200),"")</f>
        <v/>
      </c>
      <c r="E20" s="227">
        <f>IFERROR(LOOKUP(2,1/(BallisticXGroups!$A$2:$A$200=$A20),BallisticXGroups!$H$2:$H$200),"")</f>
        <v/>
      </c>
      <c r="F20" s="227">
        <f>IFERROR(LOOKUP(2,1/(BallisticXGroups!$A$2:$A$200=$A20),BallisticXGroups!$I$2:$I$200),"")</f>
        <v/>
      </c>
      <c r="G20" s="227">
        <f>IFERROR(LOOKUP(2,1/(BallisticXGroups!$A$2:$A$200=$A20),BallisticXGroups!$J$2:$J$200),"")</f>
        <v/>
      </c>
      <c r="H20" s="227">
        <f>IFERROR(LOOKUP(2,1/(BallisticXGroups!$A$2:$A$200=$A20),BallisticXGroups!$K$2:$K$200),"")</f>
        <v/>
      </c>
      <c r="I20" s="227">
        <f>IFERROR(LOOKUP(2,1/(BallisticXGroups!$A$2:$A$200=$A20),BallisticXGroups!$L$2:$L$200),"")</f>
        <v/>
      </c>
      <c r="J20" s="227">
        <f>IFERROR(LOOKUP(2,1/(BallisticXGroups!$A$2:$A$200=$A20),BallisticXGroups!$M$2:$M$200),"")</f>
        <v/>
      </c>
      <c r="K20" s="227">
        <f>IFERROR(LOOKUP(2,1/(BallisticXGroups!$A$2:$A$200=$A20),BallisticXGroups!$N$2:$N$200),"")</f>
        <v/>
      </c>
      <c r="L20" s="246">
        <f>IFERROR(LOOKUP(2,1/(BallisticXGroups!$A$2:$A$200=$A20),BallisticXGroups!$F$2:$F$200),"")</f>
        <v/>
      </c>
      <c r="M20" s="364" t="n"/>
    </row>
    <row r="21" ht="18.75" customHeight="1" s="141">
      <c r="A21" s="359" t="inlineStr">
        <is>
          <t>S5</t>
        </is>
      </c>
      <c r="B21" s="247">
        <f>IFERROR(LOOKUP(2,1/(BallisticXGroups!$A$2:$A$200=$A21),BallisticXGroups!$D$2:$D$200),"")</f>
        <v/>
      </c>
      <c r="C21" s="253">
        <f>IFERROR(LOOKUP(2,1/(BallisticXGroups!$A$2:$A$200=$A21),BallisticXGroups!$E$2:$E$200),"")</f>
        <v/>
      </c>
      <c r="D21" s="258">
        <f>IFERROR(LOOKUP(2,1/(BallisticXGroups!$A$2:$A$200=$A21),BallisticXGroups!$G$2:$G$200),"")</f>
        <v/>
      </c>
      <c r="E21" s="258">
        <f>IFERROR(LOOKUP(2,1/(BallisticXGroups!$A$2:$A$200=$A21),BallisticXGroups!$H$2:$H$200),"")</f>
        <v/>
      </c>
      <c r="F21" s="258">
        <f>IFERROR(LOOKUP(2,1/(BallisticXGroups!$A$2:$A$200=$A21),BallisticXGroups!$I$2:$I$200),"")</f>
        <v/>
      </c>
      <c r="G21" s="258">
        <f>IFERROR(LOOKUP(2,1/(BallisticXGroups!$A$2:$A$200=$A21),BallisticXGroups!$J$2:$J$200),"")</f>
        <v/>
      </c>
      <c r="H21" s="258">
        <f>IFERROR(LOOKUP(2,1/(BallisticXGroups!$A$2:$A$200=$A21),BallisticXGroups!$K$2:$K$200),"")</f>
        <v/>
      </c>
      <c r="I21" s="258">
        <f>IFERROR(LOOKUP(2,1/(BallisticXGroups!$A$2:$A$200=$A21),BallisticXGroups!$L$2:$L$200),"")</f>
        <v/>
      </c>
      <c r="J21" s="258">
        <f>IFERROR(LOOKUP(2,1/(BallisticXGroups!$A$2:$A$200=$A21),BallisticXGroups!$M$2:$M$200),"")</f>
        <v/>
      </c>
      <c r="K21" s="258">
        <f>IFERROR(LOOKUP(2,1/(BallisticXGroups!$A$2:$A$200=$A21),BallisticXGroups!$N$2:$N$200),"")</f>
        <v/>
      </c>
      <c r="L21" s="248">
        <f>IFERROR(LOOKUP(2,1/(BallisticXGroups!$A$2:$A$200=$A21),BallisticXGroups!$F$2:$F$200),"")</f>
        <v/>
      </c>
      <c r="M21" s="365" t="n"/>
    </row>
    <row r="22" ht="18.75" customHeight="1" s="141">
      <c r="A22" s="336" t="inlineStr">
        <is>
          <t>S6</t>
        </is>
      </c>
      <c r="B22" s="184">
        <f>IFERROR(LOOKUP(2,1/(BallisticXGroups!$A$2:$A$200=$A22),BallisticXGroups!$D$2:$D$200),"")</f>
        <v/>
      </c>
      <c r="C22" s="186">
        <f>IFERROR(LOOKUP(2,1/(BallisticXGroups!$A$2:$A$200=$A22),BallisticXGroups!$E$2:$E$200),"")</f>
        <v/>
      </c>
      <c r="D22" s="227">
        <f>IFERROR(LOOKUP(2,1/(BallisticXGroups!$A$2:$A$200=$A22),BallisticXGroups!$G$2:$G$200),"")</f>
        <v/>
      </c>
      <c r="E22" s="227">
        <f>IFERROR(LOOKUP(2,1/(BallisticXGroups!$A$2:$A$200=$A22),BallisticXGroups!$H$2:$H$200),"")</f>
        <v/>
      </c>
      <c r="F22" s="227">
        <f>IFERROR(LOOKUP(2,1/(BallisticXGroups!$A$2:$A$200=$A22),BallisticXGroups!$I$2:$I$200),"")</f>
        <v/>
      </c>
      <c r="G22" s="227">
        <f>IFERROR(LOOKUP(2,1/(BallisticXGroups!$A$2:$A$200=$A22),BallisticXGroups!$J$2:$J$200),"")</f>
        <v/>
      </c>
      <c r="H22" s="227">
        <f>IFERROR(LOOKUP(2,1/(BallisticXGroups!$A$2:$A$200=$A22),BallisticXGroups!$K$2:$K$200),"")</f>
        <v/>
      </c>
      <c r="I22" s="227">
        <f>IFERROR(LOOKUP(2,1/(BallisticXGroups!$A$2:$A$200=$A22),BallisticXGroups!$L$2:$L$200),"")</f>
        <v/>
      </c>
      <c r="J22" s="227">
        <f>IFERROR(LOOKUP(2,1/(BallisticXGroups!$A$2:$A$200=$A22),BallisticXGroups!$M$2:$M$200),"")</f>
        <v/>
      </c>
      <c r="K22" s="227">
        <f>IFERROR(LOOKUP(2,1/(BallisticXGroups!$A$2:$A$200=$A22),BallisticXGroups!$N$2:$N$200),"")</f>
        <v/>
      </c>
      <c r="L22" s="246">
        <f>IFERROR(LOOKUP(2,1/(BallisticXGroups!$A$2:$A$200=$A22),BallisticXGroups!$F$2:$F$200),"")</f>
        <v/>
      </c>
      <c r="M22" s="364" t="n"/>
    </row>
    <row r="23" ht="18.75" customHeight="1" s="141">
      <c r="A23" s="359" t="inlineStr">
        <is>
          <t>S7</t>
        </is>
      </c>
      <c r="B23" s="247">
        <f>IFERROR(LOOKUP(2,1/(BallisticXGroups!$A$2:$A$200=$A23),BallisticXGroups!$D$2:$D$200),"")</f>
        <v/>
      </c>
      <c r="C23" s="253">
        <f>IFERROR(LOOKUP(2,1/(BallisticXGroups!$A$2:$A$200=$A23),BallisticXGroups!$E$2:$E$200),"")</f>
        <v/>
      </c>
      <c r="D23" s="258">
        <f>IFERROR(LOOKUP(2,1/(BallisticXGroups!$A$2:$A$200=$A23),BallisticXGroups!$G$2:$G$200),"")</f>
        <v/>
      </c>
      <c r="E23" s="258">
        <f>IFERROR(LOOKUP(2,1/(BallisticXGroups!$A$2:$A$200=$A23),BallisticXGroups!$H$2:$H$200),"")</f>
        <v/>
      </c>
      <c r="F23" s="258">
        <f>IFERROR(LOOKUP(2,1/(BallisticXGroups!$A$2:$A$200=$A23),BallisticXGroups!$I$2:$I$200),"")</f>
        <v/>
      </c>
      <c r="G23" s="258">
        <f>IFERROR(LOOKUP(2,1/(BallisticXGroups!$A$2:$A$200=$A23),BallisticXGroups!$J$2:$J$200),"")</f>
        <v/>
      </c>
      <c r="H23" s="258">
        <f>IFERROR(LOOKUP(2,1/(BallisticXGroups!$A$2:$A$200=$A23),BallisticXGroups!$K$2:$K$200),"")</f>
        <v/>
      </c>
      <c r="I23" s="258">
        <f>IFERROR(LOOKUP(2,1/(BallisticXGroups!$A$2:$A$200=$A23),BallisticXGroups!$L$2:$L$200),"")</f>
        <v/>
      </c>
      <c r="J23" s="258">
        <f>IFERROR(LOOKUP(2,1/(BallisticXGroups!$A$2:$A$200=$A23),BallisticXGroups!$M$2:$M$200),"")</f>
        <v/>
      </c>
      <c r="K23" s="258">
        <f>IFERROR(LOOKUP(2,1/(BallisticXGroups!$A$2:$A$200=$A23),BallisticXGroups!$N$2:$N$200),"")</f>
        <v/>
      </c>
      <c r="L23" s="248">
        <f>IFERROR(LOOKUP(2,1/(BallisticXGroups!$A$2:$A$200=$A23),BallisticXGroups!$F$2:$F$200),"")</f>
        <v/>
      </c>
      <c r="M23" s="365" t="n"/>
    </row>
    <row r="24" ht="18.75" customHeight="1" s="141">
      <c r="A24" s="336" t="inlineStr">
        <is>
          <t>S8</t>
        </is>
      </c>
      <c r="B24" s="184">
        <f>IFERROR(LOOKUP(2,1/(BallisticXGroups!$A$2:$A$200=$A24),BallisticXGroups!$D$2:$D$200),"")</f>
        <v/>
      </c>
      <c r="C24" s="186">
        <f>IFERROR(LOOKUP(2,1/(BallisticXGroups!$A$2:$A$200=$A24),BallisticXGroups!$E$2:$E$200),"")</f>
        <v/>
      </c>
      <c r="D24" s="227">
        <f>IFERROR(LOOKUP(2,1/(BallisticXGroups!$A$2:$A$200=$A24),BallisticXGroups!$G$2:$G$200),"")</f>
        <v/>
      </c>
      <c r="E24" s="227">
        <f>IFERROR(LOOKUP(2,1/(BallisticXGroups!$A$2:$A$200=$A24),BallisticXGroups!$H$2:$H$200),"")</f>
        <v/>
      </c>
      <c r="F24" s="227">
        <f>IFERROR(LOOKUP(2,1/(BallisticXGroups!$A$2:$A$200=$A24),BallisticXGroups!$I$2:$I$200),"")</f>
        <v/>
      </c>
      <c r="G24" s="227">
        <f>IFERROR(LOOKUP(2,1/(BallisticXGroups!$A$2:$A$200=$A24),BallisticXGroups!$J$2:$J$200),"")</f>
        <v/>
      </c>
      <c r="H24" s="227">
        <f>IFERROR(LOOKUP(2,1/(BallisticXGroups!$A$2:$A$200=$A24),BallisticXGroups!$K$2:$K$200),"")</f>
        <v/>
      </c>
      <c r="I24" s="227">
        <f>IFERROR(LOOKUP(2,1/(BallisticXGroups!$A$2:$A$200=$A24),BallisticXGroups!$L$2:$L$200),"")</f>
        <v/>
      </c>
      <c r="J24" s="227">
        <f>IFERROR(LOOKUP(2,1/(BallisticXGroups!$A$2:$A$200=$A24),BallisticXGroups!$M$2:$M$200),"")</f>
        <v/>
      </c>
      <c r="K24" s="227">
        <f>IFERROR(LOOKUP(2,1/(BallisticXGroups!$A$2:$A$200=$A24),BallisticXGroups!$N$2:$N$200),"")</f>
        <v/>
      </c>
      <c r="L24" s="246">
        <f>IFERROR(LOOKUP(2,1/(BallisticXGroups!$A$2:$A$200=$A24),BallisticXGroups!$F$2:$F$200),"")</f>
        <v/>
      </c>
      <c r="M24" s="364" t="n"/>
    </row>
    <row r="25" ht="18.75" customHeight="1" s="141">
      <c r="A25" s="359" t="inlineStr">
        <is>
          <t>S9</t>
        </is>
      </c>
      <c r="B25" s="247">
        <f>IFERROR(LOOKUP(2,1/(BallisticXGroups!$A$2:$A$200=$A25),BallisticXGroups!$D$2:$D$200),"")</f>
        <v/>
      </c>
      <c r="C25" s="253">
        <f>IFERROR(LOOKUP(2,1/(BallisticXGroups!$A$2:$A$200=$A25),BallisticXGroups!$E$2:$E$200),"")</f>
        <v/>
      </c>
      <c r="D25" s="258">
        <f>IFERROR(LOOKUP(2,1/(BallisticXGroups!$A$2:$A$200=$A25),BallisticXGroups!$G$2:$G$200),"")</f>
        <v/>
      </c>
      <c r="E25" s="258">
        <f>IFERROR(LOOKUP(2,1/(BallisticXGroups!$A$2:$A$200=$A25),BallisticXGroups!$H$2:$H$200),"")</f>
        <v/>
      </c>
      <c r="F25" s="258">
        <f>IFERROR(LOOKUP(2,1/(BallisticXGroups!$A$2:$A$200=$A25),BallisticXGroups!$I$2:$I$200),"")</f>
        <v/>
      </c>
      <c r="G25" s="258">
        <f>IFERROR(LOOKUP(2,1/(BallisticXGroups!$A$2:$A$200=$A25),BallisticXGroups!$J$2:$J$200),"")</f>
        <v/>
      </c>
      <c r="H25" s="258">
        <f>IFERROR(LOOKUP(2,1/(BallisticXGroups!$A$2:$A$200=$A25),BallisticXGroups!$K$2:$K$200),"")</f>
        <v/>
      </c>
      <c r="I25" s="258">
        <f>IFERROR(LOOKUP(2,1/(BallisticXGroups!$A$2:$A$200=$A25),BallisticXGroups!$L$2:$L$200),"")</f>
        <v/>
      </c>
      <c r="J25" s="258">
        <f>IFERROR(LOOKUP(2,1/(BallisticXGroups!$A$2:$A$200=$A25),BallisticXGroups!$M$2:$M$200),"")</f>
        <v/>
      </c>
      <c r="K25" s="258">
        <f>IFERROR(LOOKUP(2,1/(BallisticXGroups!$A$2:$A$200=$A25),BallisticXGroups!$N$2:$N$200),"")</f>
        <v/>
      </c>
      <c r="L25" s="248">
        <f>IFERROR(LOOKUP(2,1/(BallisticXGroups!$A$2:$A$200=$A25),BallisticXGroups!$F$2:$F$200),"")</f>
        <v/>
      </c>
      <c r="M25" s="365" t="n"/>
    </row>
    <row r="26" ht="18.75" customHeight="1" s="141">
      <c r="A26" s="336" t="inlineStr">
        <is>
          <t>S10</t>
        </is>
      </c>
      <c r="B26" s="184">
        <f>IFERROR(LOOKUP(2,1/(BallisticXGroups!$A$2:$A$200=$A26),BallisticXGroups!$D$2:$D$200),"")</f>
        <v/>
      </c>
      <c r="C26" s="186">
        <f>IFERROR(LOOKUP(2,1/(BallisticXGroups!$A$2:$A$200=$A26),BallisticXGroups!$E$2:$E$200),"")</f>
        <v/>
      </c>
      <c r="D26" s="227">
        <f>IFERROR(LOOKUP(2,1/(BallisticXGroups!$A$2:$A$200=$A26),BallisticXGroups!$G$2:$G$200),"")</f>
        <v/>
      </c>
      <c r="E26" s="227">
        <f>IFERROR(LOOKUP(2,1/(BallisticXGroups!$A$2:$A$200=$A26),BallisticXGroups!$H$2:$H$200),"")</f>
        <v/>
      </c>
      <c r="F26" s="227">
        <f>IFERROR(LOOKUP(2,1/(BallisticXGroups!$A$2:$A$200=$A26),BallisticXGroups!$I$2:$I$200),"")</f>
        <v/>
      </c>
      <c r="G26" s="227">
        <f>IFERROR(LOOKUP(2,1/(BallisticXGroups!$A$2:$A$200=$A26),BallisticXGroups!$J$2:$J$200),"")</f>
        <v/>
      </c>
      <c r="H26" s="227">
        <f>IFERROR(LOOKUP(2,1/(BallisticXGroups!$A$2:$A$200=$A26),BallisticXGroups!$K$2:$K$200),"")</f>
        <v/>
      </c>
      <c r="I26" s="227">
        <f>IFERROR(LOOKUP(2,1/(BallisticXGroups!$A$2:$A$200=$A26),BallisticXGroups!$L$2:$L$200),"")</f>
        <v/>
      </c>
      <c r="J26" s="227">
        <f>IFERROR(LOOKUP(2,1/(BallisticXGroups!$A$2:$A$200=$A26),BallisticXGroups!$M$2:$M$200),"")</f>
        <v/>
      </c>
      <c r="K26" s="227">
        <f>IFERROR(LOOKUP(2,1/(BallisticXGroups!$A$2:$A$200=$A26),BallisticXGroups!$N$2:$N$200),"")</f>
        <v/>
      </c>
      <c r="L26" s="246">
        <f>IFERROR(LOOKUP(2,1/(BallisticXGroups!$A$2:$A$200=$A26),BallisticXGroups!$F$2:$F$200),"")</f>
        <v/>
      </c>
      <c r="M26" s="364" t="n"/>
    </row>
    <row r="27" ht="7.5" customHeight="1" s="141">
      <c r="A27" s="309" t="n"/>
      <c r="B27" s="309" t="n"/>
      <c r="C27" s="309" t="n"/>
      <c r="D27" s="309" t="n"/>
      <c r="E27" s="309" t="n"/>
      <c r="F27" s="309" t="n"/>
      <c r="G27" s="309" t="n"/>
      <c r="H27" s="309" t="n"/>
      <c r="I27" s="309" t="n"/>
      <c r="J27" s="309" t="n"/>
      <c r="K27" s="309" t="n"/>
      <c r="L27" s="309" t="n"/>
      <c r="M27" s="309" t="n"/>
    </row>
    <row r="28" ht="21.75" customHeight="1" s="141">
      <c r="A28" s="360" t="inlineStr">
        <is>
          <t>FREE-FORM GROUP LOG  (confirmation groups, calibration, etc.)</t>
        </is>
      </c>
      <c r="B28" s="309" t="n"/>
      <c r="C28" s="309" t="n"/>
      <c r="D28" s="309" t="n"/>
      <c r="E28" s="309" t="n"/>
      <c r="F28" s="309" t="n"/>
      <c r="G28" s="309" t="n"/>
      <c r="H28" s="309" t="n"/>
      <c r="I28" s="309" t="n"/>
      <c r="J28" s="309" t="n"/>
      <c r="K28" s="309" t="n"/>
      <c r="L28" s="309" t="n"/>
      <c r="M28" s="309" t="n"/>
    </row>
    <row r="29" ht="18.75" customHeight="1" s="141">
      <c r="A29" s="366" t="n"/>
      <c r="B29" s="259">
        <f>IFERROR(LOOKUP(2,1/(BallisticXGroups!$A$2:$A$200=$A29),BallisticXGroups!$D$2:$D$200),"")</f>
        <v/>
      </c>
      <c r="C29" s="260">
        <f>IFERROR(LOOKUP(2,1/(BallisticXGroups!$A$2:$A$200=$A29),BallisticXGroups!$E$2:$E$200),"")</f>
        <v/>
      </c>
      <c r="D29" s="261">
        <f>IFERROR(LOOKUP(2,1/(BallisticXGroups!$A$2:$A$200=$A29),BallisticXGroups!$G$2:$G$200),"")</f>
        <v/>
      </c>
      <c r="E29" s="261">
        <f>IFERROR(LOOKUP(2,1/(BallisticXGroups!$A$2:$A$200=$A29),BallisticXGroups!$H$2:$H$200),"")</f>
        <v/>
      </c>
      <c r="F29" s="261">
        <f>IFERROR(LOOKUP(2,1/(BallisticXGroups!$A$2:$A$200=$A29),BallisticXGroups!$I$2:$I$200),"")</f>
        <v/>
      </c>
      <c r="G29" s="261">
        <f>IFERROR(LOOKUP(2,1/(BallisticXGroups!$A$2:$A$200=$A29),BallisticXGroups!$J$2:$J$200),"")</f>
        <v/>
      </c>
      <c r="H29" s="261">
        <f>IFERROR(LOOKUP(2,1/(BallisticXGroups!$A$2:$A$200=$A29),BallisticXGroups!$K$2:$K$200),"")</f>
        <v/>
      </c>
      <c r="I29" s="261">
        <f>IFERROR(LOOKUP(2,1/(BallisticXGroups!$A$2:$A$200=$A29),BallisticXGroups!$L$2:$L$200),"")</f>
        <v/>
      </c>
      <c r="J29" s="261">
        <f>IFERROR(LOOKUP(2,1/(BallisticXGroups!$A$2:$A$200=$A29),BallisticXGroups!$M$2:$M$200),"")</f>
        <v/>
      </c>
      <c r="K29" s="261">
        <f>IFERROR(LOOKUP(2,1/(BallisticXGroups!$A$2:$A$200=$A29),BallisticXGroups!$N$2:$N$200),"")</f>
        <v/>
      </c>
      <c r="L29" s="262">
        <f>IFERROR(LOOKUP(2,1/(BallisticXGroups!$A$2:$A$200=$A29),BallisticXGroups!$F$2:$F$200),"")</f>
        <v/>
      </c>
      <c r="M29" s="367" t="n"/>
    </row>
    <row r="30" ht="18.75" customHeight="1" s="141">
      <c r="A30" s="336" t="n"/>
      <c r="B30" s="184">
        <f>IFERROR(LOOKUP(2,1/(BallisticXGroups!$A$2:$A$200=$A30),BallisticXGroups!$D$2:$D$200),"")</f>
        <v/>
      </c>
      <c r="C30" s="186">
        <f>IFERROR(LOOKUP(2,1/(BallisticXGroups!$A$2:$A$200=$A30),BallisticXGroups!$E$2:$E$200),"")</f>
        <v/>
      </c>
      <c r="D30" s="227">
        <f>IFERROR(LOOKUP(2,1/(BallisticXGroups!$A$2:$A$200=$A30),BallisticXGroups!$G$2:$G$200),"")</f>
        <v/>
      </c>
      <c r="E30" s="227">
        <f>IFERROR(LOOKUP(2,1/(BallisticXGroups!$A$2:$A$200=$A30),BallisticXGroups!$H$2:$H$200),"")</f>
        <v/>
      </c>
      <c r="F30" s="227">
        <f>IFERROR(LOOKUP(2,1/(BallisticXGroups!$A$2:$A$200=$A30),BallisticXGroups!$I$2:$I$200),"")</f>
        <v/>
      </c>
      <c r="G30" s="227">
        <f>IFERROR(LOOKUP(2,1/(BallisticXGroups!$A$2:$A$200=$A30),BallisticXGroups!$J$2:$J$200),"")</f>
        <v/>
      </c>
      <c r="H30" s="227">
        <f>IFERROR(LOOKUP(2,1/(BallisticXGroups!$A$2:$A$200=$A30),BallisticXGroups!$K$2:$K$200),"")</f>
        <v/>
      </c>
      <c r="I30" s="227">
        <f>IFERROR(LOOKUP(2,1/(BallisticXGroups!$A$2:$A$200=$A30),BallisticXGroups!$L$2:$L$200),"")</f>
        <v/>
      </c>
      <c r="J30" s="227">
        <f>IFERROR(LOOKUP(2,1/(BallisticXGroups!$A$2:$A$200=$A30),BallisticXGroups!$M$2:$M$200),"")</f>
        <v/>
      </c>
      <c r="K30" s="227">
        <f>IFERROR(LOOKUP(2,1/(BallisticXGroups!$A$2:$A$200=$A30),BallisticXGroups!$N$2:$N$200),"")</f>
        <v/>
      </c>
      <c r="L30" s="246">
        <f>IFERROR(LOOKUP(2,1/(BallisticXGroups!$A$2:$A$200=$A30),BallisticXGroups!$F$2:$F$200),"")</f>
        <v/>
      </c>
      <c r="M30" s="364" t="n"/>
    </row>
    <row r="31" ht="18.75" customHeight="1" s="141">
      <c r="A31" s="366" t="n"/>
      <c r="B31" s="259">
        <f>IFERROR(LOOKUP(2,1/(BallisticXGroups!$A$2:$A$200=$A31),BallisticXGroups!$D$2:$D$200),"")</f>
        <v/>
      </c>
      <c r="C31" s="260">
        <f>IFERROR(LOOKUP(2,1/(BallisticXGroups!$A$2:$A$200=$A31),BallisticXGroups!$E$2:$E$200),"")</f>
        <v/>
      </c>
      <c r="D31" s="261">
        <f>IFERROR(LOOKUP(2,1/(BallisticXGroups!$A$2:$A$200=$A31),BallisticXGroups!$G$2:$G$200),"")</f>
        <v/>
      </c>
      <c r="E31" s="261">
        <f>IFERROR(LOOKUP(2,1/(BallisticXGroups!$A$2:$A$200=$A31),BallisticXGroups!$H$2:$H$200),"")</f>
        <v/>
      </c>
      <c r="F31" s="261">
        <f>IFERROR(LOOKUP(2,1/(BallisticXGroups!$A$2:$A$200=$A31),BallisticXGroups!$I$2:$I$200),"")</f>
        <v/>
      </c>
      <c r="G31" s="261">
        <f>IFERROR(LOOKUP(2,1/(BallisticXGroups!$A$2:$A$200=$A31),BallisticXGroups!$J$2:$J$200),"")</f>
        <v/>
      </c>
      <c r="H31" s="261">
        <f>IFERROR(LOOKUP(2,1/(BallisticXGroups!$A$2:$A$200=$A31),BallisticXGroups!$K$2:$K$200),"")</f>
        <v/>
      </c>
      <c r="I31" s="261">
        <f>IFERROR(LOOKUP(2,1/(BallisticXGroups!$A$2:$A$200=$A31),BallisticXGroups!$L$2:$L$200),"")</f>
        <v/>
      </c>
      <c r="J31" s="261">
        <f>IFERROR(LOOKUP(2,1/(BallisticXGroups!$A$2:$A$200=$A31),BallisticXGroups!$M$2:$M$200),"")</f>
        <v/>
      </c>
      <c r="K31" s="261">
        <f>IFERROR(LOOKUP(2,1/(BallisticXGroups!$A$2:$A$200=$A31),BallisticXGroups!$N$2:$N$200),"")</f>
        <v/>
      </c>
      <c r="L31" s="262">
        <f>IFERROR(LOOKUP(2,1/(BallisticXGroups!$A$2:$A$200=$A31),BallisticXGroups!$F$2:$F$200),"")</f>
        <v/>
      </c>
      <c r="M31" s="367" t="n"/>
    </row>
    <row r="32" ht="18.75" customHeight="1" s="141">
      <c r="A32" s="336" t="n"/>
      <c r="B32" s="184">
        <f>IFERROR(LOOKUP(2,1/(BallisticXGroups!$A$2:$A$200=$A32),BallisticXGroups!$D$2:$D$200),"")</f>
        <v/>
      </c>
      <c r="C32" s="186">
        <f>IFERROR(LOOKUP(2,1/(BallisticXGroups!$A$2:$A$200=$A32),BallisticXGroups!$E$2:$E$200),"")</f>
        <v/>
      </c>
      <c r="D32" s="227">
        <f>IFERROR(LOOKUP(2,1/(BallisticXGroups!$A$2:$A$200=$A32),BallisticXGroups!$G$2:$G$200),"")</f>
        <v/>
      </c>
      <c r="E32" s="227">
        <f>IFERROR(LOOKUP(2,1/(BallisticXGroups!$A$2:$A$200=$A32),BallisticXGroups!$H$2:$H$200),"")</f>
        <v/>
      </c>
      <c r="F32" s="227">
        <f>IFERROR(LOOKUP(2,1/(BallisticXGroups!$A$2:$A$200=$A32),BallisticXGroups!$I$2:$I$200),"")</f>
        <v/>
      </c>
      <c r="G32" s="227">
        <f>IFERROR(LOOKUP(2,1/(BallisticXGroups!$A$2:$A$200=$A32),BallisticXGroups!$J$2:$J$200),"")</f>
        <v/>
      </c>
      <c r="H32" s="227">
        <f>IFERROR(LOOKUP(2,1/(BallisticXGroups!$A$2:$A$200=$A32),BallisticXGroups!$K$2:$K$200),"")</f>
        <v/>
      </c>
      <c r="I32" s="227">
        <f>IFERROR(LOOKUP(2,1/(BallisticXGroups!$A$2:$A$200=$A32),BallisticXGroups!$L$2:$L$200),"")</f>
        <v/>
      </c>
      <c r="J32" s="227">
        <f>IFERROR(LOOKUP(2,1/(BallisticXGroups!$A$2:$A$200=$A32),BallisticXGroups!$M$2:$M$200),"")</f>
        <v/>
      </c>
      <c r="K32" s="227">
        <f>IFERROR(LOOKUP(2,1/(BallisticXGroups!$A$2:$A$200=$A32),BallisticXGroups!$N$2:$N$200),"")</f>
        <v/>
      </c>
      <c r="L32" s="246">
        <f>IFERROR(LOOKUP(2,1/(BallisticXGroups!$A$2:$A$200=$A32),BallisticXGroups!$F$2:$F$200),"")</f>
        <v/>
      </c>
      <c r="M32" s="364" t="n"/>
    </row>
    <row r="33" ht="18.75" customHeight="1" s="141">
      <c r="A33" s="366" t="n"/>
      <c r="B33" s="259">
        <f>IFERROR(LOOKUP(2,1/(BallisticXGroups!$A$2:$A$200=$A33),BallisticXGroups!$D$2:$D$200),"")</f>
        <v/>
      </c>
      <c r="C33" s="260">
        <f>IFERROR(LOOKUP(2,1/(BallisticXGroups!$A$2:$A$200=$A33),BallisticXGroups!$E$2:$E$200),"")</f>
        <v/>
      </c>
      <c r="D33" s="261">
        <f>IFERROR(LOOKUP(2,1/(BallisticXGroups!$A$2:$A$200=$A33),BallisticXGroups!$G$2:$G$200),"")</f>
        <v/>
      </c>
      <c r="E33" s="261">
        <f>IFERROR(LOOKUP(2,1/(BallisticXGroups!$A$2:$A$200=$A33),BallisticXGroups!$H$2:$H$200),"")</f>
        <v/>
      </c>
      <c r="F33" s="261">
        <f>IFERROR(LOOKUP(2,1/(BallisticXGroups!$A$2:$A$200=$A33),BallisticXGroups!$I$2:$I$200),"")</f>
        <v/>
      </c>
      <c r="G33" s="261">
        <f>IFERROR(LOOKUP(2,1/(BallisticXGroups!$A$2:$A$200=$A33),BallisticXGroups!$J$2:$J$200),"")</f>
        <v/>
      </c>
      <c r="H33" s="261">
        <f>IFERROR(LOOKUP(2,1/(BallisticXGroups!$A$2:$A$200=$A33),BallisticXGroups!$K$2:$K$200),"")</f>
        <v/>
      </c>
      <c r="I33" s="261">
        <f>IFERROR(LOOKUP(2,1/(BallisticXGroups!$A$2:$A$200=$A33),BallisticXGroups!$L$2:$L$200),"")</f>
        <v/>
      </c>
      <c r="J33" s="261">
        <f>IFERROR(LOOKUP(2,1/(BallisticXGroups!$A$2:$A$200=$A33),BallisticXGroups!$M$2:$M$200),"")</f>
        <v/>
      </c>
      <c r="K33" s="261">
        <f>IFERROR(LOOKUP(2,1/(BallisticXGroups!$A$2:$A$200=$A33),BallisticXGroups!$N$2:$N$200),"")</f>
        <v/>
      </c>
      <c r="L33" s="262">
        <f>IFERROR(LOOKUP(2,1/(BallisticXGroups!$A$2:$A$200=$A33),BallisticXGroups!$F$2:$F$200),"")</f>
        <v/>
      </c>
      <c r="M33" s="367" t="n"/>
    </row>
    <row r="34" ht="18.75" customHeight="1" s="141">
      <c r="A34" s="336" t="n"/>
      <c r="B34" s="184">
        <f>IFERROR(LOOKUP(2,1/(BallisticXGroups!$A$2:$A$200=$A34),BallisticXGroups!$D$2:$D$200),"")</f>
        <v/>
      </c>
      <c r="C34" s="186">
        <f>IFERROR(LOOKUP(2,1/(BallisticXGroups!$A$2:$A$200=$A34),BallisticXGroups!$E$2:$E$200),"")</f>
        <v/>
      </c>
      <c r="D34" s="227">
        <f>IFERROR(LOOKUP(2,1/(BallisticXGroups!$A$2:$A$200=$A34),BallisticXGroups!$G$2:$G$200),"")</f>
        <v/>
      </c>
      <c r="E34" s="227">
        <f>IFERROR(LOOKUP(2,1/(BallisticXGroups!$A$2:$A$200=$A34),BallisticXGroups!$H$2:$H$200),"")</f>
        <v/>
      </c>
      <c r="F34" s="227">
        <f>IFERROR(LOOKUP(2,1/(BallisticXGroups!$A$2:$A$200=$A34),BallisticXGroups!$I$2:$I$200),"")</f>
        <v/>
      </c>
      <c r="G34" s="227">
        <f>IFERROR(LOOKUP(2,1/(BallisticXGroups!$A$2:$A$200=$A34),BallisticXGroups!$J$2:$J$200),"")</f>
        <v/>
      </c>
      <c r="H34" s="227">
        <f>IFERROR(LOOKUP(2,1/(BallisticXGroups!$A$2:$A$200=$A34),BallisticXGroups!$K$2:$K$200),"")</f>
        <v/>
      </c>
      <c r="I34" s="227">
        <f>IFERROR(LOOKUP(2,1/(BallisticXGroups!$A$2:$A$200=$A34),BallisticXGroups!$L$2:$L$200),"")</f>
        <v/>
      </c>
      <c r="J34" s="227">
        <f>IFERROR(LOOKUP(2,1/(BallisticXGroups!$A$2:$A$200=$A34),BallisticXGroups!$M$2:$M$200),"")</f>
        <v/>
      </c>
      <c r="K34" s="227">
        <f>IFERROR(LOOKUP(2,1/(BallisticXGroups!$A$2:$A$200=$A34),BallisticXGroups!$N$2:$N$200),"")</f>
        <v/>
      </c>
      <c r="L34" s="246">
        <f>IFERROR(LOOKUP(2,1/(BallisticXGroups!$A$2:$A$200=$A34),BallisticXGroups!$F$2:$F$200),"")</f>
        <v/>
      </c>
      <c r="M34" s="364" t="n"/>
    </row>
    <row r="35" ht="18.75" customHeight="1" s="141">
      <c r="A35" s="366" t="n"/>
      <c r="B35" s="259">
        <f>IFERROR(LOOKUP(2,1/(BallisticXGroups!$A$2:$A$200=$A35),BallisticXGroups!$D$2:$D$200),"")</f>
        <v/>
      </c>
      <c r="C35" s="260">
        <f>IFERROR(LOOKUP(2,1/(BallisticXGroups!$A$2:$A$200=$A35),BallisticXGroups!$E$2:$E$200),"")</f>
        <v/>
      </c>
      <c r="D35" s="261">
        <f>IFERROR(LOOKUP(2,1/(BallisticXGroups!$A$2:$A$200=$A35),BallisticXGroups!$G$2:$G$200),"")</f>
        <v/>
      </c>
      <c r="E35" s="261">
        <f>IFERROR(LOOKUP(2,1/(BallisticXGroups!$A$2:$A$200=$A35),BallisticXGroups!$H$2:$H$200),"")</f>
        <v/>
      </c>
      <c r="F35" s="261">
        <f>IFERROR(LOOKUP(2,1/(BallisticXGroups!$A$2:$A$200=$A35),BallisticXGroups!$I$2:$I$200),"")</f>
        <v/>
      </c>
      <c r="G35" s="261">
        <f>IFERROR(LOOKUP(2,1/(BallisticXGroups!$A$2:$A$200=$A35),BallisticXGroups!$J$2:$J$200),"")</f>
        <v/>
      </c>
      <c r="H35" s="261">
        <f>IFERROR(LOOKUP(2,1/(BallisticXGroups!$A$2:$A$200=$A35),BallisticXGroups!$K$2:$K$200),"")</f>
        <v/>
      </c>
      <c r="I35" s="261">
        <f>IFERROR(LOOKUP(2,1/(BallisticXGroups!$A$2:$A$200=$A35),BallisticXGroups!$L$2:$L$200),"")</f>
        <v/>
      </c>
      <c r="J35" s="261">
        <f>IFERROR(LOOKUP(2,1/(BallisticXGroups!$A$2:$A$200=$A35),BallisticXGroups!$M$2:$M$200),"")</f>
        <v/>
      </c>
      <c r="K35" s="261">
        <f>IFERROR(LOOKUP(2,1/(BallisticXGroups!$A$2:$A$200=$A35),BallisticXGroups!$N$2:$N$200),"")</f>
        <v/>
      </c>
      <c r="L35" s="262">
        <f>IFERROR(LOOKUP(2,1/(BallisticXGroups!$A$2:$A$200=$A35),BallisticXGroups!$F$2:$F$200),"")</f>
        <v/>
      </c>
      <c r="M35" s="367" t="n"/>
    </row>
    <row r="36" ht="18.75" customHeight="1" s="141">
      <c r="A36" s="336" t="n"/>
      <c r="B36" s="184">
        <f>IFERROR(LOOKUP(2,1/(BallisticXGroups!$A$2:$A$200=$A36),BallisticXGroups!$D$2:$D$200),"")</f>
        <v/>
      </c>
      <c r="C36" s="186">
        <f>IFERROR(LOOKUP(2,1/(BallisticXGroups!$A$2:$A$200=$A36),BallisticXGroups!$E$2:$E$200),"")</f>
        <v/>
      </c>
      <c r="D36" s="227">
        <f>IFERROR(LOOKUP(2,1/(BallisticXGroups!$A$2:$A$200=$A36),BallisticXGroups!$G$2:$G$200),"")</f>
        <v/>
      </c>
      <c r="E36" s="227">
        <f>IFERROR(LOOKUP(2,1/(BallisticXGroups!$A$2:$A$200=$A36),BallisticXGroups!$H$2:$H$200),"")</f>
        <v/>
      </c>
      <c r="F36" s="227">
        <f>IFERROR(LOOKUP(2,1/(BallisticXGroups!$A$2:$A$200=$A36),BallisticXGroups!$I$2:$I$200),"")</f>
        <v/>
      </c>
      <c r="G36" s="227">
        <f>IFERROR(LOOKUP(2,1/(BallisticXGroups!$A$2:$A$200=$A36),BallisticXGroups!$J$2:$J$200),"")</f>
        <v/>
      </c>
      <c r="H36" s="227">
        <f>IFERROR(LOOKUP(2,1/(BallisticXGroups!$A$2:$A$200=$A36),BallisticXGroups!$K$2:$K$200),"")</f>
        <v/>
      </c>
      <c r="I36" s="227">
        <f>IFERROR(LOOKUP(2,1/(BallisticXGroups!$A$2:$A$200=$A36),BallisticXGroups!$L$2:$L$200),"")</f>
        <v/>
      </c>
      <c r="J36" s="227">
        <f>IFERROR(LOOKUP(2,1/(BallisticXGroups!$A$2:$A$200=$A36),BallisticXGroups!$M$2:$M$200),"")</f>
        <v/>
      </c>
      <c r="K36" s="227">
        <f>IFERROR(LOOKUP(2,1/(BallisticXGroups!$A$2:$A$200=$A36),BallisticXGroups!$N$2:$N$200),"")</f>
        <v/>
      </c>
      <c r="L36" s="246">
        <f>IFERROR(LOOKUP(2,1/(BallisticXGroups!$A$2:$A$200=$A36),BallisticXGroups!$F$2:$F$200),"")</f>
        <v/>
      </c>
      <c r="M36" s="364" t="n"/>
    </row>
    <row r="37" ht="18.75" customHeight="1" s="141">
      <c r="A37" s="366" t="n"/>
      <c r="B37" s="259">
        <f>IFERROR(LOOKUP(2,1/(BallisticXGroups!$A$2:$A$200=$A37),BallisticXGroups!$D$2:$D$200),"")</f>
        <v/>
      </c>
      <c r="C37" s="260">
        <f>IFERROR(LOOKUP(2,1/(BallisticXGroups!$A$2:$A$200=$A37),BallisticXGroups!$E$2:$E$200),"")</f>
        <v/>
      </c>
      <c r="D37" s="261">
        <f>IFERROR(LOOKUP(2,1/(BallisticXGroups!$A$2:$A$200=$A37),BallisticXGroups!$G$2:$G$200),"")</f>
        <v/>
      </c>
      <c r="E37" s="261">
        <f>IFERROR(LOOKUP(2,1/(BallisticXGroups!$A$2:$A$200=$A37),BallisticXGroups!$H$2:$H$200),"")</f>
        <v/>
      </c>
      <c r="F37" s="261">
        <f>IFERROR(LOOKUP(2,1/(BallisticXGroups!$A$2:$A$200=$A37),BallisticXGroups!$I$2:$I$200),"")</f>
        <v/>
      </c>
      <c r="G37" s="261">
        <f>IFERROR(LOOKUP(2,1/(BallisticXGroups!$A$2:$A$200=$A37),BallisticXGroups!$J$2:$J$200),"")</f>
        <v/>
      </c>
      <c r="H37" s="261">
        <f>IFERROR(LOOKUP(2,1/(BallisticXGroups!$A$2:$A$200=$A37),BallisticXGroups!$K$2:$K$200),"")</f>
        <v/>
      </c>
      <c r="I37" s="261">
        <f>IFERROR(LOOKUP(2,1/(BallisticXGroups!$A$2:$A$200=$A37),BallisticXGroups!$L$2:$L$200),"")</f>
        <v/>
      </c>
      <c r="J37" s="261">
        <f>IFERROR(LOOKUP(2,1/(BallisticXGroups!$A$2:$A$200=$A37),BallisticXGroups!$M$2:$M$200),"")</f>
        <v/>
      </c>
      <c r="K37" s="261">
        <f>IFERROR(LOOKUP(2,1/(BallisticXGroups!$A$2:$A$200=$A37),BallisticXGroups!$N$2:$N$200),"")</f>
        <v/>
      </c>
      <c r="L37" s="262">
        <f>IFERROR(LOOKUP(2,1/(BallisticXGroups!$A$2:$A$200=$A37),BallisticXGroups!$F$2:$F$200),"")</f>
        <v/>
      </c>
      <c r="M37" s="367" t="n"/>
    </row>
    <row r="38" ht="18.75" customHeight="1" s="141">
      <c r="A38" s="336" t="n"/>
      <c r="B38" s="184">
        <f>IFERROR(LOOKUP(2,1/(BallisticXGroups!$A$2:$A$200=$A38),BallisticXGroups!$D$2:$D$200),"")</f>
        <v/>
      </c>
      <c r="C38" s="186">
        <f>IFERROR(LOOKUP(2,1/(BallisticXGroups!$A$2:$A$200=$A38),BallisticXGroups!$E$2:$E$200),"")</f>
        <v/>
      </c>
      <c r="D38" s="227">
        <f>IFERROR(LOOKUP(2,1/(BallisticXGroups!$A$2:$A$200=$A38),BallisticXGroups!$G$2:$G$200),"")</f>
        <v/>
      </c>
      <c r="E38" s="227">
        <f>IFERROR(LOOKUP(2,1/(BallisticXGroups!$A$2:$A$200=$A38),BallisticXGroups!$H$2:$H$200),"")</f>
        <v/>
      </c>
      <c r="F38" s="227">
        <f>IFERROR(LOOKUP(2,1/(BallisticXGroups!$A$2:$A$200=$A38),BallisticXGroups!$I$2:$I$200),"")</f>
        <v/>
      </c>
      <c r="G38" s="227">
        <f>IFERROR(LOOKUP(2,1/(BallisticXGroups!$A$2:$A$200=$A38),BallisticXGroups!$J$2:$J$200),"")</f>
        <v/>
      </c>
      <c r="H38" s="227">
        <f>IFERROR(LOOKUP(2,1/(BallisticXGroups!$A$2:$A$200=$A38),BallisticXGroups!$K$2:$K$200),"")</f>
        <v/>
      </c>
      <c r="I38" s="227">
        <f>IFERROR(LOOKUP(2,1/(BallisticXGroups!$A$2:$A$200=$A38),BallisticXGroups!$L$2:$L$200),"")</f>
        <v/>
      </c>
      <c r="J38" s="227">
        <f>IFERROR(LOOKUP(2,1/(BallisticXGroups!$A$2:$A$200=$A38),BallisticXGroups!$M$2:$M$200),"")</f>
        <v/>
      </c>
      <c r="K38" s="227">
        <f>IFERROR(LOOKUP(2,1/(BallisticXGroups!$A$2:$A$200=$A38),BallisticXGroups!$N$2:$N$200),"")</f>
        <v/>
      </c>
      <c r="L38" s="246">
        <f>IFERROR(LOOKUP(2,1/(BallisticXGroups!$A$2:$A$200=$A38),BallisticXGroups!$F$2:$F$200),"")</f>
        <v/>
      </c>
      <c r="M38" s="364" t="n"/>
    </row>
    <row r="39" ht="18.75" customHeight="1" s="141">
      <c r="A39" s="366" t="n"/>
      <c r="B39" s="259">
        <f>IFERROR(LOOKUP(2,1/(BallisticXGroups!$A$2:$A$200=$A39),BallisticXGroups!$D$2:$D$200),"")</f>
        <v/>
      </c>
      <c r="C39" s="260">
        <f>IFERROR(LOOKUP(2,1/(BallisticXGroups!$A$2:$A$200=$A39),BallisticXGroups!$E$2:$E$200),"")</f>
        <v/>
      </c>
      <c r="D39" s="261">
        <f>IFERROR(LOOKUP(2,1/(BallisticXGroups!$A$2:$A$200=$A39),BallisticXGroups!$G$2:$G$200),"")</f>
        <v/>
      </c>
      <c r="E39" s="261">
        <f>IFERROR(LOOKUP(2,1/(BallisticXGroups!$A$2:$A$200=$A39),BallisticXGroups!$H$2:$H$200),"")</f>
        <v/>
      </c>
      <c r="F39" s="261">
        <f>IFERROR(LOOKUP(2,1/(BallisticXGroups!$A$2:$A$200=$A39),BallisticXGroups!$I$2:$I$200),"")</f>
        <v/>
      </c>
      <c r="G39" s="261">
        <f>IFERROR(LOOKUP(2,1/(BallisticXGroups!$A$2:$A$200=$A39),BallisticXGroups!$J$2:$J$200),"")</f>
        <v/>
      </c>
      <c r="H39" s="261">
        <f>IFERROR(LOOKUP(2,1/(BallisticXGroups!$A$2:$A$200=$A39),BallisticXGroups!$K$2:$K$200),"")</f>
        <v/>
      </c>
      <c r="I39" s="261">
        <f>IFERROR(LOOKUP(2,1/(BallisticXGroups!$A$2:$A$200=$A39),BallisticXGroups!$L$2:$L$200),"")</f>
        <v/>
      </c>
      <c r="J39" s="261">
        <f>IFERROR(LOOKUP(2,1/(BallisticXGroups!$A$2:$A$200=$A39),BallisticXGroups!$M$2:$M$200),"")</f>
        <v/>
      </c>
      <c r="K39" s="261">
        <f>IFERROR(LOOKUP(2,1/(BallisticXGroups!$A$2:$A$200=$A39),BallisticXGroups!$N$2:$N$200),"")</f>
        <v/>
      </c>
      <c r="L39" s="262">
        <f>IFERROR(LOOKUP(2,1/(BallisticXGroups!$A$2:$A$200=$A39),BallisticXGroups!$F$2:$F$200),"")</f>
        <v/>
      </c>
      <c r="M39" s="367" t="n"/>
    </row>
    <row r="40" ht="18.75" customHeight="1" s="141">
      <c r="A40" s="336" t="n"/>
      <c r="B40" s="184">
        <f>IFERROR(LOOKUP(2,1/(BallisticXGroups!$A$2:$A$200=$A40),BallisticXGroups!$D$2:$D$200),"")</f>
        <v/>
      </c>
      <c r="C40" s="186">
        <f>IFERROR(LOOKUP(2,1/(BallisticXGroups!$A$2:$A$200=$A40),BallisticXGroups!$E$2:$E$200),"")</f>
        <v/>
      </c>
      <c r="D40" s="227">
        <f>IFERROR(LOOKUP(2,1/(BallisticXGroups!$A$2:$A$200=$A40),BallisticXGroups!$G$2:$G$200),"")</f>
        <v/>
      </c>
      <c r="E40" s="227">
        <f>IFERROR(LOOKUP(2,1/(BallisticXGroups!$A$2:$A$200=$A40),BallisticXGroups!$H$2:$H$200),"")</f>
        <v/>
      </c>
      <c r="F40" s="227">
        <f>IFERROR(LOOKUP(2,1/(BallisticXGroups!$A$2:$A$200=$A40),BallisticXGroups!$I$2:$I$200),"")</f>
        <v/>
      </c>
      <c r="G40" s="227">
        <f>IFERROR(LOOKUP(2,1/(BallisticXGroups!$A$2:$A$200=$A40),BallisticXGroups!$J$2:$J$200),"")</f>
        <v/>
      </c>
      <c r="H40" s="227">
        <f>IFERROR(LOOKUP(2,1/(BallisticXGroups!$A$2:$A$200=$A40),BallisticXGroups!$K$2:$K$200),"")</f>
        <v/>
      </c>
      <c r="I40" s="227">
        <f>IFERROR(LOOKUP(2,1/(BallisticXGroups!$A$2:$A$200=$A40),BallisticXGroups!$L$2:$L$200),"")</f>
        <v/>
      </c>
      <c r="J40" s="227">
        <f>IFERROR(LOOKUP(2,1/(BallisticXGroups!$A$2:$A$200=$A40),BallisticXGroups!$M$2:$M$200),"")</f>
        <v/>
      </c>
      <c r="K40" s="227">
        <f>IFERROR(LOOKUP(2,1/(BallisticXGroups!$A$2:$A$200=$A40),BallisticXGroups!$N$2:$N$200),"")</f>
        <v/>
      </c>
      <c r="L40" s="246">
        <f>IFERROR(LOOKUP(2,1/(BallisticXGroups!$A$2:$A$200=$A40),BallisticXGroups!$F$2:$F$200),"")</f>
        <v/>
      </c>
      <c r="M40" s="364" t="n"/>
    </row>
    <row r="41" ht="18.75" customHeight="1" s="141">
      <c r="A41" s="366" t="n"/>
      <c r="B41" s="259">
        <f>IFERROR(LOOKUP(2,1/(BallisticXGroups!$A$2:$A$200=$A41),BallisticXGroups!$D$2:$D$200),"")</f>
        <v/>
      </c>
      <c r="C41" s="260">
        <f>IFERROR(LOOKUP(2,1/(BallisticXGroups!$A$2:$A$200=$A41),BallisticXGroups!$E$2:$E$200),"")</f>
        <v/>
      </c>
      <c r="D41" s="261">
        <f>IFERROR(LOOKUP(2,1/(BallisticXGroups!$A$2:$A$200=$A41),BallisticXGroups!$G$2:$G$200),"")</f>
        <v/>
      </c>
      <c r="E41" s="261">
        <f>IFERROR(LOOKUP(2,1/(BallisticXGroups!$A$2:$A$200=$A41),BallisticXGroups!$H$2:$H$200),"")</f>
        <v/>
      </c>
      <c r="F41" s="261">
        <f>IFERROR(LOOKUP(2,1/(BallisticXGroups!$A$2:$A$200=$A41),BallisticXGroups!$I$2:$I$200),"")</f>
        <v/>
      </c>
      <c r="G41" s="261">
        <f>IFERROR(LOOKUP(2,1/(BallisticXGroups!$A$2:$A$200=$A41),BallisticXGroups!$J$2:$J$200),"")</f>
        <v/>
      </c>
      <c r="H41" s="261">
        <f>IFERROR(LOOKUP(2,1/(BallisticXGroups!$A$2:$A$200=$A41),BallisticXGroups!$K$2:$K$200),"")</f>
        <v/>
      </c>
      <c r="I41" s="261">
        <f>IFERROR(LOOKUP(2,1/(BallisticXGroups!$A$2:$A$200=$A41),BallisticXGroups!$L$2:$L$200),"")</f>
        <v/>
      </c>
      <c r="J41" s="261">
        <f>IFERROR(LOOKUP(2,1/(BallisticXGroups!$A$2:$A$200=$A41),BallisticXGroups!$M$2:$M$200),"")</f>
        <v/>
      </c>
      <c r="K41" s="261">
        <f>IFERROR(LOOKUP(2,1/(BallisticXGroups!$A$2:$A$200=$A41),BallisticXGroups!$N$2:$N$200),"")</f>
        <v/>
      </c>
      <c r="L41" s="262">
        <f>IFERROR(LOOKUP(2,1/(BallisticXGroups!$A$2:$A$200=$A41),BallisticXGroups!$F$2:$F$200),"")</f>
        <v/>
      </c>
      <c r="M41" s="367" t="n"/>
    </row>
    <row r="42" ht="18.75" customHeight="1" s="141">
      <c r="A42" s="336" t="n"/>
      <c r="B42" s="184">
        <f>IFERROR(LOOKUP(2,1/(BallisticXGroups!$A$2:$A$200=$A42),BallisticXGroups!$D$2:$D$200),"")</f>
        <v/>
      </c>
      <c r="C42" s="186">
        <f>IFERROR(LOOKUP(2,1/(BallisticXGroups!$A$2:$A$200=$A42),BallisticXGroups!$E$2:$E$200),"")</f>
        <v/>
      </c>
      <c r="D42" s="227">
        <f>IFERROR(LOOKUP(2,1/(BallisticXGroups!$A$2:$A$200=$A42),BallisticXGroups!$G$2:$G$200),"")</f>
        <v/>
      </c>
      <c r="E42" s="227">
        <f>IFERROR(LOOKUP(2,1/(BallisticXGroups!$A$2:$A$200=$A42),BallisticXGroups!$H$2:$H$200),"")</f>
        <v/>
      </c>
      <c r="F42" s="227">
        <f>IFERROR(LOOKUP(2,1/(BallisticXGroups!$A$2:$A$200=$A42),BallisticXGroups!$I$2:$I$200),"")</f>
        <v/>
      </c>
      <c r="G42" s="227">
        <f>IFERROR(LOOKUP(2,1/(BallisticXGroups!$A$2:$A$200=$A42),BallisticXGroups!$J$2:$J$200),"")</f>
        <v/>
      </c>
      <c r="H42" s="227">
        <f>IFERROR(LOOKUP(2,1/(BallisticXGroups!$A$2:$A$200=$A42),BallisticXGroups!$K$2:$K$200),"")</f>
        <v/>
      </c>
      <c r="I42" s="227">
        <f>IFERROR(LOOKUP(2,1/(BallisticXGroups!$A$2:$A$200=$A42),BallisticXGroups!$L$2:$L$200),"")</f>
        <v/>
      </c>
      <c r="J42" s="227">
        <f>IFERROR(LOOKUP(2,1/(BallisticXGroups!$A$2:$A$200=$A42),BallisticXGroups!$M$2:$M$200),"")</f>
        <v/>
      </c>
      <c r="K42" s="227">
        <f>IFERROR(LOOKUP(2,1/(BallisticXGroups!$A$2:$A$200=$A42),BallisticXGroups!$N$2:$N$200),"")</f>
        <v/>
      </c>
      <c r="L42" s="246">
        <f>IFERROR(LOOKUP(2,1/(BallisticXGroups!$A$2:$A$200=$A42),BallisticXGroups!$F$2:$F$200),"")</f>
        <v/>
      </c>
      <c r="M42" s="364" t="n"/>
    </row>
    <row r="43" ht="18.75" customHeight="1" s="141">
      <c r="A43" s="366" t="n"/>
      <c r="B43" s="259">
        <f>IFERROR(LOOKUP(2,1/(BallisticXGroups!$A$2:$A$200=$A43),BallisticXGroups!$D$2:$D$200),"")</f>
        <v/>
      </c>
      <c r="C43" s="260">
        <f>IFERROR(LOOKUP(2,1/(BallisticXGroups!$A$2:$A$200=$A43),BallisticXGroups!$E$2:$E$200),"")</f>
        <v/>
      </c>
      <c r="D43" s="261">
        <f>IFERROR(LOOKUP(2,1/(BallisticXGroups!$A$2:$A$200=$A43),BallisticXGroups!$G$2:$G$200),"")</f>
        <v/>
      </c>
      <c r="E43" s="261">
        <f>IFERROR(LOOKUP(2,1/(BallisticXGroups!$A$2:$A$200=$A43),BallisticXGroups!$H$2:$H$200),"")</f>
        <v/>
      </c>
      <c r="F43" s="261">
        <f>IFERROR(LOOKUP(2,1/(BallisticXGroups!$A$2:$A$200=$A43),BallisticXGroups!$I$2:$I$200),"")</f>
        <v/>
      </c>
      <c r="G43" s="261">
        <f>IFERROR(LOOKUP(2,1/(BallisticXGroups!$A$2:$A$200=$A43),BallisticXGroups!$J$2:$J$200),"")</f>
        <v/>
      </c>
      <c r="H43" s="261">
        <f>IFERROR(LOOKUP(2,1/(BallisticXGroups!$A$2:$A$200=$A43),BallisticXGroups!$K$2:$K$200),"")</f>
        <v/>
      </c>
      <c r="I43" s="261">
        <f>IFERROR(LOOKUP(2,1/(BallisticXGroups!$A$2:$A$200=$A43),BallisticXGroups!$L$2:$L$200),"")</f>
        <v/>
      </c>
      <c r="J43" s="261">
        <f>IFERROR(LOOKUP(2,1/(BallisticXGroups!$A$2:$A$200=$A43),BallisticXGroups!$M$2:$M$200),"")</f>
        <v/>
      </c>
      <c r="K43" s="261">
        <f>IFERROR(LOOKUP(2,1/(BallisticXGroups!$A$2:$A$200=$A43),BallisticXGroups!$N$2:$N$200),"")</f>
        <v/>
      </c>
      <c r="L43" s="262">
        <f>IFERROR(LOOKUP(2,1/(BallisticXGroups!$A$2:$A$200=$A43),BallisticXGroups!$F$2:$F$200),"")</f>
        <v/>
      </c>
      <c r="M43" s="367" t="n"/>
    </row>
    <row r="44">
      <c r="A44" s="309" t="n"/>
      <c r="B44" s="309" t="n"/>
      <c r="C44" s="309" t="n"/>
      <c r="D44" s="309" t="n"/>
      <c r="E44" s="309" t="n"/>
      <c r="F44" s="309" t="n"/>
      <c r="G44" s="309" t="n"/>
      <c r="H44" s="309" t="n"/>
      <c r="I44" s="309" t="n"/>
      <c r="J44" s="309" t="n"/>
      <c r="K44" s="309" t="n"/>
      <c r="L44" s="309" t="n"/>
      <c r="M44" s="309" t="n"/>
    </row>
    <row r="45" ht="21.75" customHeight="1" s="141">
      <c r="A45" s="361" t="inlineStr">
        <is>
          <t>HOW THE WIRING WORKS</t>
        </is>
      </c>
      <c r="B45" s="309" t="n"/>
      <c r="C45" s="309" t="n"/>
      <c r="D45" s="309" t="n"/>
      <c r="E45" s="309" t="n"/>
      <c r="F45" s="309" t="n"/>
      <c r="G45" s="309" t="n"/>
      <c r="H45" s="309" t="n"/>
      <c r="I45" s="309" t="n"/>
      <c r="J45" s="309" t="n"/>
      <c r="K45" s="309" t="n"/>
      <c r="L45" s="309" t="n"/>
      <c r="M45" s="309" t="n"/>
    </row>
    <row r="46" ht="21.75" customHeight="1" s="141">
      <c r="A46" s="362" t="inlineStr">
        <is>
          <t>After Power Query setup, this sheet pulls every group from your BallisticX CSVs.
Workflow:
  1. After shooting, in BallisticX, label each group with its tag (P1–P10 for powder ladder, S1–S10 for seating depth, anything for confirmation groups).
  2. Export BallisticX history as CSV → save into ~/Documents/Claude/Projects/Rifle Load Data/BallisticX Imports/
  3. In Excel: Data → Refresh All. This sheet auto-populates.
  4. Copy the Group, Mean Radius, and Height values from this sheet into the matching Load Log / Seating Depth row.
If you run "do phase 2" later, the Group / MR / Height cells on Load Log + SD will pull from this tab automatically by tag.</t>
        </is>
      </c>
      <c r="B46" s="309" t="n"/>
      <c r="C46" s="309" t="n"/>
      <c r="D46" s="309" t="n"/>
      <c r="E46" s="309" t="n"/>
      <c r="F46" s="309" t="n"/>
      <c r="G46" s="309" t="n"/>
      <c r="H46" s="309" t="n"/>
      <c r="I46" s="309" t="n"/>
      <c r="J46" s="309" t="n"/>
      <c r="K46" s="309" t="n"/>
      <c r="L46" s="309" t="n"/>
      <c r="M46" s="309" t="n"/>
    </row>
    <row r="47" ht="21.75" customHeight="1" s="141">
      <c r="A47" s="309" t="n"/>
      <c r="B47" s="309" t="n"/>
      <c r="C47" s="309" t="n"/>
      <c r="D47" s="309" t="n"/>
      <c r="E47" s="309" t="n"/>
      <c r="F47" s="309" t="n"/>
      <c r="G47" s="309" t="n"/>
      <c r="H47" s="309" t="n"/>
      <c r="I47" s="309" t="n"/>
      <c r="J47" s="309" t="n"/>
      <c r="K47" s="309" t="n"/>
      <c r="L47" s="309" t="n"/>
      <c r="M47" s="309" t="n"/>
    </row>
    <row r="48" ht="21.75" customHeight="1" s="141">
      <c r="A48" s="309" t="n"/>
      <c r="B48" s="309" t="n"/>
      <c r="C48" s="309" t="n"/>
      <c r="D48" s="309" t="n"/>
      <c r="E48" s="309" t="n"/>
      <c r="F48" s="309" t="n"/>
      <c r="G48" s="309" t="n"/>
      <c r="H48" s="309" t="n"/>
      <c r="I48" s="309" t="n"/>
      <c r="J48" s="309" t="n"/>
      <c r="K48" s="309" t="n"/>
      <c r="L48" s="309" t="n"/>
      <c r="M48" s="309" t="n"/>
    </row>
    <row r="49" ht="21.75" customHeight="1" s="141">
      <c r="A49" s="309" t="n"/>
      <c r="B49" s="309" t="n"/>
      <c r="C49" s="309" t="n"/>
      <c r="D49" s="309" t="n"/>
      <c r="E49" s="309" t="n"/>
      <c r="F49" s="309" t="n"/>
      <c r="G49" s="309" t="n"/>
      <c r="H49" s="309" t="n"/>
      <c r="I49" s="309" t="n"/>
      <c r="J49" s="309" t="n"/>
      <c r="K49" s="309" t="n"/>
      <c r="L49" s="309" t="n"/>
      <c r="M49" s="309" t="n"/>
    </row>
    <row r="50" ht="21.75" customHeight="1" s="141">
      <c r="A50" s="309" t="n"/>
      <c r="B50" s="309" t="n"/>
      <c r="C50" s="309" t="n"/>
      <c r="D50" s="309" t="n"/>
      <c r="E50" s="309" t="n"/>
      <c r="F50" s="309" t="n"/>
      <c r="G50" s="309" t="n"/>
      <c r="H50" s="309" t="n"/>
      <c r="I50" s="309" t="n"/>
      <c r="J50" s="309" t="n"/>
      <c r="K50" s="309" t="n"/>
      <c r="L50" s="309" t="n"/>
      <c r="M50" s="309" t="n"/>
    </row>
    <row r="51" ht="21.75" customHeight="1" s="141">
      <c r="A51" s="309" t="n"/>
      <c r="B51" s="309" t="n"/>
      <c r="C51" s="309" t="n"/>
      <c r="D51" s="309" t="n"/>
      <c r="E51" s="309" t="n"/>
      <c r="F51" s="309" t="n"/>
      <c r="G51" s="309" t="n"/>
      <c r="H51" s="309" t="n"/>
      <c r="I51" s="309" t="n"/>
      <c r="J51" s="309" t="n"/>
      <c r="K51" s="309" t="n"/>
      <c r="L51" s="309" t="n"/>
      <c r="M51" s="309" t="n"/>
    </row>
    <row r="52" ht="21.75" customHeight="1" s="141">
      <c r="A52" s="309" t="n"/>
      <c r="B52" s="309" t="n"/>
      <c r="C52" s="309" t="n"/>
      <c r="D52" s="309" t="n"/>
      <c r="E52" s="309" t="n"/>
      <c r="F52" s="309" t="n"/>
      <c r="G52" s="309" t="n"/>
      <c r="H52" s="309" t="n"/>
      <c r="I52" s="309" t="n"/>
      <c r="J52" s="309" t="n"/>
      <c r="K52" s="309" t="n"/>
      <c r="L52" s="309" t="n"/>
      <c r="M52" s="309" t="n"/>
    </row>
    <row r="53" ht="21.75" customHeight="1" s="141">
      <c r="A53" s="309" t="n"/>
      <c r="B53" s="309" t="n"/>
      <c r="C53" s="309" t="n"/>
      <c r="D53" s="309" t="n"/>
      <c r="E53" s="309" t="n"/>
      <c r="F53" s="309" t="n"/>
      <c r="G53" s="309" t="n"/>
      <c r="H53" s="309" t="n"/>
      <c r="I53" s="309" t="n"/>
      <c r="J53" s="309" t="n"/>
      <c r="K53" s="309" t="n"/>
      <c r="L53" s="309" t="n"/>
      <c r="M53" s="309" t="n"/>
    </row>
    <row r="54" ht="21.75" customHeight="1" s="141">
      <c r="A54" s="309" t="n"/>
      <c r="B54" s="309" t="n"/>
      <c r="C54" s="309" t="n"/>
      <c r="D54" s="309" t="n"/>
      <c r="E54" s="309" t="n"/>
      <c r="F54" s="309" t="n"/>
      <c r="G54" s="309" t="n"/>
      <c r="H54" s="309" t="n"/>
      <c r="I54" s="309" t="n"/>
      <c r="J54" s="309" t="n"/>
      <c r="K54" s="309" t="n"/>
      <c r="L54" s="309" t="n"/>
      <c r="M54" s="309" t="n"/>
    </row>
    <row r="55" ht="21.75" customHeight="1" s="141">
      <c r="A55" s="309" t="n"/>
      <c r="B55" s="309" t="n"/>
      <c r="C55" s="309" t="n"/>
      <c r="D55" s="309" t="n"/>
      <c r="E55" s="309" t="n"/>
      <c r="F55" s="309" t="n"/>
      <c r="G55" s="309" t="n"/>
      <c r="H55" s="309" t="n"/>
      <c r="I55" s="309" t="n"/>
      <c r="J55" s="309" t="n"/>
      <c r="K55" s="309" t="n"/>
      <c r="L55" s="309" t="n"/>
      <c r="M55" s="309" t="n"/>
    </row>
    <row r="56" ht="21.75" customHeight="1" s="141">
      <c r="A56" s="309" t="n"/>
      <c r="B56" s="309" t="n"/>
      <c r="C56" s="309" t="n"/>
      <c r="D56" s="309" t="n"/>
      <c r="E56" s="309" t="n"/>
      <c r="F56" s="309" t="n"/>
      <c r="G56" s="309" t="n"/>
      <c r="H56" s="309" t="n"/>
      <c r="I56" s="309" t="n"/>
      <c r="J56" s="309" t="n"/>
      <c r="K56" s="309" t="n"/>
      <c r="L56" s="309" t="n"/>
      <c r="M56" s="309" t="n"/>
    </row>
  </sheetData>
  <sheetProtection selectLockedCells="0" selectUnlockedCells="0" sheet="1" objects="0" insertRows="1" insertHyperlinks="1" autoFilter="0" scenarios="0" formatColumns="0" deleteColumns="1" insertColumns="1" pivotTables="1" deleteRows="1" formatCells="0" formatRows="0" sort="0"/>
  <mergeCells count="7">
    <mergeCell ref="A45:M45"/>
    <mergeCell ref="A1:M1"/>
    <mergeCell ref="A3:M3"/>
    <mergeCell ref="A46:M56"/>
    <mergeCell ref="A2:M2"/>
    <mergeCell ref="A16:M16"/>
    <mergeCell ref="A28:M28"/>
  </mergeCells>
  <printOptions horizontalCentered="1" verticalCentered="0" headings="0" gridLines="0" gridLinesSet="1"/>
  <pageMargins left="0.75" right="0.75" top="1" bottom="1"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7.xml><?xml version="1.0" encoding="utf-8"?>
<worksheet xmlns="http://schemas.openxmlformats.org/spreadsheetml/2006/main">
  <sheetPr filterMode="0">
    <outlinePr summaryBelow="1" summaryRight="1"/>
    <pageSetUpPr fitToPage="1"/>
  </sheetPr>
  <dimension ref="A1:Z19"/>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6796875" defaultRowHeight="15" customHeight="0" zeroHeight="0" outlineLevelRow="0"/>
  <cols>
    <col width="5" customWidth="1" style="140" min="1" max="1"/>
    <col width="12" customWidth="1" style="140" min="2" max="2"/>
    <col width="36" customWidth="1" style="140" min="3" max="3"/>
    <col width="22" customWidth="1" style="140" min="4" max="5"/>
    <col width="11" customWidth="1" style="140" min="6" max="6"/>
    <col width="9" customWidth="1" style="140" min="7" max="7"/>
    <col width="11" customWidth="1" style="140" min="8" max="8"/>
    <col width="12" customWidth="1" style="140" min="9" max="10"/>
    <col width="22" customWidth="1" style="140" min="11" max="11"/>
    <col width="11" customWidth="1" style="140" min="12" max="13"/>
    <col width="12" customWidth="1" style="140" min="14" max="14"/>
    <col width="9" customWidth="1" style="140" min="15" max="16"/>
    <col width="12" customWidth="1" style="140" min="17" max="17"/>
    <col width="8.43" customWidth="1" style="140" min="18" max="29"/>
  </cols>
  <sheetData>
    <row r="1" ht="31.5" customHeight="1" s="141">
      <c r="A1" s="316" t="inlineStr">
        <is>
          <t>Load Library — Confirmed Loads</t>
        </is>
      </c>
      <c r="B1" s="309" t="n"/>
      <c r="C1" s="309" t="n"/>
      <c r="D1" s="309" t="n"/>
      <c r="E1" s="309" t="n"/>
      <c r="F1" s="309" t="n"/>
      <c r="G1" s="309" t="n"/>
      <c r="H1" s="309" t="n"/>
      <c r="I1" s="309" t="n"/>
      <c r="J1" s="309" t="n"/>
      <c r="K1" s="309" t="n"/>
      <c r="L1" s="309" t="n"/>
      <c r="M1" s="309" t="n"/>
      <c r="N1" s="309" t="n"/>
      <c r="O1" s="309" t="n"/>
      <c r="P1" s="309" t="n"/>
      <c r="Q1" s="309" t="n"/>
      <c r="R1" s="317" t="n"/>
      <c r="S1" s="317" t="n"/>
      <c r="T1" s="317" t="n"/>
      <c r="U1" s="317" t="n"/>
      <c r="V1" s="317" t="n"/>
      <c r="W1" s="317" t="n"/>
      <c r="X1" s="317" t="n"/>
      <c r="Y1" s="317" t="n"/>
      <c r="Z1" s="317" t="n"/>
    </row>
    <row r="2" ht="27.75" customHeight="1" s="141">
      <c r="A2" s="356" t="inlineStr">
        <is>
          <t>CONFIRMED LOADS ONLY. After Load Log + Seating Depth produce a winner and you've shot a 5–10 shot confirmation group, fill in one row here. Hover any header for what to enter.</t>
        </is>
      </c>
      <c r="B2" s="309" t="n"/>
      <c r="C2" s="309" t="n"/>
      <c r="D2" s="309" t="n"/>
      <c r="E2" s="309" t="n"/>
      <c r="F2" s="309" t="n"/>
      <c r="G2" s="309" t="n"/>
      <c r="H2" s="309" t="n"/>
      <c r="I2" s="309" t="n"/>
      <c r="J2" s="309" t="n"/>
      <c r="K2" s="309" t="n"/>
      <c r="L2" s="309" t="n"/>
      <c r="M2" s="309" t="n"/>
      <c r="N2" s="309" t="n"/>
      <c r="O2" s="309" t="n"/>
      <c r="P2" s="309" t="n"/>
      <c r="Q2" s="309" t="n"/>
      <c r="R2" s="317" t="n"/>
      <c r="S2" s="317" t="n"/>
      <c r="T2" s="317" t="n"/>
      <c r="U2" s="317" t="n"/>
      <c r="V2" s="317" t="n"/>
      <c r="W2" s="317" t="n"/>
      <c r="X2" s="317" t="n"/>
      <c r="Y2" s="317" t="n"/>
      <c r="Z2" s="317" t="n"/>
    </row>
    <row r="3" ht="21.75" customHeight="1" s="141">
      <c r="A3" s="368" t="inlineStr">
        <is>
          <t>IDENTIFICATION</t>
        </is>
      </c>
      <c r="B3" s="309" t="n"/>
      <c r="C3" s="309" t="n"/>
      <c r="D3" s="309" t="n"/>
      <c r="E3" s="369" t="inlineStr">
        <is>
          <t>RECIPE</t>
        </is>
      </c>
      <c r="F3" s="309" t="n"/>
      <c r="G3" s="309" t="n"/>
      <c r="H3" s="309" t="n"/>
      <c r="I3" s="309" t="n"/>
      <c r="J3" s="309" t="n"/>
      <c r="K3" s="309" t="n"/>
      <c r="L3" s="309" t="n"/>
      <c r="M3" s="370" t="inlineStr">
        <is>
          <t>PERFORMANCE</t>
        </is>
      </c>
      <c r="N3" s="309" t="n"/>
      <c r="O3" s="309" t="n"/>
      <c r="P3" s="309" t="n"/>
      <c r="Q3" s="368" t="inlineStr">
        <is>
          <t>NOTES</t>
        </is>
      </c>
      <c r="R3" s="317" t="n"/>
      <c r="S3" s="317" t="n"/>
      <c r="T3" s="317" t="n"/>
      <c r="U3" s="317" t="n"/>
      <c r="V3" s="317" t="n"/>
      <c r="W3" s="317" t="n"/>
      <c r="X3" s="317" t="n"/>
      <c r="Y3" s="317" t="n"/>
      <c r="Z3" s="317" t="n"/>
    </row>
    <row r="4" ht="42" customHeight="1" s="141">
      <c r="A4" s="333" t="inlineStr">
        <is>
          <t>#</t>
        </is>
      </c>
      <c r="B4" s="333" t="inlineStr">
        <is>
          <t>Date Added</t>
        </is>
      </c>
      <c r="C4" s="333" t="inlineStr">
        <is>
          <t>Load Name</t>
        </is>
      </c>
      <c r="D4" s="333" t="inlineStr">
        <is>
          <t>Rifle</t>
        </is>
      </c>
      <c r="E4" s="333" t="inlineStr">
        <is>
          <t>Bullet</t>
        </is>
      </c>
      <c r="F4" s="333" t="inlineStr">
        <is>
          <t>Bullet Wt (gr)</t>
        </is>
      </c>
      <c r="G4" s="333" t="inlineStr">
        <is>
          <t>Powder</t>
        </is>
      </c>
      <c r="H4" s="333" t="inlineStr">
        <is>
          <t>Charge (gr)</t>
        </is>
      </c>
      <c r="I4" s="333" t="inlineStr">
        <is>
          <t>Primer</t>
        </is>
      </c>
      <c r="J4" s="333" t="inlineStr">
        <is>
          <t>Brass</t>
        </is>
      </c>
      <c r="K4" s="333" t="inlineStr">
        <is>
          <t>CBTO (in)</t>
        </is>
      </c>
      <c r="L4" s="333" t="inlineStr">
        <is>
          <t>Jump (in)</t>
        </is>
      </c>
      <c r="M4" s="333" t="inlineStr">
        <is>
          <t>Avg Vel (fps)</t>
        </is>
      </c>
      <c r="N4" s="333" t="inlineStr">
        <is>
          <t>SD (fps)</t>
        </is>
      </c>
      <c r="O4" s="333" t="inlineStr">
        <is>
          <t>Group (MOA)</t>
        </is>
      </c>
      <c r="P4" s="333" t="inlineStr">
        <is>
          <t>MR (MOA)</t>
        </is>
      </c>
      <c r="Q4" s="333" t="inlineStr">
        <is>
          <t>Notes / Conditions</t>
        </is>
      </c>
      <c r="R4" s="317" t="n"/>
      <c r="S4" s="317" t="n"/>
      <c r="T4" s="317" t="n"/>
      <c r="U4" s="317" t="n"/>
      <c r="V4" s="317" t="n"/>
      <c r="W4" s="317" t="n"/>
      <c r="X4" s="317" t="n"/>
      <c r="Y4" s="317" t="n"/>
      <c r="Z4" s="317" t="n"/>
    </row>
    <row r="5" ht="21.75" customHeight="1" s="141">
      <c r="A5" s="359" t="n"/>
      <c r="B5" s="359" t="n"/>
      <c r="C5" s="359" t="n"/>
      <c r="D5" s="359" t="n"/>
      <c r="E5" s="358" t="n"/>
      <c r="F5" s="371" t="n"/>
      <c r="G5" s="358" t="n"/>
      <c r="H5" s="372" t="n"/>
      <c r="I5" s="358" t="n"/>
      <c r="J5" s="358" t="n"/>
      <c r="K5" s="373" t="n"/>
      <c r="L5" s="373" t="n"/>
      <c r="M5" s="374" t="n"/>
      <c r="N5" s="375" t="n"/>
      <c r="O5" s="376" t="n"/>
      <c r="P5" s="376" t="n"/>
      <c r="Q5" s="359" t="n"/>
      <c r="R5" s="317" t="n"/>
      <c r="S5" s="317" t="n"/>
      <c r="T5" s="317" t="n"/>
      <c r="U5" s="317" t="n"/>
      <c r="V5" s="317" t="n"/>
      <c r="W5" s="317" t="n"/>
      <c r="X5" s="317" t="n"/>
      <c r="Y5" s="317" t="n"/>
      <c r="Z5" s="317" t="n"/>
    </row>
    <row r="6" ht="21.75" customHeight="1" s="141">
      <c r="A6" s="336" t="n"/>
      <c r="B6" s="336" t="n"/>
      <c r="C6" s="336" t="n"/>
      <c r="D6" s="336" t="n"/>
      <c r="E6" s="336" t="n"/>
      <c r="F6" s="377" t="n"/>
      <c r="G6" s="336" t="n"/>
      <c r="H6" s="378" t="n"/>
      <c r="I6" s="336" t="n"/>
      <c r="J6" s="336" t="n"/>
      <c r="K6" s="379" t="n"/>
      <c r="L6" s="379" t="n"/>
      <c r="M6" s="377" t="n"/>
      <c r="N6" s="378" t="n"/>
      <c r="O6" s="380" t="n"/>
      <c r="P6" s="380" t="n"/>
      <c r="Q6" s="336" t="n"/>
      <c r="R6" s="317" t="n"/>
      <c r="S6" s="317" t="n"/>
      <c r="T6" s="317" t="n"/>
      <c r="U6" s="317" t="n"/>
      <c r="V6" s="317" t="n"/>
      <c r="W6" s="317" t="n"/>
      <c r="X6" s="317" t="n"/>
      <c r="Y6" s="317" t="n"/>
      <c r="Z6" s="317" t="n"/>
    </row>
    <row r="7" ht="21.75" customHeight="1" s="141">
      <c r="A7" s="359" t="n"/>
      <c r="B7" s="359" t="n"/>
      <c r="C7" s="359" t="n"/>
      <c r="D7" s="359" t="n"/>
      <c r="E7" s="358" t="n"/>
      <c r="F7" s="371" t="n"/>
      <c r="G7" s="358" t="n"/>
      <c r="H7" s="372" t="n"/>
      <c r="I7" s="358" t="n"/>
      <c r="J7" s="358" t="n"/>
      <c r="K7" s="373" t="n"/>
      <c r="L7" s="373" t="n"/>
      <c r="M7" s="374" t="n"/>
      <c r="N7" s="375" t="n"/>
      <c r="O7" s="376" t="n"/>
      <c r="P7" s="376" t="n"/>
      <c r="Q7" s="359" t="n"/>
      <c r="R7" s="317" t="n"/>
      <c r="S7" s="317" t="n"/>
      <c r="T7" s="317" t="n"/>
      <c r="U7" s="317" t="n"/>
      <c r="V7" s="317" t="n"/>
      <c r="W7" s="317" t="n"/>
      <c r="X7" s="317" t="n"/>
      <c r="Y7" s="317" t="n"/>
      <c r="Z7" s="317" t="n"/>
    </row>
    <row r="8" ht="21.75" customHeight="1" s="141">
      <c r="A8" s="336" t="n"/>
      <c r="B8" s="336" t="n"/>
      <c r="C8" s="336" t="n"/>
      <c r="D8" s="336" t="n"/>
      <c r="E8" s="336" t="n"/>
      <c r="F8" s="377" t="n"/>
      <c r="G8" s="336" t="n"/>
      <c r="H8" s="378" t="n"/>
      <c r="I8" s="336" t="n"/>
      <c r="J8" s="336" t="n"/>
      <c r="K8" s="379" t="n"/>
      <c r="L8" s="379" t="n"/>
      <c r="M8" s="377" t="n"/>
      <c r="N8" s="378" t="n"/>
      <c r="O8" s="380" t="n"/>
      <c r="P8" s="380" t="n"/>
      <c r="Q8" s="336" t="n"/>
      <c r="R8" s="317" t="n"/>
      <c r="S8" s="317" t="n"/>
      <c r="T8" s="317" t="n"/>
      <c r="U8" s="317" t="n"/>
      <c r="V8" s="317" t="n"/>
      <c r="W8" s="317" t="n"/>
      <c r="X8" s="317" t="n"/>
      <c r="Y8" s="317" t="n"/>
      <c r="Z8" s="317" t="n"/>
    </row>
    <row r="9" ht="21.75" customHeight="1" s="141">
      <c r="A9" s="359" t="n"/>
      <c r="B9" s="359" t="n"/>
      <c r="C9" s="359" t="n"/>
      <c r="D9" s="359" t="n"/>
      <c r="E9" s="358" t="n"/>
      <c r="F9" s="371" t="n"/>
      <c r="G9" s="358" t="n"/>
      <c r="H9" s="372" t="n"/>
      <c r="I9" s="358" t="n"/>
      <c r="J9" s="358" t="n"/>
      <c r="K9" s="373" t="n"/>
      <c r="L9" s="373" t="n"/>
      <c r="M9" s="374" t="n"/>
      <c r="N9" s="375" t="n"/>
      <c r="O9" s="376" t="n"/>
      <c r="P9" s="376" t="n"/>
      <c r="Q9" s="359" t="n"/>
      <c r="R9" s="317" t="n"/>
      <c r="S9" s="317" t="n"/>
      <c r="T9" s="317" t="n"/>
      <c r="U9" s="317" t="n"/>
      <c r="V9" s="317" t="n"/>
      <c r="W9" s="317" t="n"/>
      <c r="X9" s="317" t="n"/>
      <c r="Y9" s="317" t="n"/>
      <c r="Z9" s="317" t="n"/>
    </row>
    <row r="10" ht="21.75" customHeight="1" s="141">
      <c r="A10" s="336" t="n"/>
      <c r="B10" s="336" t="n"/>
      <c r="C10" s="336" t="n"/>
      <c r="D10" s="336" t="n"/>
      <c r="E10" s="336" t="n"/>
      <c r="F10" s="377" t="n"/>
      <c r="G10" s="336" t="n"/>
      <c r="H10" s="378" t="n"/>
      <c r="I10" s="336" t="n"/>
      <c r="J10" s="336" t="n"/>
      <c r="K10" s="379" t="n"/>
      <c r="L10" s="379" t="n"/>
      <c r="M10" s="377" t="n"/>
      <c r="N10" s="378" t="n"/>
      <c r="O10" s="380" t="n"/>
      <c r="P10" s="380" t="n"/>
      <c r="Q10" s="336" t="n"/>
      <c r="R10" s="317" t="n"/>
      <c r="S10" s="317" t="n"/>
      <c r="T10" s="317" t="n"/>
      <c r="U10" s="317" t="n"/>
      <c r="V10" s="317" t="n"/>
      <c r="W10" s="317" t="n"/>
      <c r="X10" s="317" t="n"/>
      <c r="Y10" s="317" t="n"/>
      <c r="Z10" s="317" t="n"/>
    </row>
    <row r="11" ht="21.75" customHeight="1" s="141">
      <c r="A11" s="359" t="n"/>
      <c r="B11" s="359" t="n"/>
      <c r="C11" s="359" t="n"/>
      <c r="D11" s="359" t="n"/>
      <c r="E11" s="358" t="n"/>
      <c r="F11" s="371" t="n"/>
      <c r="G11" s="358" t="n"/>
      <c r="H11" s="372" t="n"/>
      <c r="I11" s="358" t="n"/>
      <c r="J11" s="358" t="n"/>
      <c r="K11" s="373" t="n"/>
      <c r="L11" s="373" t="n"/>
      <c r="M11" s="374" t="n"/>
      <c r="N11" s="375" t="n"/>
      <c r="O11" s="376" t="n"/>
      <c r="P11" s="376" t="n"/>
      <c r="Q11" s="359" t="n"/>
      <c r="R11" s="317" t="n"/>
      <c r="S11" s="317" t="n"/>
      <c r="T11" s="317" t="n"/>
      <c r="U11" s="317" t="n"/>
      <c r="V11" s="317" t="n"/>
      <c r="W11" s="317" t="n"/>
      <c r="X11" s="317" t="n"/>
      <c r="Y11" s="317" t="n"/>
      <c r="Z11" s="317" t="n"/>
    </row>
    <row r="12" ht="21.75" customHeight="1" s="141">
      <c r="A12" s="336" t="n"/>
      <c r="B12" s="336" t="n"/>
      <c r="C12" s="336" t="n"/>
      <c r="D12" s="336" t="n"/>
      <c r="E12" s="336" t="n"/>
      <c r="F12" s="377" t="n"/>
      <c r="G12" s="336" t="n"/>
      <c r="H12" s="378" t="n"/>
      <c r="I12" s="336" t="n"/>
      <c r="J12" s="336" t="n"/>
      <c r="K12" s="379" t="n"/>
      <c r="L12" s="379" t="n"/>
      <c r="M12" s="377" t="n"/>
      <c r="N12" s="378" t="n"/>
      <c r="O12" s="380" t="n"/>
      <c r="P12" s="380" t="n"/>
      <c r="Q12" s="336" t="n"/>
      <c r="R12" s="317" t="n"/>
      <c r="S12" s="317" t="n"/>
      <c r="T12" s="317" t="n"/>
      <c r="U12" s="317" t="n"/>
      <c r="V12" s="317" t="n"/>
      <c r="W12" s="317" t="n"/>
      <c r="X12" s="317" t="n"/>
      <c r="Y12" s="317" t="n"/>
      <c r="Z12" s="317" t="n"/>
    </row>
    <row r="13" ht="21.75" customHeight="1" s="141">
      <c r="A13" s="359" t="n"/>
      <c r="B13" s="359" t="n"/>
      <c r="C13" s="359" t="n"/>
      <c r="D13" s="359" t="n"/>
      <c r="E13" s="358" t="n"/>
      <c r="F13" s="371" t="n"/>
      <c r="G13" s="358" t="n"/>
      <c r="H13" s="372" t="n"/>
      <c r="I13" s="358" t="n"/>
      <c r="J13" s="358" t="n"/>
      <c r="K13" s="373" t="n"/>
      <c r="L13" s="373" t="n"/>
      <c r="M13" s="374" t="n"/>
      <c r="N13" s="375" t="n"/>
      <c r="O13" s="376" t="n"/>
      <c r="P13" s="376" t="n"/>
      <c r="Q13" s="359" t="n"/>
      <c r="R13" s="317" t="n"/>
      <c r="S13" s="317" t="n"/>
      <c r="T13" s="317" t="n"/>
      <c r="U13" s="317" t="n"/>
      <c r="V13" s="317" t="n"/>
      <c r="W13" s="317" t="n"/>
      <c r="X13" s="317" t="n"/>
      <c r="Y13" s="317" t="n"/>
      <c r="Z13" s="317" t="n"/>
    </row>
    <row r="14" ht="21.75" customHeight="1" s="141">
      <c r="A14" s="336" t="n"/>
      <c r="B14" s="336" t="n"/>
      <c r="C14" s="336" t="n"/>
      <c r="D14" s="336" t="n"/>
      <c r="E14" s="336" t="n"/>
      <c r="F14" s="377" t="n"/>
      <c r="G14" s="336" t="n"/>
      <c r="H14" s="378" t="n"/>
      <c r="I14" s="336" t="n"/>
      <c r="J14" s="336" t="n"/>
      <c r="K14" s="379" t="n"/>
      <c r="L14" s="379" t="n"/>
      <c r="M14" s="377" t="n"/>
      <c r="N14" s="378" t="n"/>
      <c r="O14" s="380" t="n"/>
      <c r="P14" s="380" t="n"/>
      <c r="Q14" s="336" t="n"/>
      <c r="R14" s="317" t="n"/>
      <c r="S14" s="317" t="n"/>
      <c r="T14" s="317" t="n"/>
      <c r="U14" s="317" t="n"/>
      <c r="V14" s="317" t="n"/>
      <c r="W14" s="317" t="n"/>
      <c r="X14" s="317" t="n"/>
      <c r="Y14" s="317" t="n"/>
      <c r="Z14" s="317" t="n"/>
    </row>
    <row r="15" ht="15" customHeight="1" s="141">
      <c r="A15" s="309" t="n"/>
      <c r="B15" s="309" t="n"/>
      <c r="C15" s="309" t="n"/>
      <c r="D15" s="309" t="n"/>
      <c r="E15" s="309" t="n"/>
      <c r="F15" s="309" t="n"/>
      <c r="G15" s="309" t="n"/>
      <c r="H15" s="309" t="n"/>
      <c r="I15" s="309" t="n"/>
      <c r="J15" s="309" t="n"/>
      <c r="K15" s="309" t="n"/>
      <c r="L15" s="309" t="n"/>
      <c r="M15" s="309" t="n"/>
      <c r="N15" s="309" t="n"/>
      <c r="O15" s="309" t="n"/>
      <c r="P15" s="309" t="n"/>
      <c r="Q15" s="309" t="n"/>
      <c r="R15" s="317" t="n"/>
      <c r="S15" s="317" t="n"/>
      <c r="T15" s="317" t="n"/>
      <c r="U15" s="317" t="n"/>
      <c r="V15" s="317" t="n"/>
      <c r="W15" s="317" t="n"/>
      <c r="X15" s="317" t="n"/>
      <c r="Y15" s="317" t="n"/>
      <c r="Z15" s="317" t="n"/>
    </row>
    <row r="16" ht="15" customHeight="1" s="141">
      <c r="A16" s="309" t="n"/>
      <c r="B16" s="309" t="n"/>
      <c r="C16" s="309" t="n"/>
      <c r="D16" s="309" t="n"/>
      <c r="E16" s="309" t="n"/>
      <c r="F16" s="309" t="n"/>
      <c r="G16" s="309" t="n"/>
      <c r="H16" s="309" t="n"/>
      <c r="I16" s="309" t="n"/>
      <c r="J16" s="309" t="n"/>
      <c r="K16" s="309" t="n"/>
      <c r="L16" s="309" t="n"/>
      <c r="M16" s="309" t="n"/>
      <c r="N16" s="309" t="n"/>
      <c r="O16" s="309" t="n"/>
      <c r="P16" s="309" t="n"/>
      <c r="Q16" s="309" t="n"/>
      <c r="R16" s="317" t="n"/>
      <c r="S16" s="317" t="n"/>
      <c r="T16" s="317" t="n"/>
      <c r="U16" s="317" t="n"/>
      <c r="V16" s="317" t="n"/>
      <c r="W16" s="317" t="n"/>
      <c r="X16" s="317" t="n"/>
      <c r="Y16" s="317" t="n"/>
      <c r="Z16" s="317" t="n"/>
    </row>
    <row r="17" ht="15" customHeight="1" s="141">
      <c r="A17" s="309" t="n"/>
      <c r="B17" s="309" t="n"/>
      <c r="C17" s="309" t="n"/>
      <c r="D17" s="309" t="n"/>
      <c r="E17" s="309" t="n"/>
      <c r="F17" s="309" t="n"/>
      <c r="G17" s="309" t="n"/>
      <c r="H17" s="309" t="n"/>
      <c r="I17" s="309" t="n"/>
      <c r="J17" s="309" t="n"/>
      <c r="K17" s="309" t="n"/>
      <c r="L17" s="309" t="n"/>
      <c r="M17" s="309" t="n"/>
      <c r="N17" s="309" t="n"/>
      <c r="O17" s="309" t="n"/>
      <c r="P17" s="309" t="n"/>
      <c r="Q17" s="309" t="n"/>
      <c r="R17" s="317" t="n"/>
      <c r="S17" s="317" t="n"/>
      <c r="T17" s="317" t="n"/>
      <c r="U17" s="317" t="n"/>
      <c r="V17" s="317" t="n"/>
      <c r="W17" s="317" t="n"/>
      <c r="X17" s="317" t="n"/>
      <c r="Y17" s="317" t="n"/>
      <c r="Z17" s="317" t="n"/>
    </row>
    <row r="18" ht="15" customHeight="1" s="141">
      <c r="A18" s="309" t="n"/>
      <c r="B18" s="309" t="n"/>
      <c r="C18" s="309" t="n"/>
      <c r="D18" s="309" t="n"/>
      <c r="E18" s="309" t="n"/>
      <c r="F18" s="309" t="n"/>
      <c r="G18" s="309" t="n"/>
      <c r="H18" s="309" t="n"/>
      <c r="I18" s="309" t="n"/>
      <c r="J18" s="309" t="n"/>
      <c r="K18" s="309" t="n"/>
      <c r="L18" s="309" t="n"/>
      <c r="M18" s="309" t="n"/>
      <c r="N18" s="309" t="n"/>
      <c r="O18" s="309" t="n"/>
      <c r="P18" s="309" t="n"/>
      <c r="Q18" s="309" t="n"/>
      <c r="R18" s="317" t="n"/>
      <c r="S18" s="317" t="n"/>
      <c r="T18" s="317" t="n"/>
      <c r="U18" s="317" t="n"/>
      <c r="V18" s="317" t="n"/>
      <c r="W18" s="317" t="n"/>
      <c r="X18" s="317" t="n"/>
      <c r="Y18" s="317" t="n"/>
      <c r="Z18" s="317" t="n"/>
    </row>
    <row r="19" ht="15" customHeight="1" s="141">
      <c r="A19" s="309" t="n"/>
      <c r="B19" s="309" t="n"/>
      <c r="C19" s="309" t="n"/>
      <c r="D19" s="309" t="n"/>
      <c r="E19" s="309" t="n"/>
      <c r="F19" s="309" t="n"/>
      <c r="G19" s="309" t="n"/>
      <c r="H19" s="309" t="n"/>
      <c r="I19" s="309" t="n"/>
      <c r="J19" s="309" t="n"/>
      <c r="K19" s="309" t="n"/>
      <c r="L19" s="309" t="n"/>
      <c r="M19" s="309" t="n"/>
      <c r="N19" s="309" t="n"/>
      <c r="O19" s="309" t="n"/>
      <c r="P19" s="309" t="n"/>
      <c r="Q19" s="309" t="n"/>
      <c r="R19" s="317" t="n"/>
      <c r="S19" s="317" t="n"/>
      <c r="T19" s="317" t="n"/>
      <c r="U19" s="317" t="n"/>
      <c r="V19" s="317" t="n"/>
      <c r="W19" s="317" t="n"/>
      <c r="X19" s="317" t="n"/>
      <c r="Y19" s="317" t="n"/>
      <c r="Z19" s="317" t="n"/>
    </row>
  </sheetData>
  <sheetProtection selectLockedCells="0" selectUnlockedCells="0" sheet="1" objects="0" insertRows="1" insertHyperlinks="1" autoFilter="0" scenarios="0" formatColumns="0" deleteColumns="1" insertColumns="1" pivotTables="1" deleteRows="1" formatCells="0" formatRows="0" sort="0"/>
  <mergeCells count="5">
    <mergeCell ref="E3:L3"/>
    <mergeCell ref="M3:P3"/>
    <mergeCell ref="A3:D3"/>
    <mergeCell ref="A2:Q2"/>
    <mergeCell ref="A1:Q1"/>
  </mergeCells>
  <conditionalFormatting sqref="N5:N14">
    <cfRule type="colorScale" priority="2">
      <colorScale>
        <cfvo type="min" val="0"/>
        <cfvo type="percentile" val="50"/>
        <cfvo type="max" val="0"/>
        <color rgb="FF63BE7B"/>
        <color rgb="FFFFEB84"/>
        <color rgb="FFF8696B"/>
      </colorScale>
    </cfRule>
  </conditionalFormatting>
  <conditionalFormatting sqref="O5:O14">
    <cfRule type="colorScale" priority="3">
      <colorScale>
        <cfvo type="min" val="0"/>
        <cfvo type="percentile" val="50"/>
        <cfvo type="max" val="0"/>
        <color rgb="FF63BE7B"/>
        <color rgb="FFFFEB84"/>
        <color rgb="FFF8696B"/>
      </colorScale>
    </cfRule>
  </conditionalFormatting>
  <conditionalFormatting sqref="P5:P14">
    <cfRule type="colorScale" priority="4">
      <colorScale>
        <cfvo type="min" val="0"/>
        <cfvo type="percentile" val="50"/>
        <cfvo type="max" val="0"/>
        <color rgb="FF63BE7B"/>
        <color rgb="FFFFEB84"/>
        <color rgb="FFF8696B"/>
      </colorScale>
    </cfRule>
  </conditionalFormatting>
  <printOptions horizontalCentered="1" verticalCentered="0" headings="0" gridLines="0" gridLinesSet="1"/>
  <pageMargins left="0.75" right="0.75" top="1" bottom="1" header="0.511811023622047" footer="0.511811023622047"/>
  <pageSetup orientation="landscape" paperSize="1" scale="100" fitToHeight="1" fitToWidth="1" pageOrder="downThenOver" blackAndWhite="0" draft="0" horizontalDpi="300" verticalDpi="300" copies="1"/>
  <legacyDrawing xmlns:r="http://schemas.openxmlformats.org/officeDocument/2006/relationships" r:id="anysvml"/>
</worksheet>
</file>

<file path=xl/worksheets/sheet8.xml><?xml version="1.0" encoding="utf-8"?>
<worksheet xmlns="http://schemas.openxmlformats.org/spreadsheetml/2006/main">
  <sheetPr filterMode="0">
    <outlinePr summaryBelow="1" summaryRight="1"/>
    <pageSetUpPr fitToPage="1"/>
  </sheetPr>
  <dimension ref="A1:K9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6796875" defaultRowHeight="15" customHeight="0" zeroHeight="0" outlineLevelRow="0"/>
  <cols>
    <col width="11" customWidth="1" style="140" min="1" max="2"/>
    <col width="10" customWidth="1" style="140" min="3" max="3"/>
    <col width="11" customWidth="1" style="140" min="4" max="4"/>
    <col width="22" customWidth="1" style="140" min="5" max="5"/>
    <col width="13" customWidth="1" style="140" min="6" max="6"/>
    <col width="10" customWidth="1" style="140" min="7" max="7"/>
    <col width="16" customWidth="1" style="140" min="8" max="8"/>
    <col width="10" customWidth="1" style="140" min="9" max="10"/>
    <col width="40" customWidth="1" style="140" min="11" max="11"/>
  </cols>
  <sheetData>
    <row r="1" ht="31.5" customHeight="1" s="141">
      <c r="A1" s="316" t="inlineStr">
        <is>
          <t>Ballistics — DOPE / Range Card</t>
        </is>
      </c>
      <c r="B1" s="309" t="n"/>
      <c r="C1" s="309" t="n"/>
      <c r="D1" s="309" t="n"/>
      <c r="E1" s="309" t="n"/>
      <c r="F1" s="309" t="n"/>
      <c r="G1" s="309" t="n"/>
      <c r="H1" s="309" t="n"/>
      <c r="I1" s="309" t="n"/>
      <c r="J1" s="309" t="n"/>
      <c r="K1" s="309" t="n"/>
    </row>
    <row r="2" ht="30" customHeight="1" s="141">
      <c r="A2" s="356" t="inlineStr">
        <is>
          <t>Enter your actual scope DOPE in MILS or MOA — clicks auto-calculate. Convention: MIL scope = 0.1 mil per click | MOA scope = 1/4 MOA per click. Each block links to a row in the Load Library tab.</t>
        </is>
      </c>
      <c r="B2" s="309" t="n"/>
      <c r="C2" s="309" t="n"/>
      <c r="D2" s="309" t="n"/>
      <c r="E2" s="309" t="n"/>
      <c r="F2" s="309" t="n"/>
      <c r="G2" s="309" t="n"/>
      <c r="H2" s="309" t="n"/>
      <c r="I2" s="309" t="n"/>
      <c r="J2" s="309" t="n"/>
      <c r="K2" s="309" t="n"/>
    </row>
    <row r="3" ht="6" customHeight="1" s="141">
      <c r="A3" s="309" t="n"/>
      <c r="B3" s="309" t="n"/>
      <c r="C3" s="309" t="n"/>
      <c r="D3" s="309" t="n"/>
      <c r="E3" s="309" t="n"/>
      <c r="F3" s="309" t="n"/>
      <c r="G3" s="309" t="n"/>
      <c r="H3" s="309" t="n"/>
      <c r="I3" s="309" t="n"/>
      <c r="J3" s="309" t="n"/>
      <c r="K3" s="309" t="n"/>
    </row>
    <row r="4" ht="24" customHeight="1" s="141">
      <c r="A4" s="191">
        <f>IF(IFERROR('Load Library'!C5,"")="","LOAD #1  —  (empty — fill in Load Library row 5)","LOAD #1  —  "&amp;'Load Library'!C5)</f>
        <v/>
      </c>
      <c r="B4" s="309" t="n"/>
      <c r="C4" s="309" t="n"/>
      <c r="D4" s="309" t="n"/>
      <c r="E4" s="309" t="n"/>
      <c r="F4" s="309" t="n"/>
      <c r="G4" s="309" t="n"/>
      <c r="H4" s="309" t="n"/>
      <c r="I4" s="309" t="n"/>
      <c r="J4" s="309" t="n"/>
      <c r="K4" s="309" t="n"/>
    </row>
    <row r="5" ht="24" customHeight="1" s="141">
      <c r="A5" s="381" t="inlineStr">
        <is>
          <t>Rifle:</t>
        </is>
      </c>
      <c r="B5" s="270">
        <f>IF(IFERROR('Load Library'!D5,"")="","",'Load Library'!D5)</f>
        <v/>
      </c>
      <c r="C5" s="382" t="n"/>
      <c r="D5" s="381" t="inlineStr">
        <is>
          <t>Bullet:</t>
        </is>
      </c>
      <c r="E5" s="270">
        <f>IF(IFERROR('Load Library'!E5,"")="","",'Load Library'!E5&amp;" ("&amp;'Load Library'!F5&amp;"gr)")</f>
        <v/>
      </c>
      <c r="F5" s="382" t="n"/>
      <c r="G5" s="381" t="inlineStr">
        <is>
          <t>Charge:</t>
        </is>
      </c>
      <c r="H5" s="270">
        <f>IF(IFERROR('Load Library'!H5,"")="","",'Load Library'!H5&amp;" gr "&amp;'Load Library'!G5)</f>
        <v/>
      </c>
      <c r="I5" s="382" t="n"/>
      <c r="J5" s="381" t="inlineStr">
        <is>
          <t>Vel:</t>
        </is>
      </c>
      <c r="K5" s="270">
        <f>IF(IFERROR('Load Library'!M5,"")="","",'Load Library'!M5&amp;" fps")</f>
        <v/>
      </c>
    </row>
    <row r="6" ht="21.75" customHeight="1" s="141">
      <c r="A6" s="383" t="inlineStr">
        <is>
          <t>Scope:</t>
        </is>
      </c>
      <c r="B6" s="363" t="n"/>
      <c r="C6" s="384" t="n"/>
      <c r="D6" s="383" t="inlineStr">
        <is>
          <t>Zero (yd):</t>
        </is>
      </c>
      <c r="E6" s="385" t="n">
        <v>100</v>
      </c>
      <c r="F6" s="384" t="n"/>
      <c r="G6" s="383" t="inlineStr">
        <is>
          <t>Sight Ht (in):</t>
        </is>
      </c>
      <c r="H6" s="386" t="n">
        <v>1.75</v>
      </c>
      <c r="I6" s="384" t="n"/>
      <c r="J6" s="383" t="inlineStr">
        <is>
          <t>Twist:</t>
        </is>
      </c>
      <c r="K6" s="363" t="inlineStr">
        <is>
          <t>1:8 RH</t>
        </is>
      </c>
    </row>
    <row r="7" ht="6" customHeight="1" s="141">
      <c r="A7" s="309" t="n"/>
      <c r="B7" s="309" t="n"/>
      <c r="C7" s="309" t="n"/>
      <c r="D7" s="309" t="n"/>
      <c r="E7" s="309" t="n"/>
      <c r="F7" s="309" t="n"/>
      <c r="G7" s="309" t="n"/>
      <c r="H7" s="309" t="n"/>
      <c r="I7" s="309" t="n"/>
      <c r="J7" s="309" t="n"/>
      <c r="K7" s="309" t="n"/>
    </row>
    <row r="8" ht="36" customHeight="1" s="141">
      <c r="A8" s="333" t="inlineStr">
        <is>
          <t>Range (yd)</t>
        </is>
      </c>
      <c r="B8" s="333" t="inlineStr">
        <is>
          <t>Mils — Elev</t>
        </is>
      </c>
      <c r="C8" s="333" t="inlineStr">
        <is>
          <t>Mil Clicks</t>
        </is>
      </c>
      <c r="D8" s="333" t="inlineStr">
        <is>
          <t>MOA — Elev</t>
        </is>
      </c>
      <c r="E8" s="333" t="inlineStr">
        <is>
          <t>MOA Clicks</t>
        </is>
      </c>
      <c r="F8" s="333" t="inlineStr">
        <is>
          <t>Wind Mils / 10 mph</t>
        </is>
      </c>
      <c r="G8" s="333" t="inlineStr">
        <is>
          <t>Wind Mil Clk</t>
        </is>
      </c>
      <c r="H8" s="333" t="inlineStr">
        <is>
          <t>Wind MOA / 10 mph</t>
        </is>
      </c>
      <c r="I8" s="333" t="inlineStr">
        <is>
          <t>Wind MOA Clk</t>
        </is>
      </c>
      <c r="J8" s="333" t="inlineStr">
        <is>
          <t>TOF (sec)</t>
        </is>
      </c>
      <c r="K8" s="333" t="inlineStr">
        <is>
          <t>Notes</t>
        </is>
      </c>
    </row>
    <row r="9" ht="18.75" customHeight="1" s="141">
      <c r="A9" s="387" t="n">
        <v>100</v>
      </c>
      <c r="B9" s="388" t="n"/>
      <c r="C9" s="180">
        <f>IF(B9="","",B9*10)</f>
        <v/>
      </c>
      <c r="D9" s="388" t="n"/>
      <c r="E9" s="180">
        <f>IF(D9="","",D9*4)</f>
        <v/>
      </c>
      <c r="F9" s="388" t="n"/>
      <c r="G9" s="180">
        <f>IF(F9="","",F9*10)</f>
        <v/>
      </c>
      <c r="H9" s="388" t="n"/>
      <c r="I9" s="180">
        <f>IF(H9="","",H9*4)</f>
        <v/>
      </c>
      <c r="J9" s="389" t="n"/>
      <c r="K9" s="390" t="n"/>
    </row>
    <row r="10" ht="18.75" customHeight="1" s="141">
      <c r="A10" s="377" t="n">
        <v>200</v>
      </c>
      <c r="B10" s="378" t="n"/>
      <c r="C10" s="187">
        <f>IF(B10="","",B10*10)</f>
        <v/>
      </c>
      <c r="D10" s="378" t="n"/>
      <c r="E10" s="187">
        <f>IF(D10="","",D10*4)</f>
        <v/>
      </c>
      <c r="F10" s="378" t="n"/>
      <c r="G10" s="187">
        <f>IF(F10="","",F10*10)</f>
        <v/>
      </c>
      <c r="H10" s="378" t="n"/>
      <c r="I10" s="187">
        <f>IF(H10="","",H10*4)</f>
        <v/>
      </c>
      <c r="J10" s="380" t="n"/>
      <c r="K10" s="391" t="n"/>
    </row>
    <row r="11" ht="18.75" customHeight="1" s="141">
      <c r="A11" s="387" t="n">
        <v>300</v>
      </c>
      <c r="B11" s="388" t="n"/>
      <c r="C11" s="180">
        <f>IF(B11="","",B11*10)</f>
        <v/>
      </c>
      <c r="D11" s="388" t="n"/>
      <c r="E11" s="180">
        <f>IF(D11="","",D11*4)</f>
        <v/>
      </c>
      <c r="F11" s="388" t="n"/>
      <c r="G11" s="180">
        <f>IF(F11="","",F11*10)</f>
        <v/>
      </c>
      <c r="H11" s="388" t="n"/>
      <c r="I11" s="180">
        <f>IF(H11="","",H11*4)</f>
        <v/>
      </c>
      <c r="J11" s="389" t="n"/>
      <c r="K11" s="390" t="n"/>
    </row>
    <row r="12" ht="18.75" customHeight="1" s="141">
      <c r="A12" s="377" t="n">
        <v>400</v>
      </c>
      <c r="B12" s="378" t="n"/>
      <c r="C12" s="187">
        <f>IF(B12="","",B12*10)</f>
        <v/>
      </c>
      <c r="D12" s="378" t="n"/>
      <c r="E12" s="187">
        <f>IF(D12="","",D12*4)</f>
        <v/>
      </c>
      <c r="F12" s="378" t="n"/>
      <c r="G12" s="187">
        <f>IF(F12="","",F12*10)</f>
        <v/>
      </c>
      <c r="H12" s="378" t="n"/>
      <c r="I12" s="187">
        <f>IF(H12="","",H12*4)</f>
        <v/>
      </c>
      <c r="J12" s="380" t="n"/>
      <c r="K12" s="391" t="n"/>
    </row>
    <row r="13" ht="18.75" customHeight="1" s="141">
      <c r="A13" s="387" t="n">
        <v>500</v>
      </c>
      <c r="B13" s="388" t="n"/>
      <c r="C13" s="180">
        <f>IF(B13="","",B13*10)</f>
        <v/>
      </c>
      <c r="D13" s="388" t="n"/>
      <c r="E13" s="180">
        <f>IF(D13="","",D13*4)</f>
        <v/>
      </c>
      <c r="F13" s="388" t="n"/>
      <c r="G13" s="180">
        <f>IF(F13="","",F13*10)</f>
        <v/>
      </c>
      <c r="H13" s="388" t="n"/>
      <c r="I13" s="180">
        <f>IF(H13="","",H13*4)</f>
        <v/>
      </c>
      <c r="J13" s="389" t="n"/>
      <c r="K13" s="390" t="n"/>
    </row>
    <row r="14" ht="18.75" customHeight="1" s="141">
      <c r="A14" s="377" t="n">
        <v>600</v>
      </c>
      <c r="B14" s="378" t="n"/>
      <c r="C14" s="187">
        <f>IF(B14="","",B14*10)</f>
        <v/>
      </c>
      <c r="D14" s="378" t="n"/>
      <c r="E14" s="187">
        <f>IF(D14="","",D14*4)</f>
        <v/>
      </c>
      <c r="F14" s="378" t="n"/>
      <c r="G14" s="187">
        <f>IF(F14="","",F14*10)</f>
        <v/>
      </c>
      <c r="H14" s="378" t="n"/>
      <c r="I14" s="187">
        <f>IF(H14="","",H14*4)</f>
        <v/>
      </c>
      <c r="J14" s="380" t="n"/>
      <c r="K14" s="391" t="n"/>
    </row>
    <row r="15" ht="18.75" customHeight="1" s="141">
      <c r="A15" s="387" t="n">
        <v>700</v>
      </c>
      <c r="B15" s="388" t="n"/>
      <c r="C15" s="180">
        <f>IF(B15="","",B15*10)</f>
        <v/>
      </c>
      <c r="D15" s="388" t="n"/>
      <c r="E15" s="180">
        <f>IF(D15="","",D15*4)</f>
        <v/>
      </c>
      <c r="F15" s="388" t="n"/>
      <c r="G15" s="180">
        <f>IF(F15="","",F15*10)</f>
        <v/>
      </c>
      <c r="H15" s="388" t="n"/>
      <c r="I15" s="180">
        <f>IF(H15="","",H15*4)</f>
        <v/>
      </c>
      <c r="J15" s="389" t="n"/>
      <c r="K15" s="390" t="n"/>
    </row>
    <row r="16" ht="18.75" customHeight="1" s="141">
      <c r="A16" s="377" t="n">
        <v>800</v>
      </c>
      <c r="B16" s="378" t="n"/>
      <c r="C16" s="187">
        <f>IF(B16="","",B16*10)</f>
        <v/>
      </c>
      <c r="D16" s="378" t="n"/>
      <c r="E16" s="187">
        <f>IF(D16="","",D16*4)</f>
        <v/>
      </c>
      <c r="F16" s="378" t="n"/>
      <c r="G16" s="187">
        <f>IF(F16="","",F16*10)</f>
        <v/>
      </c>
      <c r="H16" s="378" t="n"/>
      <c r="I16" s="187">
        <f>IF(H16="","",H16*4)</f>
        <v/>
      </c>
      <c r="J16" s="380" t="n"/>
      <c r="K16" s="391" t="n"/>
    </row>
    <row r="17" ht="18.75" customHeight="1" s="141">
      <c r="A17" s="387" t="n">
        <v>900</v>
      </c>
      <c r="B17" s="388" t="n"/>
      <c r="C17" s="180">
        <f>IF(B17="","",B17*10)</f>
        <v/>
      </c>
      <c r="D17" s="388" t="n"/>
      <c r="E17" s="180">
        <f>IF(D17="","",D17*4)</f>
        <v/>
      </c>
      <c r="F17" s="388" t="n"/>
      <c r="G17" s="180">
        <f>IF(F17="","",F17*10)</f>
        <v/>
      </c>
      <c r="H17" s="388" t="n"/>
      <c r="I17" s="180">
        <f>IF(H17="","",H17*4)</f>
        <v/>
      </c>
      <c r="J17" s="389" t="n"/>
      <c r="K17" s="390" t="n"/>
    </row>
    <row r="18" ht="18.75" customHeight="1" s="141">
      <c r="A18" s="377" t="n">
        <v>1000</v>
      </c>
      <c r="B18" s="378" t="n"/>
      <c r="C18" s="187">
        <f>IF(B18="","",B18*10)</f>
        <v/>
      </c>
      <c r="D18" s="378" t="n"/>
      <c r="E18" s="187">
        <f>IF(D18="","",D18*4)</f>
        <v/>
      </c>
      <c r="F18" s="378" t="n"/>
      <c r="G18" s="187">
        <f>IF(F18="","",F18*10)</f>
        <v/>
      </c>
      <c r="H18" s="378" t="n"/>
      <c r="I18" s="187">
        <f>IF(H18="","",H18*4)</f>
        <v/>
      </c>
      <c r="J18" s="380" t="n"/>
      <c r="K18" s="391" t="n"/>
    </row>
    <row r="19" ht="12" customHeight="1" s="141">
      <c r="A19" s="309" t="n"/>
      <c r="B19" s="309" t="n"/>
      <c r="C19" s="309" t="n"/>
      <c r="D19" s="309" t="n"/>
      <c r="E19" s="309" t="n"/>
      <c r="F19" s="309" t="n"/>
      <c r="G19" s="309" t="n"/>
      <c r="H19" s="309" t="n"/>
      <c r="I19" s="309" t="n"/>
      <c r="J19" s="309" t="n"/>
      <c r="K19" s="309" t="n"/>
    </row>
    <row r="20">
      <c r="A20" s="309" t="n"/>
      <c r="B20" s="309" t="n"/>
      <c r="C20" s="309" t="n"/>
      <c r="D20" s="309" t="n"/>
      <c r="E20" s="309" t="n"/>
      <c r="F20" s="309" t="n"/>
      <c r="G20" s="309" t="n"/>
      <c r="H20" s="309" t="n"/>
      <c r="I20" s="309" t="n"/>
      <c r="J20" s="309" t="n"/>
      <c r="K20" s="309" t="n"/>
    </row>
    <row r="21">
      <c r="A21" s="309" t="n"/>
      <c r="B21" s="309" t="n"/>
      <c r="C21" s="309" t="n"/>
      <c r="D21" s="309" t="n"/>
      <c r="E21" s="309" t="n"/>
      <c r="F21" s="309" t="n"/>
      <c r="G21" s="309" t="n"/>
      <c r="H21" s="309" t="n"/>
      <c r="I21" s="309" t="n"/>
      <c r="J21" s="309" t="n"/>
      <c r="K21" s="309" t="n"/>
    </row>
    <row r="22" ht="24" customHeight="1" s="141">
      <c r="A22" s="191">
        <f>IF(IFERROR('Load Library'!C6,"")="","LOAD #2  —  (empty — fill in Load Library row 6)","LOAD #2  —  "&amp;'Load Library'!C6)</f>
        <v/>
      </c>
      <c r="B22" s="309" t="n"/>
      <c r="C22" s="309" t="n"/>
      <c r="D22" s="309" t="n"/>
      <c r="E22" s="309" t="n"/>
      <c r="F22" s="309" t="n"/>
      <c r="G22" s="309" t="n"/>
      <c r="H22" s="309" t="n"/>
      <c r="I22" s="309" t="n"/>
      <c r="J22" s="309" t="n"/>
      <c r="K22" s="309" t="n"/>
    </row>
    <row r="23" ht="24" customHeight="1" s="141">
      <c r="A23" s="381" t="inlineStr">
        <is>
          <t>Rifle:</t>
        </is>
      </c>
      <c r="B23" s="270">
        <f>IF(IFERROR('Load Library'!D6,"")="","",'Load Library'!D6)</f>
        <v/>
      </c>
      <c r="C23" s="382" t="n"/>
      <c r="D23" s="381" t="inlineStr">
        <is>
          <t>Bullet:</t>
        </is>
      </c>
      <c r="E23" s="270">
        <f>IF(IFERROR('Load Library'!E6,"")="","",'Load Library'!E6&amp;" ("&amp;'Load Library'!F6&amp;"gr)")</f>
        <v/>
      </c>
      <c r="F23" s="382" t="n"/>
      <c r="G23" s="381" t="inlineStr">
        <is>
          <t>Charge:</t>
        </is>
      </c>
      <c r="H23" s="270">
        <f>IF(IFERROR('Load Library'!H6,"")="","",'Load Library'!H6&amp;" gr "&amp;'Load Library'!G6)</f>
        <v/>
      </c>
      <c r="I23" s="382" t="n"/>
      <c r="J23" s="381" t="inlineStr">
        <is>
          <t>Vel:</t>
        </is>
      </c>
      <c r="K23" s="270">
        <f>IF(IFERROR('Load Library'!M6,"")="","",'Load Library'!M6&amp;" fps")</f>
        <v/>
      </c>
    </row>
    <row r="24" ht="21.75" customHeight="1" s="141">
      <c r="A24" s="383" t="inlineStr">
        <is>
          <t>Scope:</t>
        </is>
      </c>
      <c r="B24" s="363" t="n"/>
      <c r="C24" s="384" t="n"/>
      <c r="D24" s="383" t="inlineStr">
        <is>
          <t>Zero (yd):</t>
        </is>
      </c>
      <c r="E24" s="385" t="n">
        <v>100</v>
      </c>
      <c r="F24" s="384" t="n"/>
      <c r="G24" s="383" t="inlineStr">
        <is>
          <t>Sight Ht (in):</t>
        </is>
      </c>
      <c r="H24" s="386" t="n">
        <v>1.75</v>
      </c>
      <c r="I24" s="384" t="n"/>
      <c r="J24" s="383" t="inlineStr">
        <is>
          <t>Twist:</t>
        </is>
      </c>
      <c r="K24" s="363" t="inlineStr">
        <is>
          <t>1:8 RH</t>
        </is>
      </c>
    </row>
    <row r="25" ht="6" customHeight="1" s="141">
      <c r="A25" s="309" t="n"/>
      <c r="B25" s="309" t="n"/>
      <c r="C25" s="309" t="n"/>
      <c r="D25" s="309" t="n"/>
      <c r="E25" s="309" t="n"/>
      <c r="F25" s="309" t="n"/>
      <c r="G25" s="309" t="n"/>
      <c r="H25" s="309" t="n"/>
      <c r="I25" s="309" t="n"/>
      <c r="J25" s="309" t="n"/>
      <c r="K25" s="309" t="n"/>
    </row>
    <row r="26" ht="36" customHeight="1" s="141">
      <c r="A26" s="333" t="inlineStr">
        <is>
          <t>Range (yd)</t>
        </is>
      </c>
      <c r="B26" s="333" t="inlineStr">
        <is>
          <t>Mils — Elev</t>
        </is>
      </c>
      <c r="C26" s="333" t="inlineStr">
        <is>
          <t>Mil Clicks</t>
        </is>
      </c>
      <c r="D26" s="333" t="inlineStr">
        <is>
          <t>MOA — Elev</t>
        </is>
      </c>
      <c r="E26" s="333" t="inlineStr">
        <is>
          <t>MOA Clicks</t>
        </is>
      </c>
      <c r="F26" s="333" t="inlineStr">
        <is>
          <t>Wind Mils / 10 mph</t>
        </is>
      </c>
      <c r="G26" s="333" t="inlineStr">
        <is>
          <t>Wind Mil Clk</t>
        </is>
      </c>
      <c r="H26" s="333" t="inlineStr">
        <is>
          <t>Wind MOA / 10 mph</t>
        </is>
      </c>
      <c r="I26" s="333" t="inlineStr">
        <is>
          <t>Wind MOA Clk</t>
        </is>
      </c>
      <c r="J26" s="333" t="inlineStr">
        <is>
          <t>TOF (sec)</t>
        </is>
      </c>
      <c r="K26" s="333" t="inlineStr">
        <is>
          <t>Notes</t>
        </is>
      </c>
    </row>
    <row r="27" ht="18.75" customHeight="1" s="141">
      <c r="A27" s="387" t="n">
        <v>100</v>
      </c>
      <c r="B27" s="388" t="n"/>
      <c r="C27" s="180">
        <f>IF(B27="","",B27*10)</f>
        <v/>
      </c>
      <c r="D27" s="388" t="n"/>
      <c r="E27" s="180">
        <f>IF(D27="","",D27*4)</f>
        <v/>
      </c>
      <c r="F27" s="388" t="n"/>
      <c r="G27" s="180">
        <f>IF(F27="","",F27*10)</f>
        <v/>
      </c>
      <c r="H27" s="388" t="n"/>
      <c r="I27" s="180">
        <f>IF(H27="","",H27*4)</f>
        <v/>
      </c>
      <c r="J27" s="389" t="n"/>
      <c r="K27" s="390" t="n"/>
    </row>
    <row r="28" ht="18.75" customHeight="1" s="141">
      <c r="A28" s="377" t="n">
        <v>200</v>
      </c>
      <c r="B28" s="378" t="n"/>
      <c r="C28" s="187">
        <f>IF(B28="","",B28*10)</f>
        <v/>
      </c>
      <c r="D28" s="378" t="n"/>
      <c r="E28" s="187">
        <f>IF(D28="","",D28*4)</f>
        <v/>
      </c>
      <c r="F28" s="378" t="n"/>
      <c r="G28" s="187">
        <f>IF(F28="","",F28*10)</f>
        <v/>
      </c>
      <c r="H28" s="378" t="n"/>
      <c r="I28" s="187">
        <f>IF(H28="","",H28*4)</f>
        <v/>
      </c>
      <c r="J28" s="380" t="n"/>
      <c r="K28" s="391" t="n"/>
    </row>
    <row r="29" ht="18.75" customHeight="1" s="141">
      <c r="A29" s="387" t="n">
        <v>300</v>
      </c>
      <c r="B29" s="388" t="n"/>
      <c r="C29" s="180">
        <f>IF(B29="","",B29*10)</f>
        <v/>
      </c>
      <c r="D29" s="388" t="n"/>
      <c r="E29" s="180">
        <f>IF(D29="","",D29*4)</f>
        <v/>
      </c>
      <c r="F29" s="388" t="n"/>
      <c r="G29" s="180">
        <f>IF(F29="","",F29*10)</f>
        <v/>
      </c>
      <c r="H29" s="388" t="n"/>
      <c r="I29" s="180">
        <f>IF(H29="","",H29*4)</f>
        <v/>
      </c>
      <c r="J29" s="389" t="n"/>
      <c r="K29" s="390" t="n"/>
    </row>
    <row r="30" ht="18.75" customHeight="1" s="141">
      <c r="A30" s="377" t="n">
        <v>400</v>
      </c>
      <c r="B30" s="378" t="n"/>
      <c r="C30" s="187">
        <f>IF(B30="","",B30*10)</f>
        <v/>
      </c>
      <c r="D30" s="378" t="n"/>
      <c r="E30" s="187">
        <f>IF(D30="","",D30*4)</f>
        <v/>
      </c>
      <c r="F30" s="378" t="n"/>
      <c r="G30" s="187">
        <f>IF(F30="","",F30*10)</f>
        <v/>
      </c>
      <c r="H30" s="378" t="n"/>
      <c r="I30" s="187">
        <f>IF(H30="","",H30*4)</f>
        <v/>
      </c>
      <c r="J30" s="380" t="n"/>
      <c r="K30" s="391" t="n"/>
    </row>
    <row r="31" ht="18.75" customHeight="1" s="141">
      <c r="A31" s="387" t="n">
        <v>500</v>
      </c>
      <c r="B31" s="388" t="n"/>
      <c r="C31" s="180">
        <f>IF(B31="","",B31*10)</f>
        <v/>
      </c>
      <c r="D31" s="388" t="n"/>
      <c r="E31" s="180">
        <f>IF(D31="","",D31*4)</f>
        <v/>
      </c>
      <c r="F31" s="388" t="n"/>
      <c r="G31" s="180">
        <f>IF(F31="","",F31*10)</f>
        <v/>
      </c>
      <c r="H31" s="388" t="n"/>
      <c r="I31" s="180">
        <f>IF(H31="","",H31*4)</f>
        <v/>
      </c>
      <c r="J31" s="389" t="n"/>
      <c r="K31" s="390" t="n"/>
    </row>
    <row r="32" ht="18.75" customHeight="1" s="141">
      <c r="A32" s="377" t="n">
        <v>600</v>
      </c>
      <c r="B32" s="378" t="n"/>
      <c r="C32" s="187">
        <f>IF(B32="","",B32*10)</f>
        <v/>
      </c>
      <c r="D32" s="378" t="n"/>
      <c r="E32" s="187">
        <f>IF(D32="","",D32*4)</f>
        <v/>
      </c>
      <c r="F32" s="378" t="n"/>
      <c r="G32" s="187">
        <f>IF(F32="","",F32*10)</f>
        <v/>
      </c>
      <c r="H32" s="378" t="n"/>
      <c r="I32" s="187">
        <f>IF(H32="","",H32*4)</f>
        <v/>
      </c>
      <c r="J32" s="380" t="n"/>
      <c r="K32" s="391" t="n"/>
    </row>
    <row r="33" ht="18.75" customHeight="1" s="141">
      <c r="A33" s="387" t="n">
        <v>700</v>
      </c>
      <c r="B33" s="388" t="n"/>
      <c r="C33" s="180">
        <f>IF(B33="","",B33*10)</f>
        <v/>
      </c>
      <c r="D33" s="388" t="n"/>
      <c r="E33" s="180">
        <f>IF(D33="","",D33*4)</f>
        <v/>
      </c>
      <c r="F33" s="388" t="n"/>
      <c r="G33" s="180">
        <f>IF(F33="","",F33*10)</f>
        <v/>
      </c>
      <c r="H33" s="388" t="n"/>
      <c r="I33" s="180">
        <f>IF(H33="","",H33*4)</f>
        <v/>
      </c>
      <c r="J33" s="389" t="n"/>
      <c r="K33" s="390" t="n"/>
    </row>
    <row r="34" ht="18.75" customHeight="1" s="141">
      <c r="A34" s="377" t="n">
        <v>800</v>
      </c>
      <c r="B34" s="378" t="n"/>
      <c r="C34" s="187">
        <f>IF(B34="","",B34*10)</f>
        <v/>
      </c>
      <c r="D34" s="378" t="n"/>
      <c r="E34" s="187">
        <f>IF(D34="","",D34*4)</f>
        <v/>
      </c>
      <c r="F34" s="378" t="n"/>
      <c r="G34" s="187">
        <f>IF(F34="","",F34*10)</f>
        <v/>
      </c>
      <c r="H34" s="378" t="n"/>
      <c r="I34" s="187">
        <f>IF(H34="","",H34*4)</f>
        <v/>
      </c>
      <c r="J34" s="380" t="n"/>
      <c r="K34" s="391" t="n"/>
    </row>
    <row r="35" ht="18.75" customHeight="1" s="141">
      <c r="A35" s="387" t="n">
        <v>900</v>
      </c>
      <c r="B35" s="388" t="n"/>
      <c r="C35" s="180">
        <f>IF(B35="","",B35*10)</f>
        <v/>
      </c>
      <c r="D35" s="388" t="n"/>
      <c r="E35" s="180">
        <f>IF(D35="","",D35*4)</f>
        <v/>
      </c>
      <c r="F35" s="388" t="n"/>
      <c r="G35" s="180">
        <f>IF(F35="","",F35*10)</f>
        <v/>
      </c>
      <c r="H35" s="388" t="n"/>
      <c r="I35" s="180">
        <f>IF(H35="","",H35*4)</f>
        <v/>
      </c>
      <c r="J35" s="389" t="n"/>
      <c r="K35" s="390" t="n"/>
    </row>
    <row r="36" ht="18.75" customHeight="1" s="141">
      <c r="A36" s="377" t="n">
        <v>1000</v>
      </c>
      <c r="B36" s="378" t="n"/>
      <c r="C36" s="187">
        <f>IF(B36="","",B36*10)</f>
        <v/>
      </c>
      <c r="D36" s="378" t="n"/>
      <c r="E36" s="187">
        <f>IF(D36="","",D36*4)</f>
        <v/>
      </c>
      <c r="F36" s="378" t="n"/>
      <c r="G36" s="187">
        <f>IF(F36="","",F36*10)</f>
        <v/>
      </c>
      <c r="H36" s="378" t="n"/>
      <c r="I36" s="187">
        <f>IF(H36="","",H36*4)</f>
        <v/>
      </c>
      <c r="J36" s="380" t="n"/>
      <c r="K36" s="391" t="n"/>
    </row>
    <row r="37" ht="12" customHeight="1" s="141">
      <c r="A37" s="309" t="n"/>
      <c r="B37" s="309" t="n"/>
      <c r="C37" s="309" t="n"/>
      <c r="D37" s="309" t="n"/>
      <c r="E37" s="309" t="n"/>
      <c r="F37" s="309" t="n"/>
      <c r="G37" s="309" t="n"/>
      <c r="H37" s="309" t="n"/>
      <c r="I37" s="309" t="n"/>
      <c r="J37" s="309" t="n"/>
      <c r="K37" s="309" t="n"/>
    </row>
    <row r="38">
      <c r="A38" s="309" t="n"/>
      <c r="B38" s="309" t="n"/>
      <c r="C38" s="309" t="n"/>
      <c r="D38" s="309" t="n"/>
      <c r="E38" s="309" t="n"/>
      <c r="F38" s="309" t="n"/>
      <c r="G38" s="309" t="n"/>
      <c r="H38" s="309" t="n"/>
      <c r="I38" s="309" t="n"/>
      <c r="J38" s="309" t="n"/>
      <c r="K38" s="309" t="n"/>
    </row>
    <row r="39">
      <c r="A39" s="309" t="n"/>
      <c r="B39" s="309" t="n"/>
      <c r="C39" s="309" t="n"/>
      <c r="D39" s="309" t="n"/>
      <c r="E39" s="309" t="n"/>
      <c r="F39" s="309" t="n"/>
      <c r="G39" s="309" t="n"/>
      <c r="H39" s="309" t="n"/>
      <c r="I39" s="309" t="n"/>
      <c r="J39" s="309" t="n"/>
      <c r="K39" s="309" t="n"/>
    </row>
    <row r="40" ht="24" customHeight="1" s="141">
      <c r="A40" s="191">
        <f>IF(IFERROR('Load Library'!C7,"")="","LOAD #3  —  (empty — fill in Load Library row 7)","LOAD #3  —  "&amp;'Load Library'!C7)</f>
        <v/>
      </c>
      <c r="B40" s="309" t="n"/>
      <c r="C40" s="309" t="n"/>
      <c r="D40" s="309" t="n"/>
      <c r="E40" s="309" t="n"/>
      <c r="F40" s="309" t="n"/>
      <c r="G40" s="309" t="n"/>
      <c r="H40" s="309" t="n"/>
      <c r="I40" s="309" t="n"/>
      <c r="J40" s="309" t="n"/>
      <c r="K40" s="309" t="n"/>
    </row>
    <row r="41" ht="24" customHeight="1" s="141">
      <c r="A41" s="381" t="inlineStr">
        <is>
          <t>Rifle:</t>
        </is>
      </c>
      <c r="B41" s="270">
        <f>IF(IFERROR('Load Library'!D7,"")="","",'Load Library'!D7)</f>
        <v/>
      </c>
      <c r="C41" s="382" t="n"/>
      <c r="D41" s="381" t="inlineStr">
        <is>
          <t>Bullet:</t>
        </is>
      </c>
      <c r="E41" s="270">
        <f>IF(IFERROR('Load Library'!E7,"")="","",'Load Library'!E7&amp;" ("&amp;'Load Library'!F7&amp;"gr)")</f>
        <v/>
      </c>
      <c r="F41" s="382" t="n"/>
      <c r="G41" s="381" t="inlineStr">
        <is>
          <t>Charge:</t>
        </is>
      </c>
      <c r="H41" s="270">
        <f>IF(IFERROR('Load Library'!H7,"")="","",'Load Library'!H7&amp;" gr "&amp;'Load Library'!G7)</f>
        <v/>
      </c>
      <c r="I41" s="382" t="n"/>
      <c r="J41" s="381" t="inlineStr">
        <is>
          <t>Vel:</t>
        </is>
      </c>
      <c r="K41" s="270">
        <f>IF(IFERROR('Load Library'!M7,"")="","",'Load Library'!M7&amp;" fps")</f>
        <v/>
      </c>
    </row>
    <row r="42" ht="21.75" customHeight="1" s="141">
      <c r="A42" s="383" t="inlineStr">
        <is>
          <t>Scope:</t>
        </is>
      </c>
      <c r="B42" s="363" t="n"/>
      <c r="C42" s="384" t="n"/>
      <c r="D42" s="383" t="inlineStr">
        <is>
          <t>Zero (yd):</t>
        </is>
      </c>
      <c r="E42" s="385" t="n">
        <v>100</v>
      </c>
      <c r="F42" s="384" t="n"/>
      <c r="G42" s="383" t="inlineStr">
        <is>
          <t>Sight Ht (in):</t>
        </is>
      </c>
      <c r="H42" s="386" t="n">
        <v>1.75</v>
      </c>
      <c r="I42" s="384" t="n"/>
      <c r="J42" s="383" t="inlineStr">
        <is>
          <t>Twist:</t>
        </is>
      </c>
      <c r="K42" s="363" t="inlineStr">
        <is>
          <t>1:8 RH</t>
        </is>
      </c>
    </row>
    <row r="43" ht="6" customHeight="1" s="141">
      <c r="A43" s="309" t="n"/>
      <c r="B43" s="309" t="n"/>
      <c r="C43" s="309" t="n"/>
      <c r="D43" s="309" t="n"/>
      <c r="E43" s="309" t="n"/>
      <c r="F43" s="309" t="n"/>
      <c r="G43" s="309" t="n"/>
      <c r="H43" s="309" t="n"/>
      <c r="I43" s="309" t="n"/>
      <c r="J43" s="309" t="n"/>
      <c r="K43" s="309" t="n"/>
    </row>
    <row r="44" ht="36" customHeight="1" s="141">
      <c r="A44" s="333" t="inlineStr">
        <is>
          <t>Range (yd)</t>
        </is>
      </c>
      <c r="B44" s="333" t="inlineStr">
        <is>
          <t>Mils — Elev</t>
        </is>
      </c>
      <c r="C44" s="333" t="inlineStr">
        <is>
          <t>Mil Clicks</t>
        </is>
      </c>
      <c r="D44" s="333" t="inlineStr">
        <is>
          <t>MOA — Elev</t>
        </is>
      </c>
      <c r="E44" s="333" t="inlineStr">
        <is>
          <t>MOA Clicks</t>
        </is>
      </c>
      <c r="F44" s="333" t="inlineStr">
        <is>
          <t>Wind Mils / 10 mph</t>
        </is>
      </c>
      <c r="G44" s="333" t="inlineStr">
        <is>
          <t>Wind Mil Clk</t>
        </is>
      </c>
      <c r="H44" s="333" t="inlineStr">
        <is>
          <t>Wind MOA / 10 mph</t>
        </is>
      </c>
      <c r="I44" s="333" t="inlineStr">
        <is>
          <t>Wind MOA Clk</t>
        </is>
      </c>
      <c r="J44" s="333" t="inlineStr">
        <is>
          <t>TOF (sec)</t>
        </is>
      </c>
      <c r="K44" s="333" t="inlineStr">
        <is>
          <t>Notes</t>
        </is>
      </c>
    </row>
    <row r="45" ht="18.75" customHeight="1" s="141">
      <c r="A45" s="387" t="n">
        <v>100</v>
      </c>
      <c r="B45" s="388" t="n"/>
      <c r="C45" s="180">
        <f>IF(B45="","",B45*10)</f>
        <v/>
      </c>
      <c r="D45" s="388" t="n"/>
      <c r="E45" s="180">
        <f>IF(D45="","",D45*4)</f>
        <v/>
      </c>
      <c r="F45" s="388" t="n"/>
      <c r="G45" s="180">
        <f>IF(F45="","",F45*10)</f>
        <v/>
      </c>
      <c r="H45" s="388" t="n"/>
      <c r="I45" s="180">
        <f>IF(H45="","",H45*4)</f>
        <v/>
      </c>
      <c r="J45" s="389" t="n"/>
      <c r="K45" s="390" t="n"/>
    </row>
    <row r="46" ht="18.75" customHeight="1" s="141">
      <c r="A46" s="377" t="n">
        <v>200</v>
      </c>
      <c r="B46" s="378" t="n"/>
      <c r="C46" s="187">
        <f>IF(B46="","",B46*10)</f>
        <v/>
      </c>
      <c r="D46" s="378" t="n"/>
      <c r="E46" s="187">
        <f>IF(D46="","",D46*4)</f>
        <v/>
      </c>
      <c r="F46" s="378" t="n"/>
      <c r="G46" s="187">
        <f>IF(F46="","",F46*10)</f>
        <v/>
      </c>
      <c r="H46" s="378" t="n"/>
      <c r="I46" s="187">
        <f>IF(H46="","",H46*4)</f>
        <v/>
      </c>
      <c r="J46" s="380" t="n"/>
      <c r="K46" s="391" t="n"/>
    </row>
    <row r="47" ht="18.75" customHeight="1" s="141">
      <c r="A47" s="387" t="n">
        <v>300</v>
      </c>
      <c r="B47" s="388" t="n"/>
      <c r="C47" s="180">
        <f>IF(B47="","",B47*10)</f>
        <v/>
      </c>
      <c r="D47" s="388" t="n"/>
      <c r="E47" s="180">
        <f>IF(D47="","",D47*4)</f>
        <v/>
      </c>
      <c r="F47" s="388" t="n"/>
      <c r="G47" s="180">
        <f>IF(F47="","",F47*10)</f>
        <v/>
      </c>
      <c r="H47" s="388" t="n"/>
      <c r="I47" s="180">
        <f>IF(H47="","",H47*4)</f>
        <v/>
      </c>
      <c r="J47" s="389" t="n"/>
      <c r="K47" s="390" t="n"/>
    </row>
    <row r="48" ht="18.75" customHeight="1" s="141">
      <c r="A48" s="377" t="n">
        <v>400</v>
      </c>
      <c r="B48" s="378" t="n"/>
      <c r="C48" s="187">
        <f>IF(B48="","",B48*10)</f>
        <v/>
      </c>
      <c r="D48" s="378" t="n"/>
      <c r="E48" s="187">
        <f>IF(D48="","",D48*4)</f>
        <v/>
      </c>
      <c r="F48" s="378" t="n"/>
      <c r="G48" s="187">
        <f>IF(F48="","",F48*10)</f>
        <v/>
      </c>
      <c r="H48" s="378" t="n"/>
      <c r="I48" s="187">
        <f>IF(H48="","",H48*4)</f>
        <v/>
      </c>
      <c r="J48" s="380" t="n"/>
      <c r="K48" s="391" t="n"/>
    </row>
    <row r="49" ht="18.75" customHeight="1" s="141">
      <c r="A49" s="387" t="n">
        <v>500</v>
      </c>
      <c r="B49" s="388" t="n"/>
      <c r="C49" s="180">
        <f>IF(B49="","",B49*10)</f>
        <v/>
      </c>
      <c r="D49" s="388" t="n"/>
      <c r="E49" s="180">
        <f>IF(D49="","",D49*4)</f>
        <v/>
      </c>
      <c r="F49" s="388" t="n"/>
      <c r="G49" s="180">
        <f>IF(F49="","",F49*10)</f>
        <v/>
      </c>
      <c r="H49" s="388" t="n"/>
      <c r="I49" s="180">
        <f>IF(H49="","",H49*4)</f>
        <v/>
      </c>
      <c r="J49" s="389" t="n"/>
      <c r="K49" s="390" t="n"/>
    </row>
    <row r="50" ht="18.75" customHeight="1" s="141">
      <c r="A50" s="377" t="n">
        <v>600</v>
      </c>
      <c r="B50" s="378" t="n"/>
      <c r="C50" s="187">
        <f>IF(B50="","",B50*10)</f>
        <v/>
      </c>
      <c r="D50" s="378" t="n"/>
      <c r="E50" s="187">
        <f>IF(D50="","",D50*4)</f>
        <v/>
      </c>
      <c r="F50" s="378" t="n"/>
      <c r="G50" s="187">
        <f>IF(F50="","",F50*10)</f>
        <v/>
      </c>
      <c r="H50" s="378" t="n"/>
      <c r="I50" s="187">
        <f>IF(H50="","",H50*4)</f>
        <v/>
      </c>
      <c r="J50" s="380" t="n"/>
      <c r="K50" s="391" t="n"/>
    </row>
    <row r="51" ht="18.75" customHeight="1" s="141">
      <c r="A51" s="387" t="n">
        <v>700</v>
      </c>
      <c r="B51" s="388" t="n"/>
      <c r="C51" s="180">
        <f>IF(B51="","",B51*10)</f>
        <v/>
      </c>
      <c r="D51" s="388" t="n"/>
      <c r="E51" s="180">
        <f>IF(D51="","",D51*4)</f>
        <v/>
      </c>
      <c r="F51" s="388" t="n"/>
      <c r="G51" s="180">
        <f>IF(F51="","",F51*10)</f>
        <v/>
      </c>
      <c r="H51" s="388" t="n"/>
      <c r="I51" s="180">
        <f>IF(H51="","",H51*4)</f>
        <v/>
      </c>
      <c r="J51" s="389" t="n"/>
      <c r="K51" s="390" t="n"/>
    </row>
    <row r="52" ht="18.75" customHeight="1" s="141">
      <c r="A52" s="377" t="n">
        <v>800</v>
      </c>
      <c r="B52" s="378" t="n"/>
      <c r="C52" s="187">
        <f>IF(B52="","",B52*10)</f>
        <v/>
      </c>
      <c r="D52" s="378" t="n"/>
      <c r="E52" s="187">
        <f>IF(D52="","",D52*4)</f>
        <v/>
      </c>
      <c r="F52" s="378" t="n"/>
      <c r="G52" s="187">
        <f>IF(F52="","",F52*10)</f>
        <v/>
      </c>
      <c r="H52" s="378" t="n"/>
      <c r="I52" s="187">
        <f>IF(H52="","",H52*4)</f>
        <v/>
      </c>
      <c r="J52" s="380" t="n"/>
      <c r="K52" s="391" t="n"/>
    </row>
    <row r="53" ht="18.75" customHeight="1" s="141">
      <c r="A53" s="387" t="n">
        <v>900</v>
      </c>
      <c r="B53" s="388" t="n"/>
      <c r="C53" s="180">
        <f>IF(B53="","",B53*10)</f>
        <v/>
      </c>
      <c r="D53" s="388" t="n"/>
      <c r="E53" s="180">
        <f>IF(D53="","",D53*4)</f>
        <v/>
      </c>
      <c r="F53" s="388" t="n"/>
      <c r="G53" s="180">
        <f>IF(F53="","",F53*10)</f>
        <v/>
      </c>
      <c r="H53" s="388" t="n"/>
      <c r="I53" s="180">
        <f>IF(H53="","",H53*4)</f>
        <v/>
      </c>
      <c r="J53" s="389" t="n"/>
      <c r="K53" s="390" t="n"/>
    </row>
    <row r="54" ht="18.75" customHeight="1" s="141">
      <c r="A54" s="377" t="n">
        <v>1000</v>
      </c>
      <c r="B54" s="378" t="n"/>
      <c r="C54" s="187">
        <f>IF(B54="","",B54*10)</f>
        <v/>
      </c>
      <c r="D54" s="378" t="n"/>
      <c r="E54" s="187">
        <f>IF(D54="","",D54*4)</f>
        <v/>
      </c>
      <c r="F54" s="378" t="n"/>
      <c r="G54" s="187">
        <f>IF(F54="","",F54*10)</f>
        <v/>
      </c>
      <c r="H54" s="378" t="n"/>
      <c r="I54" s="187">
        <f>IF(H54="","",H54*4)</f>
        <v/>
      </c>
      <c r="J54" s="380" t="n"/>
      <c r="K54" s="391" t="n"/>
    </row>
    <row r="55" ht="12" customHeight="1" s="141">
      <c r="A55" s="309" t="n"/>
      <c r="B55" s="309" t="n"/>
      <c r="C55" s="309" t="n"/>
      <c r="D55" s="309" t="n"/>
      <c r="E55" s="309" t="n"/>
      <c r="F55" s="309" t="n"/>
      <c r="G55" s="309" t="n"/>
      <c r="H55" s="309" t="n"/>
      <c r="I55" s="309" t="n"/>
      <c r="J55" s="309" t="n"/>
      <c r="K55" s="309" t="n"/>
    </row>
    <row r="56">
      <c r="A56" s="309" t="n"/>
      <c r="B56" s="309" t="n"/>
      <c r="C56" s="309" t="n"/>
      <c r="D56" s="309" t="n"/>
      <c r="E56" s="309" t="n"/>
      <c r="F56" s="309" t="n"/>
      <c r="G56" s="309" t="n"/>
      <c r="H56" s="309" t="n"/>
      <c r="I56" s="309" t="n"/>
      <c r="J56" s="309" t="n"/>
      <c r="K56" s="309" t="n"/>
    </row>
    <row r="57">
      <c r="A57" s="309" t="n"/>
      <c r="B57" s="309" t="n"/>
      <c r="C57" s="309" t="n"/>
      <c r="D57" s="309" t="n"/>
      <c r="E57" s="309" t="n"/>
      <c r="F57" s="309" t="n"/>
      <c r="G57" s="309" t="n"/>
      <c r="H57" s="309" t="n"/>
      <c r="I57" s="309" t="n"/>
      <c r="J57" s="309" t="n"/>
      <c r="K57" s="309" t="n"/>
    </row>
    <row r="58" ht="24" customHeight="1" s="141">
      <c r="A58" s="191">
        <f>IF(IFERROR('Load Library'!C8,"")="","LOAD #4  —  (empty — fill in Load Library row 8)","LOAD #4  —  "&amp;'Load Library'!C8)</f>
        <v/>
      </c>
      <c r="B58" s="309" t="n"/>
      <c r="C58" s="309" t="n"/>
      <c r="D58" s="309" t="n"/>
      <c r="E58" s="309" t="n"/>
      <c r="F58" s="309" t="n"/>
      <c r="G58" s="309" t="n"/>
      <c r="H58" s="309" t="n"/>
      <c r="I58" s="309" t="n"/>
      <c r="J58" s="309" t="n"/>
      <c r="K58" s="309" t="n"/>
    </row>
    <row r="59" ht="24" customHeight="1" s="141">
      <c r="A59" s="381" t="inlineStr">
        <is>
          <t>Rifle:</t>
        </is>
      </c>
      <c r="B59" s="270">
        <f>IF(IFERROR('Load Library'!D8,"")="","",'Load Library'!D8)</f>
        <v/>
      </c>
      <c r="C59" s="382" t="n"/>
      <c r="D59" s="381" t="inlineStr">
        <is>
          <t>Bullet:</t>
        </is>
      </c>
      <c r="E59" s="270">
        <f>IF(IFERROR('Load Library'!E8,"")="","",'Load Library'!E8&amp;" ("&amp;'Load Library'!F8&amp;"gr)")</f>
        <v/>
      </c>
      <c r="F59" s="382" t="n"/>
      <c r="G59" s="381" t="inlineStr">
        <is>
          <t>Charge:</t>
        </is>
      </c>
      <c r="H59" s="270">
        <f>IF(IFERROR('Load Library'!H8,"")="","",'Load Library'!H8&amp;" gr "&amp;'Load Library'!G8)</f>
        <v/>
      </c>
      <c r="I59" s="382" t="n"/>
      <c r="J59" s="381" t="inlineStr">
        <is>
          <t>Vel:</t>
        </is>
      </c>
      <c r="K59" s="270">
        <f>IF(IFERROR('Load Library'!M8,"")="","",'Load Library'!M8&amp;" fps")</f>
        <v/>
      </c>
    </row>
    <row r="60" ht="21.75" customHeight="1" s="141">
      <c r="A60" s="383" t="inlineStr">
        <is>
          <t>Scope:</t>
        </is>
      </c>
      <c r="B60" s="363" t="n"/>
      <c r="C60" s="384" t="n"/>
      <c r="D60" s="383" t="inlineStr">
        <is>
          <t>Zero (yd):</t>
        </is>
      </c>
      <c r="E60" s="385" t="n">
        <v>100</v>
      </c>
      <c r="F60" s="384" t="n"/>
      <c r="G60" s="383" t="inlineStr">
        <is>
          <t>Sight Ht (in):</t>
        </is>
      </c>
      <c r="H60" s="386" t="n">
        <v>1.75</v>
      </c>
      <c r="I60" s="384" t="n"/>
      <c r="J60" s="383" t="inlineStr">
        <is>
          <t>Twist:</t>
        </is>
      </c>
      <c r="K60" s="363" t="inlineStr">
        <is>
          <t>1:8 RH</t>
        </is>
      </c>
    </row>
    <row r="61" ht="6" customHeight="1" s="141">
      <c r="A61" s="309" t="n"/>
      <c r="B61" s="309" t="n"/>
      <c r="C61" s="309" t="n"/>
      <c r="D61" s="309" t="n"/>
      <c r="E61" s="309" t="n"/>
      <c r="F61" s="309" t="n"/>
      <c r="G61" s="309" t="n"/>
      <c r="H61" s="309" t="n"/>
      <c r="I61" s="309" t="n"/>
      <c r="J61" s="309" t="n"/>
      <c r="K61" s="309" t="n"/>
    </row>
    <row r="62" ht="36" customHeight="1" s="141">
      <c r="A62" s="333" t="inlineStr">
        <is>
          <t>Range (yd)</t>
        </is>
      </c>
      <c r="B62" s="333" t="inlineStr">
        <is>
          <t>Mils — Elev</t>
        </is>
      </c>
      <c r="C62" s="333" t="inlineStr">
        <is>
          <t>Mil Clicks</t>
        </is>
      </c>
      <c r="D62" s="333" t="inlineStr">
        <is>
          <t>MOA — Elev</t>
        </is>
      </c>
      <c r="E62" s="333" t="inlineStr">
        <is>
          <t>MOA Clicks</t>
        </is>
      </c>
      <c r="F62" s="333" t="inlineStr">
        <is>
          <t>Wind Mils / 10 mph</t>
        </is>
      </c>
      <c r="G62" s="333" t="inlineStr">
        <is>
          <t>Wind Mil Clk</t>
        </is>
      </c>
      <c r="H62" s="333" t="inlineStr">
        <is>
          <t>Wind MOA / 10 mph</t>
        </is>
      </c>
      <c r="I62" s="333" t="inlineStr">
        <is>
          <t>Wind MOA Clk</t>
        </is>
      </c>
      <c r="J62" s="333" t="inlineStr">
        <is>
          <t>TOF (sec)</t>
        </is>
      </c>
      <c r="K62" s="333" t="inlineStr">
        <is>
          <t>Notes</t>
        </is>
      </c>
    </row>
    <row r="63" ht="18.75" customHeight="1" s="141">
      <c r="A63" s="387" t="n">
        <v>100</v>
      </c>
      <c r="B63" s="388" t="n"/>
      <c r="C63" s="180">
        <f>IF(B63="","",B63*10)</f>
        <v/>
      </c>
      <c r="D63" s="388" t="n"/>
      <c r="E63" s="180">
        <f>IF(D63="","",D63*4)</f>
        <v/>
      </c>
      <c r="F63" s="388" t="n"/>
      <c r="G63" s="180">
        <f>IF(F63="","",F63*10)</f>
        <v/>
      </c>
      <c r="H63" s="388" t="n"/>
      <c r="I63" s="180">
        <f>IF(H63="","",H63*4)</f>
        <v/>
      </c>
      <c r="J63" s="389" t="n"/>
      <c r="K63" s="390" t="n"/>
    </row>
    <row r="64" ht="18.75" customHeight="1" s="141">
      <c r="A64" s="377" t="n">
        <v>200</v>
      </c>
      <c r="B64" s="378" t="n"/>
      <c r="C64" s="187">
        <f>IF(B64="","",B64*10)</f>
        <v/>
      </c>
      <c r="D64" s="378" t="n"/>
      <c r="E64" s="187">
        <f>IF(D64="","",D64*4)</f>
        <v/>
      </c>
      <c r="F64" s="378" t="n"/>
      <c r="G64" s="187">
        <f>IF(F64="","",F64*10)</f>
        <v/>
      </c>
      <c r="H64" s="378" t="n"/>
      <c r="I64" s="187">
        <f>IF(H64="","",H64*4)</f>
        <v/>
      </c>
      <c r="J64" s="380" t="n"/>
      <c r="K64" s="391" t="n"/>
    </row>
    <row r="65" ht="18.75" customHeight="1" s="141">
      <c r="A65" s="387" t="n">
        <v>300</v>
      </c>
      <c r="B65" s="388" t="n"/>
      <c r="C65" s="180">
        <f>IF(B65="","",B65*10)</f>
        <v/>
      </c>
      <c r="D65" s="388" t="n"/>
      <c r="E65" s="180">
        <f>IF(D65="","",D65*4)</f>
        <v/>
      </c>
      <c r="F65" s="388" t="n"/>
      <c r="G65" s="180">
        <f>IF(F65="","",F65*10)</f>
        <v/>
      </c>
      <c r="H65" s="388" t="n"/>
      <c r="I65" s="180">
        <f>IF(H65="","",H65*4)</f>
        <v/>
      </c>
      <c r="J65" s="389" t="n"/>
      <c r="K65" s="390" t="n"/>
    </row>
    <row r="66" ht="18.75" customHeight="1" s="141">
      <c r="A66" s="377" t="n">
        <v>400</v>
      </c>
      <c r="B66" s="378" t="n"/>
      <c r="C66" s="187">
        <f>IF(B66="","",B66*10)</f>
        <v/>
      </c>
      <c r="D66" s="378" t="n"/>
      <c r="E66" s="187">
        <f>IF(D66="","",D66*4)</f>
        <v/>
      </c>
      <c r="F66" s="378" t="n"/>
      <c r="G66" s="187">
        <f>IF(F66="","",F66*10)</f>
        <v/>
      </c>
      <c r="H66" s="378" t="n"/>
      <c r="I66" s="187">
        <f>IF(H66="","",H66*4)</f>
        <v/>
      </c>
      <c r="J66" s="380" t="n"/>
      <c r="K66" s="391" t="n"/>
    </row>
    <row r="67" ht="18.75" customHeight="1" s="141">
      <c r="A67" s="387" t="n">
        <v>500</v>
      </c>
      <c r="B67" s="388" t="n"/>
      <c r="C67" s="180">
        <f>IF(B67="","",B67*10)</f>
        <v/>
      </c>
      <c r="D67" s="388" t="n"/>
      <c r="E67" s="180">
        <f>IF(D67="","",D67*4)</f>
        <v/>
      </c>
      <c r="F67" s="388" t="n"/>
      <c r="G67" s="180">
        <f>IF(F67="","",F67*10)</f>
        <v/>
      </c>
      <c r="H67" s="388" t="n"/>
      <c r="I67" s="180">
        <f>IF(H67="","",H67*4)</f>
        <v/>
      </c>
      <c r="J67" s="389" t="n"/>
      <c r="K67" s="390" t="n"/>
    </row>
    <row r="68" ht="18.75" customHeight="1" s="141">
      <c r="A68" s="377" t="n">
        <v>600</v>
      </c>
      <c r="B68" s="378" t="n"/>
      <c r="C68" s="187">
        <f>IF(B68="","",B68*10)</f>
        <v/>
      </c>
      <c r="D68" s="378" t="n"/>
      <c r="E68" s="187">
        <f>IF(D68="","",D68*4)</f>
        <v/>
      </c>
      <c r="F68" s="378" t="n"/>
      <c r="G68" s="187">
        <f>IF(F68="","",F68*10)</f>
        <v/>
      </c>
      <c r="H68" s="378" t="n"/>
      <c r="I68" s="187">
        <f>IF(H68="","",H68*4)</f>
        <v/>
      </c>
      <c r="J68" s="380" t="n"/>
      <c r="K68" s="391" t="n"/>
    </row>
    <row r="69" ht="18.75" customHeight="1" s="141">
      <c r="A69" s="387" t="n">
        <v>700</v>
      </c>
      <c r="B69" s="388" t="n"/>
      <c r="C69" s="180">
        <f>IF(B69="","",B69*10)</f>
        <v/>
      </c>
      <c r="D69" s="388" t="n"/>
      <c r="E69" s="180">
        <f>IF(D69="","",D69*4)</f>
        <v/>
      </c>
      <c r="F69" s="388" t="n"/>
      <c r="G69" s="180">
        <f>IF(F69="","",F69*10)</f>
        <v/>
      </c>
      <c r="H69" s="388" t="n"/>
      <c r="I69" s="180">
        <f>IF(H69="","",H69*4)</f>
        <v/>
      </c>
      <c r="J69" s="389" t="n"/>
      <c r="K69" s="390" t="n"/>
    </row>
    <row r="70" ht="18.75" customHeight="1" s="141">
      <c r="A70" s="377" t="n">
        <v>800</v>
      </c>
      <c r="B70" s="378" t="n"/>
      <c r="C70" s="187">
        <f>IF(B70="","",B70*10)</f>
        <v/>
      </c>
      <c r="D70" s="378" t="n"/>
      <c r="E70" s="187">
        <f>IF(D70="","",D70*4)</f>
        <v/>
      </c>
      <c r="F70" s="378" t="n"/>
      <c r="G70" s="187">
        <f>IF(F70="","",F70*10)</f>
        <v/>
      </c>
      <c r="H70" s="378" t="n"/>
      <c r="I70" s="187">
        <f>IF(H70="","",H70*4)</f>
        <v/>
      </c>
      <c r="J70" s="380" t="n"/>
      <c r="K70" s="391" t="n"/>
    </row>
    <row r="71" ht="18.75" customHeight="1" s="141">
      <c r="A71" s="387" t="n">
        <v>900</v>
      </c>
      <c r="B71" s="388" t="n"/>
      <c r="C71" s="180">
        <f>IF(B71="","",B71*10)</f>
        <v/>
      </c>
      <c r="D71" s="388" t="n"/>
      <c r="E71" s="180">
        <f>IF(D71="","",D71*4)</f>
        <v/>
      </c>
      <c r="F71" s="388" t="n"/>
      <c r="G71" s="180">
        <f>IF(F71="","",F71*10)</f>
        <v/>
      </c>
      <c r="H71" s="388" t="n"/>
      <c r="I71" s="180">
        <f>IF(H71="","",H71*4)</f>
        <v/>
      </c>
      <c r="J71" s="389" t="n"/>
      <c r="K71" s="390" t="n"/>
    </row>
    <row r="72" ht="18.75" customHeight="1" s="141">
      <c r="A72" s="377" t="n">
        <v>1000</v>
      </c>
      <c r="B72" s="378" t="n"/>
      <c r="C72" s="187">
        <f>IF(B72="","",B72*10)</f>
        <v/>
      </c>
      <c r="D72" s="378" t="n"/>
      <c r="E72" s="187">
        <f>IF(D72="","",D72*4)</f>
        <v/>
      </c>
      <c r="F72" s="378" t="n"/>
      <c r="G72" s="187">
        <f>IF(F72="","",F72*10)</f>
        <v/>
      </c>
      <c r="H72" s="378" t="n"/>
      <c r="I72" s="187">
        <f>IF(H72="","",H72*4)</f>
        <v/>
      </c>
      <c r="J72" s="380" t="n"/>
      <c r="K72" s="391" t="n"/>
    </row>
    <row r="73" ht="12" customHeight="1" s="141">
      <c r="A73" s="309" t="n"/>
      <c r="B73" s="309" t="n"/>
      <c r="C73" s="309" t="n"/>
      <c r="D73" s="309" t="n"/>
      <c r="E73" s="309" t="n"/>
      <c r="F73" s="309" t="n"/>
      <c r="G73" s="309" t="n"/>
      <c r="H73" s="309" t="n"/>
      <c r="I73" s="309" t="n"/>
      <c r="J73" s="309" t="n"/>
      <c r="K73" s="309" t="n"/>
    </row>
    <row r="74">
      <c r="A74" s="309" t="n"/>
      <c r="B74" s="309" t="n"/>
      <c r="C74" s="309" t="n"/>
      <c r="D74" s="309" t="n"/>
      <c r="E74" s="309" t="n"/>
      <c r="F74" s="309" t="n"/>
      <c r="G74" s="309" t="n"/>
      <c r="H74" s="309" t="n"/>
      <c r="I74" s="309" t="n"/>
      <c r="J74" s="309" t="n"/>
      <c r="K74" s="309" t="n"/>
    </row>
    <row r="75">
      <c r="A75" s="309" t="n"/>
      <c r="B75" s="309" t="n"/>
      <c r="C75" s="309" t="n"/>
      <c r="D75" s="309" t="n"/>
      <c r="E75" s="309" t="n"/>
      <c r="F75" s="309" t="n"/>
      <c r="G75" s="309" t="n"/>
      <c r="H75" s="309" t="n"/>
      <c r="I75" s="309" t="n"/>
      <c r="J75" s="309" t="n"/>
      <c r="K75" s="309" t="n"/>
    </row>
    <row r="76" ht="24" customHeight="1" s="141">
      <c r="A76" s="191">
        <f>IF(IFERROR('Load Library'!C9,"")="","LOAD #5  —  (empty — fill in Load Library row 9)","LOAD #5  —  "&amp;'Load Library'!C9)</f>
        <v/>
      </c>
      <c r="B76" s="309" t="n"/>
      <c r="C76" s="309" t="n"/>
      <c r="D76" s="309" t="n"/>
      <c r="E76" s="309" t="n"/>
      <c r="F76" s="309" t="n"/>
      <c r="G76" s="309" t="n"/>
      <c r="H76" s="309" t="n"/>
      <c r="I76" s="309" t="n"/>
      <c r="J76" s="309" t="n"/>
      <c r="K76" s="309" t="n"/>
    </row>
    <row r="77" ht="24" customHeight="1" s="141">
      <c r="A77" s="381" t="inlineStr">
        <is>
          <t>Rifle:</t>
        </is>
      </c>
      <c r="B77" s="270">
        <f>IF(IFERROR('Load Library'!D9,"")="","",'Load Library'!D9)</f>
        <v/>
      </c>
      <c r="C77" s="382" t="n"/>
      <c r="D77" s="381" t="inlineStr">
        <is>
          <t>Bullet:</t>
        </is>
      </c>
      <c r="E77" s="270">
        <f>IF(IFERROR('Load Library'!E9,"")="","",'Load Library'!E9&amp;" ("&amp;'Load Library'!F9&amp;"gr)")</f>
        <v/>
      </c>
      <c r="F77" s="382" t="n"/>
      <c r="G77" s="381" t="inlineStr">
        <is>
          <t>Charge:</t>
        </is>
      </c>
      <c r="H77" s="270">
        <f>IF(IFERROR('Load Library'!H9,"")="","",'Load Library'!H9&amp;" gr "&amp;'Load Library'!G9)</f>
        <v/>
      </c>
      <c r="I77" s="382" t="n"/>
      <c r="J77" s="381" t="inlineStr">
        <is>
          <t>Vel:</t>
        </is>
      </c>
      <c r="K77" s="270">
        <f>IF(IFERROR('Load Library'!M9,"")="","",'Load Library'!M9&amp;" fps")</f>
        <v/>
      </c>
    </row>
    <row r="78" ht="21.75" customHeight="1" s="141">
      <c r="A78" s="383" t="inlineStr">
        <is>
          <t>Scope:</t>
        </is>
      </c>
      <c r="B78" s="363" t="n"/>
      <c r="C78" s="384" t="n"/>
      <c r="D78" s="383" t="inlineStr">
        <is>
          <t>Zero (yd):</t>
        </is>
      </c>
      <c r="E78" s="385" t="n">
        <v>100</v>
      </c>
      <c r="F78" s="384" t="n"/>
      <c r="G78" s="383" t="inlineStr">
        <is>
          <t>Sight Ht (in):</t>
        </is>
      </c>
      <c r="H78" s="386" t="n">
        <v>1.75</v>
      </c>
      <c r="I78" s="384" t="n"/>
      <c r="J78" s="383" t="inlineStr">
        <is>
          <t>Twist:</t>
        </is>
      </c>
      <c r="K78" s="363" t="inlineStr">
        <is>
          <t>1:8 RH</t>
        </is>
      </c>
    </row>
    <row r="79" ht="6" customHeight="1" s="141">
      <c r="A79" s="309" t="n"/>
      <c r="B79" s="309" t="n"/>
      <c r="C79" s="309" t="n"/>
      <c r="D79" s="309" t="n"/>
      <c r="E79" s="309" t="n"/>
      <c r="F79" s="309" t="n"/>
      <c r="G79" s="309" t="n"/>
      <c r="H79" s="309" t="n"/>
      <c r="I79" s="309" t="n"/>
      <c r="J79" s="309" t="n"/>
      <c r="K79" s="309" t="n"/>
    </row>
    <row r="80" ht="36" customHeight="1" s="141">
      <c r="A80" s="333" t="inlineStr">
        <is>
          <t>Range (yd)</t>
        </is>
      </c>
      <c r="B80" s="333" t="inlineStr">
        <is>
          <t>Mils — Elev</t>
        </is>
      </c>
      <c r="C80" s="333" t="inlineStr">
        <is>
          <t>Mil Clicks</t>
        </is>
      </c>
      <c r="D80" s="333" t="inlineStr">
        <is>
          <t>MOA — Elev</t>
        </is>
      </c>
      <c r="E80" s="333" t="inlineStr">
        <is>
          <t>MOA Clicks</t>
        </is>
      </c>
      <c r="F80" s="333" t="inlineStr">
        <is>
          <t>Wind Mils / 10 mph</t>
        </is>
      </c>
      <c r="G80" s="333" t="inlineStr">
        <is>
          <t>Wind Mil Clk</t>
        </is>
      </c>
      <c r="H80" s="333" t="inlineStr">
        <is>
          <t>Wind MOA / 10 mph</t>
        </is>
      </c>
      <c r="I80" s="333" t="inlineStr">
        <is>
          <t>Wind MOA Clk</t>
        </is>
      </c>
      <c r="J80" s="333" t="inlineStr">
        <is>
          <t>TOF (sec)</t>
        </is>
      </c>
      <c r="K80" s="333" t="inlineStr">
        <is>
          <t>Notes</t>
        </is>
      </c>
    </row>
    <row r="81" ht="18.75" customHeight="1" s="141">
      <c r="A81" s="387" t="n">
        <v>100</v>
      </c>
      <c r="B81" s="388" t="n"/>
      <c r="C81" s="180">
        <f>IF(B81="","",B81*10)</f>
        <v/>
      </c>
      <c r="D81" s="388" t="n"/>
      <c r="E81" s="180">
        <f>IF(D81="","",D81*4)</f>
        <v/>
      </c>
      <c r="F81" s="388" t="n"/>
      <c r="G81" s="180">
        <f>IF(F81="","",F81*10)</f>
        <v/>
      </c>
      <c r="H81" s="388" t="n"/>
      <c r="I81" s="180">
        <f>IF(H81="","",H81*4)</f>
        <v/>
      </c>
      <c r="J81" s="389" t="n"/>
      <c r="K81" s="390" t="n"/>
    </row>
    <row r="82" ht="18.75" customHeight="1" s="141">
      <c r="A82" s="377" t="n">
        <v>200</v>
      </c>
      <c r="B82" s="378" t="n"/>
      <c r="C82" s="187">
        <f>IF(B82="","",B82*10)</f>
        <v/>
      </c>
      <c r="D82" s="378" t="n"/>
      <c r="E82" s="187">
        <f>IF(D82="","",D82*4)</f>
        <v/>
      </c>
      <c r="F82" s="378" t="n"/>
      <c r="G82" s="187">
        <f>IF(F82="","",F82*10)</f>
        <v/>
      </c>
      <c r="H82" s="378" t="n"/>
      <c r="I82" s="187">
        <f>IF(H82="","",H82*4)</f>
        <v/>
      </c>
      <c r="J82" s="380" t="n"/>
      <c r="K82" s="391" t="n"/>
    </row>
    <row r="83" ht="18.75" customHeight="1" s="141">
      <c r="A83" s="387" t="n">
        <v>300</v>
      </c>
      <c r="B83" s="388" t="n"/>
      <c r="C83" s="180">
        <f>IF(B83="","",B83*10)</f>
        <v/>
      </c>
      <c r="D83" s="388" t="n"/>
      <c r="E83" s="180">
        <f>IF(D83="","",D83*4)</f>
        <v/>
      </c>
      <c r="F83" s="388" t="n"/>
      <c r="G83" s="180">
        <f>IF(F83="","",F83*10)</f>
        <v/>
      </c>
      <c r="H83" s="388" t="n"/>
      <c r="I83" s="180">
        <f>IF(H83="","",H83*4)</f>
        <v/>
      </c>
      <c r="J83" s="389" t="n"/>
      <c r="K83" s="390" t="n"/>
    </row>
    <row r="84" ht="18.75" customHeight="1" s="141">
      <c r="A84" s="377" t="n">
        <v>400</v>
      </c>
      <c r="B84" s="378" t="n"/>
      <c r="C84" s="187">
        <f>IF(B84="","",B84*10)</f>
        <v/>
      </c>
      <c r="D84" s="378" t="n"/>
      <c r="E84" s="187">
        <f>IF(D84="","",D84*4)</f>
        <v/>
      </c>
      <c r="F84" s="378" t="n"/>
      <c r="G84" s="187">
        <f>IF(F84="","",F84*10)</f>
        <v/>
      </c>
      <c r="H84" s="378" t="n"/>
      <c r="I84" s="187">
        <f>IF(H84="","",H84*4)</f>
        <v/>
      </c>
      <c r="J84" s="380" t="n"/>
      <c r="K84" s="391" t="n"/>
    </row>
    <row r="85" ht="18.75" customHeight="1" s="141">
      <c r="A85" s="387" t="n">
        <v>500</v>
      </c>
      <c r="B85" s="388" t="n"/>
      <c r="C85" s="180">
        <f>IF(B85="","",B85*10)</f>
        <v/>
      </c>
      <c r="D85" s="388" t="n"/>
      <c r="E85" s="180">
        <f>IF(D85="","",D85*4)</f>
        <v/>
      </c>
      <c r="F85" s="388" t="n"/>
      <c r="G85" s="180">
        <f>IF(F85="","",F85*10)</f>
        <v/>
      </c>
      <c r="H85" s="388" t="n"/>
      <c r="I85" s="180">
        <f>IF(H85="","",H85*4)</f>
        <v/>
      </c>
      <c r="J85" s="389" t="n"/>
      <c r="K85" s="390" t="n"/>
    </row>
    <row r="86" ht="18.75" customHeight="1" s="141">
      <c r="A86" s="377" t="n">
        <v>600</v>
      </c>
      <c r="B86" s="378" t="n"/>
      <c r="C86" s="187">
        <f>IF(B86="","",B86*10)</f>
        <v/>
      </c>
      <c r="D86" s="378" t="n"/>
      <c r="E86" s="187">
        <f>IF(D86="","",D86*4)</f>
        <v/>
      </c>
      <c r="F86" s="378" t="n"/>
      <c r="G86" s="187">
        <f>IF(F86="","",F86*10)</f>
        <v/>
      </c>
      <c r="H86" s="378" t="n"/>
      <c r="I86" s="187">
        <f>IF(H86="","",H86*4)</f>
        <v/>
      </c>
      <c r="J86" s="380" t="n"/>
      <c r="K86" s="391" t="n"/>
    </row>
    <row r="87" ht="18.75" customHeight="1" s="141">
      <c r="A87" s="387" t="n">
        <v>700</v>
      </c>
      <c r="B87" s="388" t="n"/>
      <c r="C87" s="180">
        <f>IF(B87="","",B87*10)</f>
        <v/>
      </c>
      <c r="D87" s="388" t="n"/>
      <c r="E87" s="180">
        <f>IF(D87="","",D87*4)</f>
        <v/>
      </c>
      <c r="F87" s="388" t="n"/>
      <c r="G87" s="180">
        <f>IF(F87="","",F87*10)</f>
        <v/>
      </c>
      <c r="H87" s="388" t="n"/>
      <c r="I87" s="180">
        <f>IF(H87="","",H87*4)</f>
        <v/>
      </c>
      <c r="J87" s="389" t="n"/>
      <c r="K87" s="390" t="n"/>
    </row>
    <row r="88" ht="18.75" customHeight="1" s="141">
      <c r="A88" s="377" t="n">
        <v>800</v>
      </c>
      <c r="B88" s="378" t="n"/>
      <c r="C88" s="187">
        <f>IF(B88="","",B88*10)</f>
        <v/>
      </c>
      <c r="D88" s="378" t="n"/>
      <c r="E88" s="187">
        <f>IF(D88="","",D88*4)</f>
        <v/>
      </c>
      <c r="F88" s="378" t="n"/>
      <c r="G88" s="187">
        <f>IF(F88="","",F88*10)</f>
        <v/>
      </c>
      <c r="H88" s="378" t="n"/>
      <c r="I88" s="187">
        <f>IF(H88="","",H88*4)</f>
        <v/>
      </c>
      <c r="J88" s="380" t="n"/>
      <c r="K88" s="391" t="n"/>
    </row>
    <row r="89" ht="18.75" customHeight="1" s="141">
      <c r="A89" s="387" t="n">
        <v>900</v>
      </c>
      <c r="B89" s="388" t="n"/>
      <c r="C89" s="180">
        <f>IF(B89="","",B89*10)</f>
        <v/>
      </c>
      <c r="D89" s="388" t="n"/>
      <c r="E89" s="180">
        <f>IF(D89="","",D89*4)</f>
        <v/>
      </c>
      <c r="F89" s="388" t="n"/>
      <c r="G89" s="180">
        <f>IF(F89="","",F89*10)</f>
        <v/>
      </c>
      <c r="H89" s="388" t="n"/>
      <c r="I89" s="180">
        <f>IF(H89="","",H89*4)</f>
        <v/>
      </c>
      <c r="J89" s="389" t="n"/>
      <c r="K89" s="390" t="n"/>
    </row>
    <row r="90" ht="18.75" customHeight="1" s="141">
      <c r="A90" s="377" t="n">
        <v>1000</v>
      </c>
      <c r="B90" s="378" t="n"/>
      <c r="C90" s="187">
        <f>IF(B90="","",B90*10)</f>
        <v/>
      </c>
      <c r="D90" s="378" t="n"/>
      <c r="E90" s="187">
        <f>IF(D90="","",D90*4)</f>
        <v/>
      </c>
      <c r="F90" s="378" t="n"/>
      <c r="G90" s="187">
        <f>IF(F90="","",F90*10)</f>
        <v/>
      </c>
      <c r="H90" s="378" t="n"/>
      <c r="I90" s="187">
        <f>IF(H90="","",H90*4)</f>
        <v/>
      </c>
      <c r="J90" s="380" t="n"/>
      <c r="K90" s="391" t="n"/>
    </row>
    <row r="91" ht="12" customHeight="1" s="141"/>
  </sheetData>
  <sheetProtection selectLockedCells="0" selectUnlockedCells="0" sheet="1" objects="0" insertRows="1" insertHyperlinks="1" autoFilter="0" scenarios="0" formatColumns="0" deleteColumns="1" insertColumns="1" pivotTables="1" deleteRows="1" formatCells="0" formatRows="0" sort="0"/>
  <mergeCells count="7">
    <mergeCell ref="A58:K58"/>
    <mergeCell ref="A22:K22"/>
    <mergeCell ref="A4:K4"/>
    <mergeCell ref="A2:K2"/>
    <mergeCell ref="A76:K76"/>
    <mergeCell ref="A1:K1"/>
    <mergeCell ref="A40:K40"/>
  </mergeCells>
  <printOptions horizontalCentered="1" verticalCentered="0" headings="0" gridLines="0" gridLinesSet="1"/>
  <pageMargins left="0.75" right="0.75" top="1" bottom="1"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A1:R1"/>
  <sheetViews>
    <sheetView workbookViewId="0">
      <selection activeCell="A1" sqref="A1"/>
    </sheetView>
  </sheetViews>
  <sheetFormatPr baseColWidth="8" defaultRowHeight="15"/>
  <sheetData>
    <row r="1">
      <c r="A1" s="299" t="inlineStr">
        <is>
          <t>Tag</t>
        </is>
      </c>
      <c r="B1" s="299" t="inlineStr">
        <is>
          <t>ChargeOrJump</t>
        </is>
      </c>
      <c r="C1" s="299" t="inlineStr">
        <is>
          <t>Powder</t>
        </is>
      </c>
      <c r="D1" s="299" t="inlineStr">
        <is>
          <t>Date</t>
        </is>
      </c>
      <c r="E1" s="299" t="inlineStr">
        <is>
          <t>Shot1</t>
        </is>
      </c>
      <c r="F1" s="299" t="inlineStr">
        <is>
          <t>Shot2</t>
        </is>
      </c>
      <c r="G1" s="299" t="inlineStr">
        <is>
          <t>Shot3</t>
        </is>
      </c>
      <c r="H1" s="299" t="inlineStr">
        <is>
          <t>Shot4</t>
        </is>
      </c>
      <c r="I1" s="299" t="inlineStr">
        <is>
          <t>Shot5</t>
        </is>
      </c>
      <c r="J1" s="299" t="inlineStr">
        <is>
          <t>Shot6</t>
        </is>
      </c>
      <c r="K1" s="299" t="inlineStr">
        <is>
          <t>Shot7</t>
        </is>
      </c>
      <c r="L1" s="299" t="inlineStr">
        <is>
          <t>AvgVel</t>
        </is>
      </c>
      <c r="M1" s="299" t="inlineStr">
        <is>
          <t>SD</t>
        </is>
      </c>
      <c r="N1" s="299" t="inlineStr">
        <is>
          <t>ES</t>
        </is>
      </c>
      <c r="O1" s="299" t="inlineStr">
        <is>
          <t>BulletWt</t>
        </is>
      </c>
      <c r="P1" s="299" t="inlineStr">
        <is>
          <t>AvgKE</t>
        </is>
      </c>
      <c r="Q1" s="299" t="inlineStr">
        <is>
          <t>SessionTitle</t>
        </is>
      </c>
      <c r="R1" s="299" t="inlineStr">
        <is>
          <t>SessionNote</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Q1"/>
  <sheetViews>
    <sheetView workbookViewId="0">
      <selection activeCell="A1" sqref="A1"/>
    </sheetView>
  </sheetViews>
  <sheetFormatPr baseColWidth="8" defaultRowHeight="15"/>
  <sheetData>
    <row r="1">
      <c r="A1" s="299" t="inlineStr">
        <is>
          <t>Tag</t>
        </is>
      </c>
      <c r="B1" s="299" t="inlineStr">
        <is>
          <t>ChargeOrJump</t>
        </is>
      </c>
      <c r="C1" s="299" t="inlineStr">
        <is>
          <t>Powder</t>
        </is>
      </c>
      <c r="D1" s="299" t="inlineStr">
        <is>
          <t>Date</t>
        </is>
      </c>
      <c r="E1" s="299" t="inlineStr">
        <is>
          <t>Distance</t>
        </is>
      </c>
      <c r="F1" s="299" t="inlineStr">
        <is>
          <t>Caliber</t>
        </is>
      </c>
      <c r="G1" s="299" t="inlineStr">
        <is>
          <t>GroupIn</t>
        </is>
      </c>
      <c r="H1" s="299" t="inlineStr">
        <is>
          <t>WidthIn</t>
        </is>
      </c>
      <c r="I1" s="299" t="inlineStr">
        <is>
          <t>HeightIn</t>
        </is>
      </c>
      <c r="J1" s="299" t="inlineStr">
        <is>
          <t>MRIn</t>
        </is>
      </c>
      <c r="K1" s="299" t="inlineStr">
        <is>
          <t>CEPIn</t>
        </is>
      </c>
      <c r="L1" s="299" t="inlineStr">
        <is>
          <t>SDRadIn</t>
        </is>
      </c>
      <c r="M1" s="299" t="inlineStr">
        <is>
          <t>SDVertIn</t>
        </is>
      </c>
      <c r="N1" s="299" t="inlineStr">
        <is>
          <t>SDHorizIn</t>
        </is>
      </c>
      <c r="O1" s="299" t="inlineStr">
        <is>
          <t>ElevOffsetIn</t>
        </is>
      </c>
      <c r="P1" s="299" t="inlineStr">
        <is>
          <t>WindOffsetIn</t>
        </is>
      </c>
      <c r="Q1" s="299" t="inlineStr">
        <is>
          <t>Label</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language xmlns:dc="http://purl.org/dc/elements/1.1/">en-US</dc:language>
  <dcterms:created xmlns:dcterms="http://purl.org/dc/terms/" xmlns:xsi="http://www.w3.org/2001/XMLSchema-instance" xsi:type="dcterms:W3CDTF">2026-05-05T13:21:22Z</dcterms:created>
  <dcterms:modified xmlns:dcterms="http://purl.org/dc/terms/" xmlns:xsi="http://www.w3.org/2001/XMLSchema-instance" xsi:type="dcterms:W3CDTF">2026-05-07T21:20:42Z</dcterms:modified>
  <cp:revision>33</cp:revision>
</cp:coreProperties>
</file>